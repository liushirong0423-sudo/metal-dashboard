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'现货'!$A$1:$H$538</definedName>
    <definedName name="_xlnm._FilterDatabase" localSheetId="1" hidden="1">'期货'!$A$1:$J$39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100900</v>
      </c>
      <c r="D164" s="4" t="n">
        <v>106100</v>
      </c>
      <c r="E164" s="4" t="n">
        <v>103500</v>
      </c>
      <c r="F164" s="6" t="n">
        <v>-50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185500</v>
      </c>
      <c r="D165" s="4" t="n">
        <v>193400</v>
      </c>
      <c r="E165" s="4" t="n">
        <v>189450</v>
      </c>
      <c r="F165" s="4" t="n">
        <v>-1100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93750</v>
      </c>
      <c r="D166" s="4" t="n">
        <v>98450</v>
      </c>
      <c r="E166" s="4" t="n">
        <v>96100</v>
      </c>
      <c r="F166" s="6" t="n">
        <v>-50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190000</v>
      </c>
      <c r="D167" s="4" t="n">
        <v>199500</v>
      </c>
      <c r="E167" s="4" t="n">
        <v>194750</v>
      </c>
      <c r="F167" s="4" t="n">
        <v>-800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116300</v>
      </c>
      <c r="D168" s="4" t="n">
        <v>122000</v>
      </c>
      <c r="E168" s="4" t="n">
        <v>119150</v>
      </c>
      <c r="F168" s="6" t="n">
        <v>-50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213200</v>
      </c>
      <c r="D169" s="4" t="n">
        <v>222800</v>
      </c>
      <c r="E169" s="4" t="n">
        <v>218000</v>
      </c>
      <c r="F169" s="4" t="n">
        <v>-800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86</v>
      </c>
      <c r="D170" s="6" t="n">
        <v>87</v>
      </c>
      <c r="E170" s="6" t="n">
        <v>86.5</v>
      </c>
      <c r="F170" s="6" t="n">
        <v>1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210300</v>
      </c>
      <c r="D172" s="4" t="n">
        <v>218600</v>
      </c>
      <c r="E172" s="4" t="n">
        <v>214450</v>
      </c>
      <c r="F172" s="4" t="n">
        <v>-800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78.98999999999999</v>
      </c>
      <c r="D173" s="6" t="n">
        <v>78.98999999999999</v>
      </c>
      <c r="E173" s="6" t="n">
        <v>78.98999999999999</v>
      </c>
      <c r="F173" s="6" t="n">
        <v>-0.01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</v>
      </c>
      <c r="D174" s="6" t="n">
        <v>79</v>
      </c>
      <c r="E174" s="6" t="n">
        <v>79</v>
      </c>
      <c r="F174" s="6" t="n">
        <v>-0.05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</v>
      </c>
      <c r="D175" s="6" t="n">
        <v>79</v>
      </c>
      <c r="E175" s="6" t="n">
        <v>79</v>
      </c>
      <c r="F175" s="6" t="n">
        <v>-0.05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75.73</v>
      </c>
      <c r="D177" s="6" t="n">
        <v>75.73</v>
      </c>
      <c r="E177" s="6" t="n">
        <v>75.73</v>
      </c>
      <c r="F177" s="6" t="n">
        <v>-0.1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75.73</v>
      </c>
      <c r="D178" s="6" t="n">
        <v>75.73</v>
      </c>
      <c r="E178" s="6" t="n">
        <v>75.73</v>
      </c>
      <c r="F178" s="6" t="n">
        <v>-0.1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101802</v>
      </c>
      <c r="D179" s="4" t="n">
        <v>105958</v>
      </c>
      <c r="E179" s="4" t="n">
        <v>103880</v>
      </c>
      <c r="F179" s="4" t="n">
        <v>-508.5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152617</v>
      </c>
      <c r="D180" s="4" t="n">
        <v>152617</v>
      </c>
      <c r="E180" s="4" t="n">
        <v>152617</v>
      </c>
      <c r="F180" s="4" t="n">
        <v>-2079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7658</v>
      </c>
      <c r="D181" s="4" t="n">
        <v>7658</v>
      </c>
      <c r="E181" s="4" t="n">
        <v>7658</v>
      </c>
      <c r="F181" s="6" t="n">
        <v>3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33000</v>
      </c>
      <c r="D182" s="4" t="n">
        <v>33000</v>
      </c>
      <c r="E182" s="4" t="n">
        <v>33000</v>
      </c>
      <c r="F182" s="6" t="n">
        <v>-42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167053</v>
      </c>
      <c r="D183" s="4" t="n">
        <v>167053</v>
      </c>
      <c r="E183" s="4" t="n">
        <v>167053</v>
      </c>
      <c r="F183" s="4" t="n">
        <v>-1430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88287</v>
      </c>
      <c r="D184" s="4" t="n">
        <v>88287</v>
      </c>
      <c r="E184" s="4" t="n">
        <v>88287</v>
      </c>
      <c r="F184" s="6" t="n">
        <v>-28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7458</v>
      </c>
      <c r="D185" s="4" t="n">
        <v>7458</v>
      </c>
      <c r="E185" s="4" t="n">
        <v>7458</v>
      </c>
      <c r="F185" s="6" t="n">
        <v>-31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6975</v>
      </c>
      <c r="D186" s="4" t="n">
        <v>6975</v>
      </c>
      <c r="E186" s="4" t="n">
        <v>6975</v>
      </c>
      <c r="F186" s="6" t="n">
        <v>-87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112000</v>
      </c>
      <c r="E192" s="4" t="n">
        <v>111000</v>
      </c>
      <c r="F192" s="4" t="n">
        <v>-3000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136000</v>
      </c>
      <c r="D195" s="4" t="n">
        <v>144000</v>
      </c>
      <c r="E195" s="4" t="n">
        <v>140000</v>
      </c>
      <c r="F195" s="4" t="n">
        <v>-2000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160500</v>
      </c>
      <c r="D196" s="4" t="n">
        <v>166000</v>
      </c>
      <c r="E196" s="4" t="n">
        <v>163250</v>
      </c>
      <c r="F196" s="4" t="n">
        <v>-2250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1130000</v>
      </c>
      <c r="E197" s="4" t="n">
        <v>1100000</v>
      </c>
      <c r="F197" s="4" t="n">
        <v>-5000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2370</v>
      </c>
      <c r="D198" s="4" t="n">
        <v>2500</v>
      </c>
      <c r="E198" s="4" t="n">
        <v>2435</v>
      </c>
      <c r="F198" s="6" t="n">
        <v>-46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21800</v>
      </c>
      <c r="D199" s="4" t="n">
        <v>25200</v>
      </c>
      <c r="E199" s="4" t="n">
        <v>23500</v>
      </c>
      <c r="F199" s="4" t="n">
        <v>-300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25850</v>
      </c>
      <c r="D200" s="4" t="n">
        <v>30350</v>
      </c>
      <c r="E200" s="4" t="n">
        <v>28100</v>
      </c>
      <c r="F200" s="4" t="n">
        <v>-375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16300</v>
      </c>
      <c r="D201" s="4" t="n">
        <v>17600</v>
      </c>
      <c r="E201" s="4" t="n">
        <v>16950</v>
      </c>
      <c r="F201" s="4" t="n">
        <v>-300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11500</v>
      </c>
      <c r="E202" s="4" t="n">
        <v>11000</v>
      </c>
      <c r="F202" s="4" t="n">
        <v>-150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17400</v>
      </c>
      <c r="D203" s="4" t="n">
        <v>18800</v>
      </c>
      <c r="E203" s="4" t="n">
        <v>18100</v>
      </c>
      <c r="F203" s="4" t="n">
        <v>-300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38500</v>
      </c>
      <c r="D208" s="4" t="n">
        <v>41000</v>
      </c>
      <c r="E208" s="4" t="n">
        <v>39750</v>
      </c>
      <c r="F208" s="4" t="n">
        <v>-250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2380</v>
      </c>
      <c r="D209" s="4" t="n">
        <v>2450</v>
      </c>
      <c r="E209" s="4" t="n">
        <v>2415</v>
      </c>
      <c r="F209" s="6" t="n">
        <v>-60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2390</v>
      </c>
      <c r="D210" s="4" t="n">
        <v>2510</v>
      </c>
      <c r="E210" s="4" t="n">
        <v>2450</v>
      </c>
      <c r="F210" s="6" t="n">
        <v>-46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285000</v>
      </c>
      <c r="D212" s="4" t="n">
        <v>290000</v>
      </c>
      <c r="E212" s="4" t="n">
        <v>287500</v>
      </c>
      <c r="F212" s="4" t="n">
        <v>-4000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17.9</v>
      </c>
      <c r="D213" s="6" t="n">
        <v>21</v>
      </c>
      <c r="E213" s="6" t="n">
        <v>19.45</v>
      </c>
      <c r="F213" s="6" t="n">
        <v>-0.2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17.75</v>
      </c>
      <c r="D214" s="6" t="n">
        <v>20.95</v>
      </c>
      <c r="E214" s="6" t="n">
        <v>19.35</v>
      </c>
      <c r="F214" s="6" t="n">
        <v>-0.2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152000</v>
      </c>
      <c r="D215" s="4" t="n">
        <v>165000</v>
      </c>
      <c r="E215" s="4" t="n">
        <v>158500</v>
      </c>
      <c r="F215" s="4" t="n">
        <v>-2000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145000</v>
      </c>
      <c r="D216" s="4" t="n">
        <v>160000</v>
      </c>
      <c r="E216" s="4" t="n">
        <v>152500</v>
      </c>
      <c r="F216" s="4" t="n">
        <v>-2000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33370</v>
      </c>
      <c r="D218" s="4" t="n">
        <v>33750</v>
      </c>
      <c r="E218" s="4" t="n">
        <v>33560</v>
      </c>
      <c r="F218" s="6" t="n">
        <v>-50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164500</v>
      </c>
      <c r="D219" s="4" t="n">
        <v>170000</v>
      </c>
      <c r="E219" s="4" t="n">
        <v>167250</v>
      </c>
      <c r="F219" s="4" t="n">
        <v>-2250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19.95</v>
      </c>
      <c r="D220" s="6" t="n">
        <v>21.95</v>
      </c>
      <c r="E220" s="6" t="n">
        <v>20.95</v>
      </c>
      <c r="F220" s="6" t="n">
        <v>-0.2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20.15</v>
      </c>
      <c r="D221" s="6" t="n">
        <v>22</v>
      </c>
      <c r="E221" s="6" t="n">
        <v>21.08</v>
      </c>
      <c r="F221" s="6" t="n">
        <v>-0.2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1160000</v>
      </c>
      <c r="E222" s="4" t="n">
        <v>1130000</v>
      </c>
      <c r="F222" s="4" t="n">
        <v>-5000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372000</v>
      </c>
      <c r="D223" s="4" t="n">
        <v>395000</v>
      </c>
      <c r="E223" s="4" t="n">
        <v>383500</v>
      </c>
      <c r="F223" s="4" t="n">
        <v>-10000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32500</v>
      </c>
      <c r="D225" s="4" t="n">
        <v>37000</v>
      </c>
      <c r="E225" s="4" t="n">
        <v>34750</v>
      </c>
      <c r="F225" s="4" t="n">
        <v>-2000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220000</v>
      </c>
      <c r="E227" s="4" t="n">
        <v>215000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59180</v>
      </c>
      <c r="D228" s="4" t="n">
        <v>59780</v>
      </c>
      <c r="E228" s="4" t="n">
        <v>59480</v>
      </c>
      <c r="F228" s="4" t="n">
        <v>-550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24.5</v>
      </c>
      <c r="D230" s="6" t="n">
        <v>25.5</v>
      </c>
      <c r="E230" s="6" t="n">
        <v>25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101000</v>
      </c>
      <c r="E234" s="4" t="n">
        <v>99500</v>
      </c>
      <c r="F234" s="4" t="n">
        <v>-100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8020</v>
      </c>
      <c r="D237" s="4" t="n">
        <v>8319</v>
      </c>
      <c r="E237" s="4" t="n">
        <v>8169.5</v>
      </c>
      <c r="F237" s="4" t="n">
        <v>-130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2398</v>
      </c>
      <c r="D238" s="4" t="n">
        <v>2398</v>
      </c>
      <c r="E238" s="4" t="n">
        <v>2398</v>
      </c>
      <c r="F238" s="6" t="n">
        <v>-72</v>
      </c>
      <c r="G238" s="5" t="inlineStr">
        <is>
          <t>美元/吨</t>
        </is>
      </c>
      <c r="H238" s="5" t="inlineStr">
        <is>
          <t>SMM</t>
        </is>
      </c>
    </row>
    <row r="239">
      <c r="A239" s="2" t="inlineStr">
        <is>
          <t>2026/06/19</t>
        </is>
      </c>
      <c r="B239" s="2" t="inlineStr">
        <is>
          <t>5系三元前驱体</t>
        </is>
      </c>
      <c r="C239" s="3" t="n">
        <v>100900</v>
      </c>
      <c r="D239" s="4" t="n">
        <v>106100</v>
      </c>
      <c r="E239" s="4" t="n">
        <v>103500</v>
      </c>
      <c r="F239" s="6" t="n">
        <v>-50</v>
      </c>
      <c r="G239" s="5" t="inlineStr">
        <is>
          <t>元/吨</t>
        </is>
      </c>
      <c r="H239" s="5" t="inlineStr">
        <is>
          <t>SMM</t>
        </is>
      </c>
    </row>
    <row r="240">
      <c r="A240" s="2" t="inlineStr">
        <is>
          <t>2026/06/19</t>
        </is>
      </c>
      <c r="B240" s="2" t="inlineStr">
        <is>
          <t>5系三元材料</t>
        </is>
      </c>
      <c r="C240" s="3" t="n">
        <v>185500</v>
      </c>
      <c r="D240" s="4" t="n">
        <v>193400</v>
      </c>
      <c r="E240" s="4" t="n">
        <v>189450</v>
      </c>
      <c r="F240" s="4" t="n">
        <v>-1100</v>
      </c>
      <c r="G240" s="5" t="inlineStr">
        <is>
          <t>元/吨</t>
        </is>
      </c>
      <c r="H240" s="5" t="inlineStr">
        <is>
          <t>SMM</t>
        </is>
      </c>
    </row>
    <row r="241">
      <c r="A241" s="2" t="inlineStr">
        <is>
          <t>2026/06/19</t>
        </is>
      </c>
      <c r="B241" s="2" t="inlineStr">
        <is>
          <t>6系三元前驱体（单晶/动力型）</t>
        </is>
      </c>
      <c r="C241" s="3" t="n">
        <v>93750</v>
      </c>
      <c r="D241" s="4" t="n">
        <v>98450</v>
      </c>
      <c r="E241" s="4" t="n">
        <v>96100</v>
      </c>
      <c r="F241" s="6" t="n">
        <v>-50</v>
      </c>
      <c r="G241" s="5" t="inlineStr">
        <is>
          <t>元/吨</t>
        </is>
      </c>
      <c r="H241" s="5" t="inlineStr">
        <is>
          <t>SMM</t>
        </is>
      </c>
    </row>
    <row r="242">
      <c r="A242" s="2" t="inlineStr">
        <is>
          <t>2026/06/19</t>
        </is>
      </c>
      <c r="B242" s="2" t="inlineStr">
        <is>
          <t>6系三元材料（单晶/动力型）</t>
        </is>
      </c>
      <c r="C242" s="3" t="n">
        <v>190000</v>
      </c>
      <c r="D242" s="4" t="n">
        <v>199500</v>
      </c>
      <c r="E242" s="4" t="n">
        <v>194750</v>
      </c>
      <c r="F242" s="4" t="n">
        <v>-800</v>
      </c>
      <c r="G242" s="5" t="inlineStr">
        <is>
          <t>元/吨</t>
        </is>
      </c>
      <c r="H242" s="5" t="inlineStr">
        <is>
          <t>SMM</t>
        </is>
      </c>
    </row>
    <row r="243">
      <c r="A243" s="2" t="inlineStr">
        <is>
          <t>2026/06/19</t>
        </is>
      </c>
      <c r="B243" s="2" t="inlineStr">
        <is>
          <t>8系三元前驱体（多晶/动力型）</t>
        </is>
      </c>
      <c r="C243" s="3" t="n">
        <v>116300</v>
      </c>
      <c r="D243" s="4" t="n">
        <v>122000</v>
      </c>
      <c r="E243" s="4" t="n">
        <v>119150</v>
      </c>
      <c r="F243" s="6" t="n">
        <v>-50</v>
      </c>
      <c r="G243" s="5" t="inlineStr">
        <is>
          <t>元/吨</t>
        </is>
      </c>
      <c r="H243" s="5" t="inlineStr">
        <is>
          <t>SMM</t>
        </is>
      </c>
    </row>
    <row r="244">
      <c r="A244" s="2" t="inlineStr">
        <is>
          <t>2026/06/19</t>
        </is>
      </c>
      <c r="B244" s="2" t="inlineStr">
        <is>
          <t>8系三元材料</t>
        </is>
      </c>
      <c r="C244" s="3" t="n">
        <v>213200</v>
      </c>
      <c r="D244" s="4" t="n">
        <v>222800</v>
      </c>
      <c r="E244" s="4" t="n">
        <v>218000</v>
      </c>
      <c r="F244" s="4" t="n">
        <v>-800</v>
      </c>
      <c r="G244" s="5" t="inlineStr">
        <is>
          <t>元/吨</t>
        </is>
      </c>
      <c r="H244" s="5" t="inlineStr">
        <is>
          <t>SMM</t>
        </is>
      </c>
    </row>
    <row r="245">
      <c r="A245" s="2" t="inlineStr">
        <is>
          <t>2026/06/19</t>
        </is>
      </c>
      <c r="B245" s="2" t="inlineStr">
        <is>
          <t>MHP系数（对SMM电池级硫酸镍指数）</t>
        </is>
      </c>
      <c r="C245" s="7" t="n">
        <v>86</v>
      </c>
      <c r="D245" s="6" t="n">
        <v>87</v>
      </c>
      <c r="E245" s="6" t="n">
        <v>86.5</v>
      </c>
      <c r="F245" s="4" t="n">
        <v>0</v>
      </c>
      <c r="G245" s="5" t="inlineStr">
        <is>
          <t>%</t>
        </is>
      </c>
      <c r="H245" s="5" t="inlineStr">
        <is>
          <t>SMM</t>
        </is>
      </c>
    </row>
    <row r="246">
      <c r="A246" s="2" t="inlineStr">
        <is>
          <t>2026/06/19</t>
        </is>
      </c>
      <c r="B246" s="2" t="inlineStr">
        <is>
          <t>MHP钴元素计价系数（对SMM硫酸钴均价）</t>
        </is>
      </c>
      <c r="C246" s="7" t="n">
        <v>92</v>
      </c>
      <c r="D246" s="6" t="n">
        <v>93</v>
      </c>
      <c r="E246" s="6" t="n">
        <v>92.5</v>
      </c>
      <c r="F246" s="4" t="n">
        <v>0</v>
      </c>
      <c r="G246" s="5" t="inlineStr">
        <is>
          <t>%</t>
        </is>
      </c>
      <c r="H246" s="5" t="inlineStr">
        <is>
          <t>SMM</t>
        </is>
      </c>
    </row>
    <row r="247">
      <c r="A247" s="2" t="inlineStr">
        <is>
          <t>2026/06/19</t>
        </is>
      </c>
      <c r="B247" s="2" t="inlineStr">
        <is>
          <t>NCA三元材料</t>
        </is>
      </c>
      <c r="C247" s="3" t="n">
        <v>210300</v>
      </c>
      <c r="D247" s="4" t="n">
        <v>218600</v>
      </c>
      <c r="E247" s="4" t="n">
        <v>214450</v>
      </c>
      <c r="F247" s="4" t="n">
        <v>-800</v>
      </c>
      <c r="G247" s="5" t="inlineStr">
        <is>
          <t>元/吨</t>
        </is>
      </c>
      <c r="H247" s="5" t="inlineStr">
        <is>
          <t>SMM</t>
        </is>
      </c>
    </row>
    <row r="248">
      <c r="A248" s="2" t="inlineStr">
        <is>
          <t>2026/06/19</t>
        </is>
      </c>
      <c r="B248" s="2" t="inlineStr">
        <is>
          <t>SMM三元极片粉钴系数指数</t>
        </is>
      </c>
      <c r="C248" s="7" t="n">
        <v>78.98999999999999</v>
      </c>
      <c r="D248" s="6" t="n">
        <v>78.98999999999999</v>
      </c>
      <c r="E248" s="6" t="n">
        <v>78.98999999999999</v>
      </c>
      <c r="F248" s="6" t="n">
        <v>-0.01</v>
      </c>
      <c r="G248" s="5" t="inlineStr">
        <is>
          <t>%</t>
        </is>
      </c>
      <c r="H248" s="5" t="inlineStr">
        <is>
          <t>SMM</t>
        </is>
      </c>
    </row>
    <row r="249">
      <c r="A249" s="2" t="inlineStr">
        <is>
          <t>2026/06/19</t>
        </is>
      </c>
      <c r="B249" s="2" t="inlineStr">
        <is>
          <t>SMM三元极片粉锂系数指数</t>
        </is>
      </c>
      <c r="C249" s="7" t="n">
        <v>79</v>
      </c>
      <c r="D249" s="6" t="n">
        <v>79</v>
      </c>
      <c r="E249" s="6" t="n">
        <v>79</v>
      </c>
      <c r="F249" s="6" t="n">
        <v>-0.05</v>
      </c>
      <c r="G249" s="5" t="inlineStr">
        <is>
          <t>%</t>
        </is>
      </c>
      <c r="H249" s="5" t="inlineStr">
        <is>
          <t>SMM</t>
        </is>
      </c>
    </row>
    <row r="250">
      <c r="A250" s="2" t="inlineStr">
        <is>
          <t>2026/06/19</t>
        </is>
      </c>
      <c r="B250" s="2" t="inlineStr">
        <is>
          <t>SMM三元极片粉镍系数指数</t>
        </is>
      </c>
      <c r="C250" s="7" t="n">
        <v>79</v>
      </c>
      <c r="D250" s="6" t="n">
        <v>79</v>
      </c>
      <c r="E250" s="6" t="n">
        <v>79</v>
      </c>
      <c r="F250" s="6" t="n">
        <v>-0.05</v>
      </c>
      <c r="G250" s="5" t="inlineStr">
        <is>
          <t>%</t>
        </is>
      </c>
      <c r="H250" s="5" t="inlineStr">
        <is>
          <t>SMM</t>
        </is>
      </c>
    </row>
    <row r="251">
      <c r="A251" s="2" t="inlineStr">
        <is>
          <t>2026/06/19</t>
        </is>
      </c>
      <c r="B251" s="2" t="inlineStr">
        <is>
          <t>SMM三元电池粉钴系数指数</t>
        </is>
      </c>
      <c r="C251" s="7" t="n">
        <v>75.72</v>
      </c>
      <c r="D251" s="6" t="n">
        <v>75.72</v>
      </c>
      <c r="E251" s="6" t="n">
        <v>75.72</v>
      </c>
      <c r="F251" s="4" t="n">
        <v>0</v>
      </c>
      <c r="G251" s="5" t="inlineStr">
        <is>
          <t>%</t>
        </is>
      </c>
      <c r="H251" s="5" t="inlineStr">
        <is>
          <t>SMM</t>
        </is>
      </c>
    </row>
    <row r="252">
      <c r="A252" s="2" t="inlineStr">
        <is>
          <t>2026/06/19</t>
        </is>
      </c>
      <c r="B252" s="2" t="inlineStr">
        <is>
          <t>SMM三元电池粉锂系数指数</t>
        </is>
      </c>
      <c r="C252" s="7" t="n">
        <v>75.73</v>
      </c>
      <c r="D252" s="6" t="n">
        <v>75.73</v>
      </c>
      <c r="E252" s="6" t="n">
        <v>75.73</v>
      </c>
      <c r="F252" s="6" t="n">
        <v>-0.1</v>
      </c>
      <c r="G252" s="5" t="inlineStr">
        <is>
          <t>%</t>
        </is>
      </c>
      <c r="H252" s="5" t="inlineStr">
        <is>
          <t>SMM</t>
        </is>
      </c>
    </row>
    <row r="253">
      <c r="A253" s="2" t="inlineStr">
        <is>
          <t>2026/06/19</t>
        </is>
      </c>
      <c r="B253" s="2" t="inlineStr">
        <is>
          <t>SMM三元电池粉镍系数指数</t>
        </is>
      </c>
      <c r="C253" s="7" t="n">
        <v>75.73</v>
      </c>
      <c r="D253" s="6" t="n">
        <v>75.73</v>
      </c>
      <c r="E253" s="6" t="n">
        <v>75.73</v>
      </c>
      <c r="F253" s="6" t="n">
        <v>-0.1</v>
      </c>
      <c r="G253" s="5" t="inlineStr">
        <is>
          <t>%</t>
        </is>
      </c>
      <c r="H253" s="5" t="inlineStr">
        <is>
          <t>SMM</t>
        </is>
      </c>
    </row>
    <row r="254">
      <c r="A254" s="2" t="inlineStr">
        <is>
          <t>2026/06/19</t>
        </is>
      </c>
      <c r="B254" s="2" t="inlineStr">
        <is>
          <t>SMM六氟磷酸锂指数</t>
        </is>
      </c>
      <c r="C254" s="3" t="n">
        <v>101802</v>
      </c>
      <c r="D254" s="4" t="n">
        <v>105958</v>
      </c>
      <c r="E254" s="4" t="n">
        <v>103880</v>
      </c>
      <c r="F254" s="4" t="n">
        <v>-508.5</v>
      </c>
      <c r="G254" s="5" t="inlineStr">
        <is>
          <t>元/吨</t>
        </is>
      </c>
      <c r="H254" s="5" t="inlineStr">
        <is>
          <t>SMM</t>
        </is>
      </c>
    </row>
    <row r="255">
      <c r="A255" s="2" t="inlineStr">
        <is>
          <t>2026/06/19</t>
        </is>
      </c>
      <c r="B255" s="2" t="inlineStr">
        <is>
          <t>SMM电池级氢氧化锂指数</t>
        </is>
      </c>
      <c r="C255" s="3" t="n">
        <v>152617</v>
      </c>
      <c r="D255" s="4" t="n">
        <v>152617</v>
      </c>
      <c r="E255" s="4" t="n">
        <v>152617</v>
      </c>
      <c r="F255" s="4" t="n">
        <v>-2079</v>
      </c>
      <c r="G255" s="5" t="inlineStr">
        <is>
          <t>元/吨</t>
        </is>
      </c>
      <c r="H255" s="5" t="inlineStr">
        <is>
          <t>SMM</t>
        </is>
      </c>
    </row>
    <row r="256">
      <c r="A256" s="2" t="inlineStr">
        <is>
          <t>2026/06/19</t>
        </is>
      </c>
      <c r="B256" s="2" t="inlineStr">
        <is>
          <t>SMM电池级硫酸锰指数</t>
        </is>
      </c>
      <c r="C256" s="3" t="n">
        <v>7658</v>
      </c>
      <c r="D256" s="4" t="n">
        <v>7658</v>
      </c>
      <c r="E256" s="4" t="n">
        <v>7658</v>
      </c>
      <c r="F256" s="6" t="n">
        <v>3</v>
      </c>
      <c r="G256" s="5" t="inlineStr">
        <is>
          <t>元/吨</t>
        </is>
      </c>
      <c r="H256" s="5" t="inlineStr">
        <is>
          <t>SMM</t>
        </is>
      </c>
    </row>
    <row r="257">
      <c r="A257" s="2" t="inlineStr">
        <is>
          <t>2026/06/19</t>
        </is>
      </c>
      <c r="B257" s="2" t="inlineStr">
        <is>
          <t>SMM电池级硫酸镍指数</t>
        </is>
      </c>
      <c r="C257" s="3" t="n">
        <v>33000</v>
      </c>
      <c r="D257" s="4" t="n">
        <v>33000</v>
      </c>
      <c r="E257" s="4" t="n">
        <v>33000</v>
      </c>
      <c r="F257" s="6" t="n">
        <v>-42</v>
      </c>
      <c r="G257" s="5" t="inlineStr">
        <is>
          <t>元/吨</t>
        </is>
      </c>
      <c r="H257" s="5" t="inlineStr">
        <is>
          <t>SMM</t>
        </is>
      </c>
    </row>
    <row r="258">
      <c r="A258" s="2" t="inlineStr">
        <is>
          <t>2026/06/19</t>
        </is>
      </c>
      <c r="B258" s="2" t="inlineStr">
        <is>
          <t>SMM电池级碳酸锂指数</t>
        </is>
      </c>
      <c r="C258" s="3" t="n">
        <v>167053</v>
      </c>
      <c r="D258" s="4" t="n">
        <v>167053</v>
      </c>
      <c r="E258" s="4" t="n">
        <v>167053</v>
      </c>
      <c r="F258" s="4" t="n">
        <v>-1430</v>
      </c>
      <c r="G258" s="5" t="inlineStr">
        <is>
          <t>元/吨</t>
        </is>
      </c>
      <c r="H258" s="5" t="inlineStr">
        <is>
          <t>SMM</t>
        </is>
      </c>
    </row>
    <row r="259">
      <c r="A259" s="2" t="inlineStr">
        <is>
          <t>2026/06/19</t>
        </is>
      </c>
      <c r="B259" s="2" t="inlineStr">
        <is>
          <t>SMM硫酸钴指数</t>
        </is>
      </c>
      <c r="C259" s="3" t="n">
        <v>88287</v>
      </c>
      <c r="D259" s="4" t="n">
        <v>88287</v>
      </c>
      <c r="E259" s="4" t="n">
        <v>88287</v>
      </c>
      <c r="F259" s="6" t="n">
        <v>-28</v>
      </c>
      <c r="G259" s="5" t="inlineStr">
        <is>
          <t>元/吨</t>
        </is>
      </c>
      <c r="H259" s="5" t="inlineStr">
        <is>
          <t>SMM</t>
        </is>
      </c>
    </row>
    <row r="260">
      <c r="A260" s="2" t="inlineStr">
        <is>
          <t>2026/06/19</t>
        </is>
      </c>
      <c r="B260" s="2" t="inlineStr">
        <is>
          <t>SMM磷酸铁锂极片粉指数</t>
        </is>
      </c>
      <c r="C260" s="3" t="n">
        <v>7458</v>
      </c>
      <c r="D260" s="4" t="n">
        <v>7458</v>
      </c>
      <c r="E260" s="4" t="n">
        <v>7458</v>
      </c>
      <c r="F260" s="6" t="n">
        <v>-31</v>
      </c>
      <c r="G260" s="5" t="inlineStr">
        <is>
          <t>元/锂点</t>
        </is>
      </c>
      <c r="H260" s="5" t="inlineStr">
        <is>
          <t>SMM</t>
        </is>
      </c>
    </row>
    <row r="261">
      <c r="A261" s="2" t="inlineStr">
        <is>
          <t>2026/06/19</t>
        </is>
      </c>
      <c r="B261" s="2" t="inlineStr">
        <is>
          <t>SMM磷酸铁锂电池粉指数</t>
        </is>
      </c>
      <c r="C261" s="3" t="n">
        <v>6975</v>
      </c>
      <c r="D261" s="4" t="n">
        <v>6975</v>
      </c>
      <c r="E261" s="4" t="n">
        <v>6975</v>
      </c>
      <c r="F261" s="6" t="n">
        <v>-87</v>
      </c>
      <c r="G261" s="5" t="inlineStr">
        <is>
          <t>元/锂点</t>
        </is>
      </c>
      <c r="H261" s="5" t="inlineStr">
        <is>
          <t>SMM</t>
        </is>
      </c>
    </row>
    <row r="262">
      <c r="A262" s="2" t="inlineStr">
        <is>
          <t>2026/06/19</t>
        </is>
      </c>
      <c r="B262" s="2" t="inlineStr">
        <is>
          <t>SMM钴酸锂极片粉钴系数指数</t>
        </is>
      </c>
      <c r="C262" s="7" t="n">
        <v>82.53</v>
      </c>
      <c r="D262" s="6" t="n">
        <v>82.53</v>
      </c>
      <c r="E262" s="6" t="n">
        <v>82.53</v>
      </c>
      <c r="F262" s="4" t="n">
        <v>0</v>
      </c>
      <c r="G262" s="5" t="inlineStr">
        <is>
          <t>%</t>
        </is>
      </c>
      <c r="H262" s="5" t="inlineStr">
        <is>
          <t>SMM</t>
        </is>
      </c>
    </row>
    <row r="263">
      <c r="A263" s="2" t="inlineStr">
        <is>
          <t>2026/06/19</t>
        </is>
      </c>
      <c r="B263" s="2" t="inlineStr">
        <is>
          <t>SMM钴酸锂极片粉锂系数指数</t>
        </is>
      </c>
      <c r="C263" s="7" t="n">
        <v>76.5</v>
      </c>
      <c r="D263" s="6" t="n">
        <v>76.5</v>
      </c>
      <c r="E263" s="6" t="n">
        <v>76.5</v>
      </c>
      <c r="F263" s="4" t="n">
        <v>0</v>
      </c>
      <c r="G263" s="5" t="inlineStr">
        <is>
          <t>%</t>
        </is>
      </c>
      <c r="H263" s="5" t="inlineStr">
        <is>
          <t>SMM</t>
        </is>
      </c>
    </row>
    <row r="264">
      <c r="A264" s="2" t="inlineStr">
        <is>
          <t>2026/06/19</t>
        </is>
      </c>
      <c r="B264" s="2" t="inlineStr">
        <is>
          <t>SMM钴酸锂电池粉钴系数指数</t>
        </is>
      </c>
      <c r="C264" s="7" t="n">
        <v>80.13</v>
      </c>
      <c r="D264" s="6" t="n">
        <v>80.13</v>
      </c>
      <c r="E264" s="6" t="n">
        <v>80.13</v>
      </c>
      <c r="F264" s="4" t="n">
        <v>0</v>
      </c>
      <c r="G264" s="5" t="inlineStr">
        <is>
          <t>%</t>
        </is>
      </c>
      <c r="H264" s="5" t="inlineStr">
        <is>
          <t>SMM</t>
        </is>
      </c>
    </row>
    <row r="265">
      <c r="A265" s="2" t="inlineStr">
        <is>
          <t>2026/06/19</t>
        </is>
      </c>
      <c r="B265" s="2" t="inlineStr">
        <is>
          <t>SMM钴酸锂电池粉锂系数指数</t>
        </is>
      </c>
      <c r="C265" s="7" t="n">
        <v>76.11</v>
      </c>
      <c r="D265" s="6" t="n">
        <v>76.11</v>
      </c>
      <c r="E265" s="6" t="n">
        <v>76.11</v>
      </c>
      <c r="F265" s="4" t="n">
        <v>0</v>
      </c>
      <c r="G265" s="5" t="inlineStr">
        <is>
          <t>%</t>
        </is>
      </c>
      <c r="H265" s="5" t="inlineStr">
        <is>
          <t>SMM</t>
        </is>
      </c>
    </row>
    <row r="266">
      <c r="A266" s="2" t="inlineStr">
        <is>
          <t>2026/06/19</t>
        </is>
      </c>
      <c r="B266" s="2" t="inlineStr">
        <is>
          <t>三元方壳锂电B品</t>
        </is>
      </c>
      <c r="C266" s="7" t="n">
        <v>0.75</v>
      </c>
      <c r="D266" s="6" t="n">
        <v>0.85</v>
      </c>
      <c r="E266" s="6" t="n">
        <v>0.8</v>
      </c>
      <c r="F266" s="4" t="n">
        <v>0</v>
      </c>
      <c r="G266" s="5" t="inlineStr">
        <is>
          <t>元/Ah</t>
        </is>
      </c>
      <c r="H266" s="5" t="inlineStr">
        <is>
          <t>SMM</t>
        </is>
      </c>
    </row>
    <row r="267">
      <c r="A267" s="2" t="inlineStr">
        <is>
          <t>2026/06/19</t>
        </is>
      </c>
      <c r="B267" s="2" t="inlineStr">
        <is>
          <t>六氟磷酸锂（国产）</t>
        </is>
      </c>
      <c r="C267" s="3" t="n">
        <v>110000</v>
      </c>
      <c r="D267" s="4" t="n">
        <v>112000</v>
      </c>
      <c r="E267" s="4" t="n">
        <v>111000</v>
      </c>
      <c r="F267" s="4" t="n">
        <v>-3000</v>
      </c>
      <c r="G267" s="5" t="inlineStr">
        <is>
          <t>元/吨</t>
        </is>
      </c>
      <c r="H267" s="5" t="inlineStr">
        <is>
          <t>SMM</t>
        </is>
      </c>
    </row>
    <row r="268">
      <c r="A268" s="2" t="inlineStr">
        <is>
          <t>2026/06/19</t>
        </is>
      </c>
      <c r="B268" s="2" t="inlineStr">
        <is>
          <t>四氧化三钴</t>
        </is>
      </c>
      <c r="C268" s="3" t="n">
        <v>332000</v>
      </c>
      <c r="D268" s="4" t="n">
        <v>345000</v>
      </c>
      <c r="E268" s="4" t="n">
        <v>338500</v>
      </c>
      <c r="F268" s="4" t="n">
        <v>0</v>
      </c>
      <c r="G268" s="5" t="inlineStr">
        <is>
          <t>元/吨</t>
        </is>
      </c>
      <c r="H268" s="5" t="inlineStr">
        <is>
          <t>SMM</t>
        </is>
      </c>
    </row>
    <row r="269">
      <c r="A269" s="2" t="inlineStr">
        <is>
          <t>2026/06/19</t>
        </is>
      </c>
      <c r="B269" s="2" t="inlineStr">
        <is>
          <t>四氧化三锰（电池级）</t>
        </is>
      </c>
      <c r="C269" s="3" t="n">
        <v>14000</v>
      </c>
      <c r="D269" s="4" t="n">
        <v>16000</v>
      </c>
      <c r="E269" s="4" t="n">
        <v>15000</v>
      </c>
      <c r="F269" s="4" t="n">
        <v>0</v>
      </c>
      <c r="G269" s="5" t="inlineStr">
        <is>
          <t>元/吨</t>
        </is>
      </c>
      <c r="H269" s="5" t="inlineStr">
        <is>
          <t>SMM</t>
        </is>
      </c>
    </row>
    <row r="270">
      <c r="A270" s="2" t="inlineStr">
        <is>
          <t>2026/06/19</t>
        </is>
      </c>
      <c r="B270" s="2" t="inlineStr">
        <is>
          <t>工业级氢氧化锂</t>
        </is>
      </c>
      <c r="C270" s="3" t="n">
        <v>136000</v>
      </c>
      <c r="D270" s="4" t="n">
        <v>144000</v>
      </c>
      <c r="E270" s="4" t="n">
        <v>140000</v>
      </c>
      <c r="F270" s="4" t="n">
        <v>-2000</v>
      </c>
      <c r="G270" s="5" t="inlineStr">
        <is>
          <t>元/吨</t>
        </is>
      </c>
      <c r="H270" s="5" t="inlineStr">
        <is>
          <t>SMM</t>
        </is>
      </c>
    </row>
    <row r="271">
      <c r="A271" s="2" t="inlineStr">
        <is>
          <t>2026/06/19</t>
        </is>
      </c>
      <c r="B271" s="2" t="inlineStr">
        <is>
          <t>工业级碳酸锂</t>
        </is>
      </c>
      <c r="C271" s="3" t="n">
        <v>160500</v>
      </c>
      <c r="D271" s="4" t="n">
        <v>166000</v>
      </c>
      <c r="E271" s="4" t="n">
        <v>163250</v>
      </c>
      <c r="F271" s="4" t="n">
        <v>-2250</v>
      </c>
      <c r="G271" s="5" t="inlineStr">
        <is>
          <t>元/吨</t>
        </is>
      </c>
      <c r="H271" s="5" t="inlineStr">
        <is>
          <t>SMM</t>
        </is>
      </c>
    </row>
    <row r="272">
      <c r="A272" s="2" t="inlineStr">
        <is>
          <t>2026/06/19</t>
        </is>
      </c>
      <c r="B272" s="2" t="inlineStr">
        <is>
          <t>工业级金属锂</t>
        </is>
      </c>
      <c r="C272" s="3" t="n">
        <v>1070000</v>
      </c>
      <c r="D272" s="4" t="n">
        <v>1130000</v>
      </c>
      <c r="E272" s="4" t="n">
        <v>1100000</v>
      </c>
      <c r="F272" s="4" t="n">
        <v>-5000</v>
      </c>
      <c r="G272" s="5" t="inlineStr">
        <is>
          <t>元/吨</t>
        </is>
      </c>
      <c r="H272" s="5" t="inlineStr">
        <is>
          <t>SMM</t>
        </is>
      </c>
    </row>
    <row r="273">
      <c r="A273" s="2" t="inlineStr">
        <is>
          <t>2026/06/19</t>
        </is>
      </c>
      <c r="B273" s="2" t="inlineStr">
        <is>
          <t>巴西锂辉石精矿（CIF中国）现货</t>
        </is>
      </c>
      <c r="C273" s="3" t="n">
        <v>2370</v>
      </c>
      <c r="D273" s="4" t="n">
        <v>2500</v>
      </c>
      <c r="E273" s="4" t="n">
        <v>2435</v>
      </c>
      <c r="F273" s="6" t="n">
        <v>-46</v>
      </c>
      <c r="G273" s="5" t="inlineStr">
        <is>
          <t>美元/吨</t>
        </is>
      </c>
      <c r="H273" s="5" t="inlineStr">
        <is>
          <t>SMM</t>
        </is>
      </c>
    </row>
    <row r="274">
      <c r="A274" s="2" t="inlineStr">
        <is>
          <t>2026/06/19</t>
        </is>
      </c>
      <c r="B274" s="2" t="inlineStr">
        <is>
          <t>废旧磷酸铁锂储能正极片</t>
        </is>
      </c>
      <c r="C274" s="3" t="n">
        <v>21800</v>
      </c>
      <c r="D274" s="4" t="n">
        <v>25200</v>
      </c>
      <c r="E274" s="4" t="n">
        <v>23500</v>
      </c>
      <c r="F274" s="4" t="n">
        <v>-300</v>
      </c>
      <c r="G274" s="5" t="inlineStr">
        <is>
          <t>元/吨</t>
        </is>
      </c>
      <c r="H274" s="5" t="inlineStr">
        <is>
          <t>SMM</t>
        </is>
      </c>
    </row>
    <row r="275">
      <c r="A275" s="2" t="inlineStr">
        <is>
          <t>2026/06/19</t>
        </is>
      </c>
      <c r="B275" s="2" t="inlineStr">
        <is>
          <t>废旧磷酸铁锂动力正极片</t>
        </is>
      </c>
      <c r="C275" s="3" t="n">
        <v>25850</v>
      </c>
      <c r="D275" s="4" t="n">
        <v>30350</v>
      </c>
      <c r="E275" s="4" t="n">
        <v>28100</v>
      </c>
      <c r="F275" s="4" t="n">
        <v>-375</v>
      </c>
      <c r="G275" s="5" t="inlineStr">
        <is>
          <t>元/吨</t>
        </is>
      </c>
      <c r="H275" s="5" t="inlineStr">
        <is>
          <t>SMM</t>
        </is>
      </c>
    </row>
    <row r="276">
      <c r="A276" s="2" t="inlineStr">
        <is>
          <t>2026/06/19</t>
        </is>
      </c>
      <c r="B276" s="2" t="inlineStr">
        <is>
          <t>废旧磷酸铁锂软包电池</t>
        </is>
      </c>
      <c r="C276" s="3" t="n">
        <v>16300</v>
      </c>
      <c r="D276" s="4" t="n">
        <v>17600</v>
      </c>
      <c r="E276" s="4" t="n">
        <v>16950</v>
      </c>
      <c r="F276" s="4" t="n">
        <v>-300</v>
      </c>
      <c r="G276" s="5" t="inlineStr">
        <is>
          <t>元/吨</t>
        </is>
      </c>
      <c r="H276" s="5" t="inlineStr">
        <is>
          <t>SMM</t>
        </is>
      </c>
    </row>
    <row r="277">
      <c r="A277" s="2" t="inlineStr">
        <is>
          <t>2026/06/19</t>
        </is>
      </c>
      <c r="B277" s="2" t="inlineStr">
        <is>
          <t>废旧磷酸铁锂钢壳电池</t>
        </is>
      </c>
      <c r="C277" s="3" t="n">
        <v>10500</v>
      </c>
      <c r="D277" s="4" t="n">
        <v>11500</v>
      </c>
      <c r="E277" s="4" t="n">
        <v>11000</v>
      </c>
      <c r="F277" s="4" t="n">
        <v>-150</v>
      </c>
      <c r="G277" s="5" t="inlineStr">
        <is>
          <t>元/吨</t>
        </is>
      </c>
      <c r="H277" s="5" t="inlineStr">
        <is>
          <t>SMM</t>
        </is>
      </c>
    </row>
    <row r="278">
      <c r="A278" s="2" t="inlineStr">
        <is>
          <t>2026/06/19</t>
        </is>
      </c>
      <c r="B278" s="2" t="inlineStr">
        <is>
          <t>废旧磷酸铁锂铝壳电池</t>
        </is>
      </c>
      <c r="C278" s="3" t="n">
        <v>17400</v>
      </c>
      <c r="D278" s="4" t="n">
        <v>18800</v>
      </c>
      <c r="E278" s="4" t="n">
        <v>18100</v>
      </c>
      <c r="F278" s="4" t="n">
        <v>-300</v>
      </c>
      <c r="G278" s="5" t="inlineStr">
        <is>
          <t>元/吨</t>
        </is>
      </c>
      <c r="H278" s="5" t="inlineStr">
        <is>
          <t>SMM</t>
        </is>
      </c>
    </row>
    <row r="279">
      <c r="A279" s="2" t="inlineStr">
        <is>
          <t>2026/06/19</t>
        </is>
      </c>
      <c r="B279" s="2" t="inlineStr">
        <is>
          <t>方形磷酸铁锂电池B品</t>
        </is>
      </c>
      <c r="C279" s="7" t="n">
        <v>0.68</v>
      </c>
      <c r="D279" s="6" t="n">
        <v>0.8</v>
      </c>
      <c r="E279" s="6" t="n">
        <v>0.74</v>
      </c>
      <c r="F279" s="4" t="n">
        <v>0</v>
      </c>
      <c r="G279" s="5" t="inlineStr">
        <is>
          <t>元/Ah</t>
        </is>
      </c>
      <c r="H279" s="5" t="inlineStr">
        <is>
          <t>SMM</t>
        </is>
      </c>
    </row>
    <row r="280">
      <c r="A280" s="2" t="inlineStr">
        <is>
          <t>2026/06/19</t>
        </is>
      </c>
      <c r="B280" s="2" t="inlineStr">
        <is>
          <t>氧化亚镍</t>
        </is>
      </c>
      <c r="C280" s="3" t="n">
        <v>118000</v>
      </c>
      <c r="D280" s="4" t="n">
        <v>126000</v>
      </c>
      <c r="E280" s="4" t="n">
        <v>122000</v>
      </c>
      <c r="F280" s="4" t="n">
        <v>0</v>
      </c>
      <c r="G280" s="5" t="inlineStr">
        <is>
          <t>元/吨</t>
        </is>
      </c>
      <c r="H280" s="5" t="inlineStr">
        <is>
          <t>SMM</t>
        </is>
      </c>
    </row>
    <row r="281">
      <c r="A281" s="2" t="inlineStr">
        <is>
          <t>2026/06/19</t>
        </is>
      </c>
      <c r="B281" s="2" t="inlineStr">
        <is>
          <t>氧化钴</t>
        </is>
      </c>
      <c r="C281" s="3" t="n">
        <v>305000</v>
      </c>
      <c r="D281" s="4" t="n">
        <v>320000</v>
      </c>
      <c r="E281" s="4" t="n">
        <v>312500</v>
      </c>
      <c r="F281" s="4" t="n">
        <v>0</v>
      </c>
      <c r="G281" s="5" t="inlineStr">
        <is>
          <t>元/吨</t>
        </is>
      </c>
      <c r="H281" s="5" t="inlineStr">
        <is>
          <t>SMM</t>
        </is>
      </c>
    </row>
    <row r="282">
      <c r="A282" s="2" t="inlineStr">
        <is>
          <t>2026/06/19</t>
        </is>
      </c>
      <c r="B282" s="2" t="inlineStr">
        <is>
          <t>氯化钴</t>
        </is>
      </c>
      <c r="C282" s="3" t="n">
        <v>106000</v>
      </c>
      <c r="D282" s="4" t="n">
        <v>112000</v>
      </c>
      <c r="E282" s="4" t="n">
        <v>109000</v>
      </c>
      <c r="F282" s="4" t="n">
        <v>0</v>
      </c>
      <c r="G282" s="5" t="inlineStr">
        <is>
          <t>元/吨</t>
        </is>
      </c>
      <c r="H282" s="5" t="inlineStr">
        <is>
          <t>SMM</t>
        </is>
      </c>
    </row>
    <row r="283">
      <c r="A283" s="2" t="inlineStr">
        <is>
          <t>2026/06/19</t>
        </is>
      </c>
      <c r="B283" s="2" t="inlineStr">
        <is>
          <t>氯化镍NiCl₂·6H₂O</t>
        </is>
      </c>
      <c r="C283" s="3" t="n">
        <v>38500</v>
      </c>
      <c r="D283" s="4" t="n">
        <v>41000</v>
      </c>
      <c r="E283" s="4" t="n">
        <v>39750</v>
      </c>
      <c r="F283" s="4" t="n">
        <v>-250</v>
      </c>
      <c r="G283" s="5" t="inlineStr">
        <is>
          <t>元/吨</t>
        </is>
      </c>
      <c r="H283" s="5" t="inlineStr">
        <is>
          <t>SMM</t>
        </is>
      </c>
    </row>
    <row r="284">
      <c r="A284" s="2" t="inlineStr">
        <is>
          <t>2026/06/19</t>
        </is>
      </c>
      <c r="B284" s="2" t="inlineStr">
        <is>
          <t>津巴布韦锂辉石精矿（CIF中国）现货</t>
        </is>
      </c>
      <c r="C284" s="3" t="n">
        <v>2380</v>
      </c>
      <c r="D284" s="4" t="n">
        <v>2450</v>
      </c>
      <c r="E284" s="4" t="n">
        <v>2415</v>
      </c>
      <c r="F284" s="6" t="n">
        <v>-60</v>
      </c>
      <c r="G284" s="5" t="inlineStr">
        <is>
          <t>美元/吨</t>
        </is>
      </c>
      <c r="H284" s="5" t="inlineStr">
        <is>
          <t>SMM</t>
        </is>
      </c>
    </row>
    <row r="285">
      <c r="A285" s="2" t="inlineStr">
        <is>
          <t>2026/06/19</t>
        </is>
      </c>
      <c r="B285" s="2" t="inlineStr">
        <is>
          <t>澳大利亚锂辉石精矿（CIF中国）现货</t>
        </is>
      </c>
      <c r="C285" s="3" t="n">
        <v>2390</v>
      </c>
      <c r="D285" s="4" t="n">
        <v>2510</v>
      </c>
      <c r="E285" s="4" t="n">
        <v>2450</v>
      </c>
      <c r="F285" s="6" t="n">
        <v>-46</v>
      </c>
      <c r="G285" s="5" t="inlineStr">
        <is>
          <t>美元/吨</t>
        </is>
      </c>
      <c r="H285" s="5" t="inlineStr">
        <is>
          <t>SMM</t>
        </is>
      </c>
    </row>
    <row r="286">
      <c r="A286" s="2" t="inlineStr">
        <is>
          <t>2026/06/19</t>
        </is>
      </c>
      <c r="B286" s="2" t="inlineStr">
        <is>
          <t>电池级无水氯化锂</t>
        </is>
      </c>
      <c r="C286" s="3" t="n">
        <v>235</v>
      </c>
      <c r="D286" s="4" t="n">
        <v>291</v>
      </c>
      <c r="E286" s="4" t="n">
        <v>263</v>
      </c>
      <c r="F286" s="4" t="n">
        <v>0</v>
      </c>
      <c r="G286" s="5" t="inlineStr">
        <is>
          <t>元/千克</t>
        </is>
      </c>
      <c r="H286" s="5" t="inlineStr">
        <is>
          <t>SMM</t>
        </is>
      </c>
    </row>
    <row r="287">
      <c r="A287" s="2" t="inlineStr">
        <is>
          <t>2026/06/19</t>
        </is>
      </c>
      <c r="B287" s="2" t="inlineStr">
        <is>
          <t>电池级氟化锂</t>
        </is>
      </c>
      <c r="C287" s="3" t="n">
        <v>285000</v>
      </c>
      <c r="D287" s="4" t="n">
        <v>290000</v>
      </c>
      <c r="E287" s="4" t="n">
        <v>287500</v>
      </c>
      <c r="F287" s="4" t="n">
        <v>-4000</v>
      </c>
      <c r="G287" s="5" t="inlineStr">
        <is>
          <t>元/吨</t>
        </is>
      </c>
      <c r="H287" s="5" t="inlineStr">
        <is>
          <t>SMM</t>
        </is>
      </c>
    </row>
    <row r="288">
      <c r="A288" s="2" t="inlineStr">
        <is>
          <t>2026/06/19</t>
        </is>
      </c>
      <c r="B288" s="2" t="inlineStr">
        <is>
          <t>电池级氢氧化锂(CIF中日韩)</t>
        </is>
      </c>
      <c r="C288" s="7" t="n">
        <v>17.85</v>
      </c>
      <c r="D288" s="6" t="n">
        <v>20.95</v>
      </c>
      <c r="E288" s="6" t="n">
        <v>19.4</v>
      </c>
      <c r="F288" s="6" t="n">
        <v>-0.05</v>
      </c>
      <c r="G288" s="5" t="inlineStr">
        <is>
          <t>美元/千克</t>
        </is>
      </c>
      <c r="H288" s="5" t="inlineStr">
        <is>
          <t>SMM</t>
        </is>
      </c>
    </row>
    <row r="289">
      <c r="A289" s="2" t="inlineStr">
        <is>
          <t>2026/06/19</t>
        </is>
      </c>
      <c r="B289" s="2" t="inlineStr">
        <is>
          <t>电池级氢氧化锂(CIF韩国)</t>
        </is>
      </c>
      <c r="C289" s="7" t="n">
        <v>17.7</v>
      </c>
      <c r="D289" s="6" t="n">
        <v>20.9</v>
      </c>
      <c r="E289" s="6" t="n">
        <v>19.3</v>
      </c>
      <c r="F289" s="6" t="n">
        <v>-0.05</v>
      </c>
      <c r="G289" s="5" t="inlineStr">
        <is>
          <t>美元/千克</t>
        </is>
      </c>
      <c r="H289" s="5" t="inlineStr">
        <is>
          <t>SMM</t>
        </is>
      </c>
    </row>
    <row r="290">
      <c r="A290" s="2" t="inlineStr">
        <is>
          <t>2026/06/19</t>
        </is>
      </c>
      <c r="B290" s="2" t="inlineStr">
        <is>
          <t>电池级氢氧化锂(微粉）</t>
        </is>
      </c>
      <c r="C290" s="3" t="n">
        <v>152000</v>
      </c>
      <c r="D290" s="4" t="n">
        <v>165000</v>
      </c>
      <c r="E290" s="4" t="n">
        <v>158500</v>
      </c>
      <c r="F290" s="4" t="n">
        <v>-2000</v>
      </c>
      <c r="G290" s="5" t="inlineStr">
        <is>
          <t>元/吨</t>
        </is>
      </c>
      <c r="H290" s="5" t="inlineStr">
        <is>
          <t>SMM</t>
        </is>
      </c>
    </row>
    <row r="291">
      <c r="A291" s="2" t="inlineStr">
        <is>
          <t>2026/06/19</t>
        </is>
      </c>
      <c r="B291" s="2" t="inlineStr">
        <is>
          <t>电池级氢氧化锂（粗颗粒）</t>
        </is>
      </c>
      <c r="C291" s="3" t="n">
        <v>145000</v>
      </c>
      <c r="D291" s="4" t="n">
        <v>160000</v>
      </c>
      <c r="E291" s="4" t="n">
        <v>152500</v>
      </c>
      <c r="F291" s="4" t="n">
        <v>-2000</v>
      </c>
      <c r="G291" s="5" t="inlineStr">
        <is>
          <t>元/吨</t>
        </is>
      </c>
      <c r="H291" s="5" t="inlineStr">
        <is>
          <t>SMM</t>
        </is>
      </c>
    </row>
    <row r="292">
      <c r="A292" s="2" t="inlineStr">
        <is>
          <t>2026/06/19</t>
        </is>
      </c>
      <c r="B292" s="2" t="inlineStr">
        <is>
          <t>电池级硫酸锰（出厂价）</t>
        </is>
      </c>
      <c r="C292" s="3" t="n">
        <v>7590</v>
      </c>
      <c r="D292" s="4" t="n">
        <v>7790</v>
      </c>
      <c r="E292" s="4" t="n">
        <v>7690</v>
      </c>
      <c r="F292" s="4" t="n">
        <v>0</v>
      </c>
      <c r="G292" s="5" t="inlineStr">
        <is>
          <t>元/吨</t>
        </is>
      </c>
      <c r="H292" s="5" t="inlineStr">
        <is>
          <t>SMM</t>
        </is>
      </c>
    </row>
    <row r="293">
      <c r="A293" s="2" t="inlineStr">
        <is>
          <t>2026/06/19</t>
        </is>
      </c>
      <c r="B293" s="2" t="inlineStr">
        <is>
          <t>电池级硫酸镍</t>
        </is>
      </c>
      <c r="C293" s="3" t="n">
        <v>33370</v>
      </c>
      <c r="D293" s="4" t="n">
        <v>33750</v>
      </c>
      <c r="E293" s="4" t="n">
        <v>33560</v>
      </c>
      <c r="F293" s="6" t="n">
        <v>-50</v>
      </c>
      <c r="G293" s="5" t="inlineStr">
        <is>
          <t>元/吨</t>
        </is>
      </c>
      <c r="H293" s="5" t="inlineStr">
        <is>
          <t>SMM</t>
        </is>
      </c>
    </row>
    <row r="294">
      <c r="A294" s="2" t="inlineStr">
        <is>
          <t>2026/06/19</t>
        </is>
      </c>
      <c r="B294" s="2" t="inlineStr">
        <is>
          <t>电池级碳酸锂</t>
        </is>
      </c>
      <c r="C294" s="3" t="n">
        <v>164500</v>
      </c>
      <c r="D294" s="4" t="n">
        <v>170000</v>
      </c>
      <c r="E294" s="4" t="n">
        <v>167250</v>
      </c>
      <c r="F294" s="4" t="n">
        <v>-2250</v>
      </c>
      <c r="G294" s="5" t="inlineStr">
        <is>
          <t>元/吨</t>
        </is>
      </c>
      <c r="H294" s="5" t="inlineStr">
        <is>
          <t>SMM</t>
        </is>
      </c>
    </row>
    <row r="295">
      <c r="A295" s="2" t="inlineStr">
        <is>
          <t>2026/06/19</t>
        </is>
      </c>
      <c r="B295" s="2" t="inlineStr">
        <is>
          <t>电池级碳酸锂(CIF韩国)</t>
        </is>
      </c>
      <c r="C295" s="7" t="n">
        <v>19.85</v>
      </c>
      <c r="D295" s="6" t="n">
        <v>21.9</v>
      </c>
      <c r="E295" s="6" t="n">
        <v>20.88</v>
      </c>
      <c r="F295" s="6" t="n">
        <v>-0.08</v>
      </c>
      <c r="G295" s="5" t="inlineStr">
        <is>
          <t>美元/千克</t>
        </is>
      </c>
      <c r="H295" s="5" t="inlineStr">
        <is>
          <t>SMM</t>
        </is>
      </c>
    </row>
    <row r="296">
      <c r="A296" s="2" t="inlineStr">
        <is>
          <t>2026/06/19</t>
        </is>
      </c>
      <c r="B296" s="2" t="inlineStr">
        <is>
          <t>电池级碳酸锂（CIF中日韩）</t>
        </is>
      </c>
      <c r="C296" s="7" t="n">
        <v>20.05</v>
      </c>
      <c r="D296" s="6" t="n">
        <v>21.95</v>
      </c>
      <c r="E296" s="6" t="n">
        <v>21</v>
      </c>
      <c r="F296" s="6" t="n">
        <v>-0.08</v>
      </c>
      <c r="G296" s="5" t="inlineStr">
        <is>
          <t>美元/千克</t>
        </is>
      </c>
      <c r="H296" s="5" t="inlineStr">
        <is>
          <t>SMM</t>
        </is>
      </c>
    </row>
    <row r="297">
      <c r="A297" s="2" t="inlineStr">
        <is>
          <t>2026/06/19</t>
        </is>
      </c>
      <c r="B297" s="2" t="inlineStr">
        <is>
          <t>电池级金属锂</t>
        </is>
      </c>
      <c r="C297" s="3" t="n">
        <v>1100000</v>
      </c>
      <c r="D297" s="4" t="n">
        <v>1160000</v>
      </c>
      <c r="E297" s="4" t="n">
        <v>1130000</v>
      </c>
      <c r="F297" s="4" t="n">
        <v>-5000</v>
      </c>
      <c r="G297" s="5" t="inlineStr">
        <is>
          <t>元/吨</t>
        </is>
      </c>
      <c r="H297" s="5" t="inlineStr">
        <is>
          <t>SMM</t>
        </is>
      </c>
    </row>
    <row r="298">
      <c r="A298" s="2" t="inlineStr">
        <is>
          <t>2026/06/19</t>
        </is>
      </c>
      <c r="B298" s="2" t="inlineStr">
        <is>
          <t>电解钴</t>
        </is>
      </c>
      <c r="C298" s="3" t="n">
        <v>372000</v>
      </c>
      <c r="D298" s="4" t="n">
        <v>395000</v>
      </c>
      <c r="E298" s="4" t="n">
        <v>383500</v>
      </c>
      <c r="F298" s="4" t="n">
        <v>-10000</v>
      </c>
      <c r="G298" s="5" t="inlineStr">
        <is>
          <t>元/吨</t>
        </is>
      </c>
      <c r="H298" s="5" t="inlineStr">
        <is>
          <t>SMM</t>
        </is>
      </c>
    </row>
    <row r="299">
      <c r="A299" s="2" t="inlineStr">
        <is>
          <t>2026/06/19</t>
        </is>
      </c>
      <c r="B299" s="2" t="inlineStr">
        <is>
          <t>电解钴（鹿特丹仓库）</t>
        </is>
      </c>
      <c r="C299" s="7" t="n">
        <v>25.5</v>
      </c>
      <c r="D299" s="6" t="n">
        <v>27</v>
      </c>
      <c r="E299" s="6" t="n">
        <v>26.25</v>
      </c>
      <c r="F299" s="4" t="n">
        <v>0</v>
      </c>
      <c r="G299" s="5" t="inlineStr">
        <is>
          <t>美元/磅</t>
        </is>
      </c>
      <c r="H299" s="5" t="inlineStr">
        <is>
          <t>SMM</t>
        </is>
      </c>
    </row>
    <row r="300">
      <c r="A300" s="2" t="inlineStr">
        <is>
          <t>2026/06/19</t>
        </is>
      </c>
      <c r="B300" s="2" t="inlineStr">
        <is>
          <t>电镀级硫酸镍</t>
        </is>
      </c>
      <c r="C300" s="3" t="n">
        <v>32500</v>
      </c>
      <c r="D300" s="4" t="n">
        <v>37000</v>
      </c>
      <c r="E300" s="4" t="n">
        <v>34750</v>
      </c>
      <c r="F300" s="4" t="n">
        <v>-2000</v>
      </c>
      <c r="G300" s="5" t="inlineStr">
        <is>
          <t>元/吨</t>
        </is>
      </c>
      <c r="H300" s="5" t="inlineStr">
        <is>
          <t>SMM</t>
        </is>
      </c>
    </row>
    <row r="301">
      <c r="A301" s="2" t="inlineStr">
        <is>
          <t>2026/06/19</t>
        </is>
      </c>
      <c r="B301" s="2" t="inlineStr">
        <is>
          <t>硫酸钴</t>
        </is>
      </c>
      <c r="C301" s="3" t="n">
        <v>87000</v>
      </c>
      <c r="D301" s="4" t="n">
        <v>90000</v>
      </c>
      <c r="E301" s="4" t="n">
        <v>88500</v>
      </c>
      <c r="F301" s="4" t="n">
        <v>0</v>
      </c>
      <c r="G301" s="5" t="inlineStr">
        <is>
          <t>元/吨</t>
        </is>
      </c>
      <c r="H301" s="5" t="inlineStr">
        <is>
          <t>SMM</t>
        </is>
      </c>
    </row>
    <row r="302">
      <c r="A302" s="2" t="inlineStr">
        <is>
          <t>2026/06/19</t>
        </is>
      </c>
      <c r="B302" s="2" t="inlineStr">
        <is>
          <t>碳酸钴</t>
        </is>
      </c>
      <c r="C302" s="3" t="n">
        <v>210000</v>
      </c>
      <c r="D302" s="4" t="n">
        <v>220000</v>
      </c>
      <c r="E302" s="4" t="n">
        <v>215000</v>
      </c>
      <c r="F302" s="4" t="n">
        <v>-2500</v>
      </c>
      <c r="G302" s="5" t="inlineStr">
        <is>
          <t>元/吨</t>
        </is>
      </c>
      <c r="H302" s="5" t="inlineStr">
        <is>
          <t>SMM</t>
        </is>
      </c>
    </row>
    <row r="303">
      <c r="A303" s="2" t="inlineStr">
        <is>
          <t>2026/06/19</t>
        </is>
      </c>
      <c r="B303" s="2" t="inlineStr">
        <is>
          <t>磷酸铁锂</t>
        </is>
      </c>
      <c r="C303" s="3" t="n">
        <v>59180</v>
      </c>
      <c r="D303" s="4" t="n">
        <v>59780</v>
      </c>
      <c r="E303" s="4" t="n">
        <v>59480</v>
      </c>
      <c r="F303" s="4" t="n">
        <v>-550</v>
      </c>
      <c r="G303" s="5" t="inlineStr">
        <is>
          <t>元/吨</t>
        </is>
      </c>
      <c r="H303" s="5" t="inlineStr">
        <is>
          <t>SMM</t>
        </is>
      </c>
    </row>
    <row r="304">
      <c r="A304" s="2" t="inlineStr">
        <is>
          <t>2026/06/19</t>
        </is>
      </c>
      <c r="B304" s="2" t="inlineStr">
        <is>
          <t>磷酸锰铁锂</t>
        </is>
      </c>
      <c r="C304" s="3" t="n">
        <v>64500</v>
      </c>
      <c r="D304" s="4" t="n">
        <v>69500</v>
      </c>
      <c r="E304" s="4" t="n">
        <v>67000</v>
      </c>
      <c r="F304" s="4" t="n">
        <v>0</v>
      </c>
      <c r="G304" s="5" t="inlineStr">
        <is>
          <t>元/吨</t>
        </is>
      </c>
      <c r="H304" s="5" t="inlineStr">
        <is>
          <t>SMM</t>
        </is>
      </c>
    </row>
    <row r="305">
      <c r="A305" s="2" t="inlineStr">
        <is>
          <t>2026/06/19</t>
        </is>
      </c>
      <c r="B305" s="2" t="inlineStr">
        <is>
          <t>金属钴FOB</t>
        </is>
      </c>
      <c r="C305" s="7" t="n">
        <v>24.5</v>
      </c>
      <c r="D305" s="6" t="n">
        <v>25.5</v>
      </c>
      <c r="E305" s="6" t="n">
        <v>25</v>
      </c>
      <c r="F305" s="6" t="n">
        <v>-0.13</v>
      </c>
      <c r="G305" s="5" t="inlineStr">
        <is>
          <t>美元/磅</t>
        </is>
      </c>
      <c r="H305" s="5" t="inlineStr">
        <is>
          <t>SMM</t>
        </is>
      </c>
    </row>
    <row r="306">
      <c r="A306" s="2" t="inlineStr">
        <is>
          <t>2026/06/19</t>
        </is>
      </c>
      <c r="B306" s="2" t="inlineStr">
        <is>
          <t>钴中间品中钴含量≥30%</t>
        </is>
      </c>
      <c r="C306" s="3" t="n">
        <v>26783</v>
      </c>
      <c r="D306" s="4" t="n">
        <v>26783</v>
      </c>
      <c r="E306" s="4" t="n">
        <v>26783</v>
      </c>
      <c r="F306" s="4" t="n">
        <v>1046</v>
      </c>
      <c r="G306" s="5" t="inlineStr">
        <is>
          <t>元/金属吨</t>
        </is>
      </c>
      <c r="H306" s="5" t="inlineStr">
        <is>
          <t>SMM</t>
        </is>
      </c>
    </row>
    <row r="307">
      <c r="A307" s="2" t="inlineStr">
        <is>
          <t>2026/06/19</t>
        </is>
      </c>
      <c r="B307" s="2" t="inlineStr">
        <is>
          <t>钴中间品原料计价系数（对SMM硫酸钴均价）</t>
        </is>
      </c>
      <c r="C307" s="7" t="n">
        <v>99</v>
      </c>
      <c r="D307" s="4" t="n">
        <v>100</v>
      </c>
      <c r="E307" s="6" t="n">
        <v>99.5</v>
      </c>
      <c r="F307" s="4" t="n">
        <v>0</v>
      </c>
      <c r="G307" s="5" t="inlineStr">
        <is>
          <t>%</t>
        </is>
      </c>
      <c r="H307" s="5" t="inlineStr">
        <is>
          <t>SMM</t>
        </is>
      </c>
    </row>
    <row r="308">
      <c r="A308" s="2" t="inlineStr">
        <is>
          <t>2026/06/19</t>
        </is>
      </c>
      <c r="B308" s="2" t="inlineStr">
        <is>
          <t>钴酸锂</t>
        </is>
      </c>
      <c r="C308" s="3" t="n">
        <v>380000</v>
      </c>
      <c r="D308" s="4" t="n">
        <v>383000</v>
      </c>
      <c r="E308" s="4" t="n">
        <v>381500</v>
      </c>
      <c r="F308" s="4" t="n">
        <v>0</v>
      </c>
      <c r="G308" s="5" t="inlineStr">
        <is>
          <t>元/吨</t>
        </is>
      </c>
      <c r="H308" s="5" t="inlineStr">
        <is>
          <t>SMM</t>
        </is>
      </c>
    </row>
    <row r="309">
      <c r="A309" s="2" t="inlineStr">
        <is>
          <t>2026/06/19</t>
        </is>
      </c>
      <c r="B309" s="2" t="inlineStr">
        <is>
          <t>钴酸锂聚合物软包</t>
        </is>
      </c>
      <c r="C309" s="3" t="n">
        <v>98000</v>
      </c>
      <c r="D309" s="4" t="n">
        <v>101000</v>
      </c>
      <c r="E309" s="4" t="n">
        <v>99500</v>
      </c>
      <c r="F309" s="4" t="n">
        <v>-100</v>
      </c>
      <c r="G309" s="5" t="inlineStr">
        <is>
          <t>元/吨</t>
        </is>
      </c>
      <c r="H309" s="5" t="inlineStr">
        <is>
          <t>SMM</t>
        </is>
      </c>
    </row>
    <row r="310">
      <c r="A310" s="2" t="inlineStr">
        <is>
          <t>2026/06/19</t>
        </is>
      </c>
      <c r="B310" s="2" t="inlineStr">
        <is>
          <t>钴酸锂铝壳</t>
        </is>
      </c>
      <c r="C310" s="3" t="n">
        <v>84000</v>
      </c>
      <c r="D310" s="4" t="n">
        <v>94000</v>
      </c>
      <c r="E310" s="4" t="n">
        <v>89000</v>
      </c>
      <c r="F310" s="4" t="n">
        <v>0</v>
      </c>
      <c r="G310" s="5" t="inlineStr">
        <is>
          <t>元/吨</t>
        </is>
      </c>
      <c r="H310" s="5" t="inlineStr">
        <is>
          <t>SMM</t>
        </is>
      </c>
    </row>
    <row r="311">
      <c r="A311" s="2" t="inlineStr">
        <is>
          <t>2026/06/19</t>
        </is>
      </c>
      <c r="B311" s="2" t="inlineStr">
        <is>
          <t>锰酸锂圆柱钢壳</t>
        </is>
      </c>
      <c r="C311" s="3" t="n">
        <v>5000</v>
      </c>
      <c r="D311" s="4" t="n">
        <v>7400</v>
      </c>
      <c r="E311" s="4" t="n">
        <v>6200</v>
      </c>
      <c r="F311" s="4" t="n">
        <v>0</v>
      </c>
      <c r="G311" s="5" t="inlineStr">
        <is>
          <t>元/吨</t>
        </is>
      </c>
      <c r="H311" s="5" t="inlineStr">
        <is>
          <t>SMM</t>
        </is>
      </c>
    </row>
    <row r="312">
      <c r="A312" s="2" t="inlineStr">
        <is>
          <t>2026/06/19</t>
        </is>
      </c>
      <c r="B312" s="2" t="inlineStr">
        <is>
          <t>非洲硫酸锂(CIF中国)</t>
        </is>
      </c>
      <c r="C312" s="3" t="n">
        <v>8020</v>
      </c>
      <c r="D312" s="4" t="n">
        <v>8319</v>
      </c>
      <c r="E312" s="4" t="n">
        <v>8169.5</v>
      </c>
      <c r="F312" s="4" t="n">
        <v>-130</v>
      </c>
      <c r="G312" s="5" t="inlineStr">
        <is>
          <t>美元/吨</t>
        </is>
      </c>
      <c r="H312" s="5" t="inlineStr">
        <is>
          <t>SMM</t>
        </is>
      </c>
    </row>
    <row r="313">
      <c r="A313" s="2" t="inlineStr">
        <is>
          <t>2026/06/19</t>
        </is>
      </c>
      <c r="B313" s="2" t="inlineStr">
        <is>
          <t>非洲锂辉石精矿（CIF中国）指数</t>
        </is>
      </c>
      <c r="C313" s="3" t="n">
        <v>2398</v>
      </c>
      <c r="D313" s="4" t="n">
        <v>2398</v>
      </c>
      <c r="E313" s="4" t="n">
        <v>2398</v>
      </c>
      <c r="F313" s="6" t="n">
        <v>-72</v>
      </c>
      <c r="G313" s="5" t="inlineStr">
        <is>
          <t>美元/吨</t>
        </is>
      </c>
      <c r="H313" s="5" t="inlineStr">
        <is>
          <t>SMM</t>
        </is>
      </c>
    </row>
    <row r="314">
      <c r="A314" s="2" t="inlineStr">
        <is>
          <t>2026/06/22</t>
        </is>
      </c>
      <c r="B314" s="2" t="inlineStr">
        <is>
          <t>5系三元前驱体</t>
        </is>
      </c>
      <c r="C314" s="3" t="n">
        <v>100400</v>
      </c>
      <c r="D314" s="4" t="n">
        <v>105600</v>
      </c>
      <c r="E314" s="4" t="n">
        <v>103000</v>
      </c>
      <c r="F314" s="4" t="n">
        <v>-500</v>
      </c>
      <c r="G314" s="5" t="inlineStr">
        <is>
          <t>元/吨</t>
        </is>
      </c>
      <c r="H314" s="5" t="inlineStr">
        <is>
          <t>SMM</t>
        </is>
      </c>
    </row>
    <row r="315">
      <c r="A315" s="2" t="inlineStr">
        <is>
          <t>2026/06/22</t>
        </is>
      </c>
      <c r="B315" s="2" t="inlineStr">
        <is>
          <t>5系三元材料</t>
        </is>
      </c>
      <c r="C315" s="3" t="n">
        <v>181800</v>
      </c>
      <c r="D315" s="4" t="n">
        <v>189700</v>
      </c>
      <c r="E315" s="4" t="n">
        <v>185750</v>
      </c>
      <c r="F315" s="4" t="n">
        <v>-3700</v>
      </c>
      <c r="G315" s="5" t="inlineStr">
        <is>
          <t>元/吨</t>
        </is>
      </c>
      <c r="H315" s="5" t="inlineStr">
        <is>
          <t>SMM</t>
        </is>
      </c>
    </row>
    <row r="316">
      <c r="A316" s="2" t="inlineStr">
        <is>
          <t>2026/06/22</t>
        </is>
      </c>
      <c r="B316" s="2" t="inlineStr">
        <is>
          <t>6系三元前驱体（单晶/动力型）</t>
        </is>
      </c>
      <c r="C316" s="3" t="n">
        <v>93250</v>
      </c>
      <c r="D316" s="4" t="n">
        <v>97950</v>
      </c>
      <c r="E316" s="4" t="n">
        <v>95600</v>
      </c>
      <c r="F316" s="4" t="n">
        <v>-500</v>
      </c>
      <c r="G316" s="5" t="inlineStr">
        <is>
          <t>元/吨</t>
        </is>
      </c>
      <c r="H316" s="5" t="inlineStr">
        <is>
          <t>SMM</t>
        </is>
      </c>
    </row>
    <row r="317">
      <c r="A317" s="2" t="inlineStr">
        <is>
          <t>2026/06/22</t>
        </is>
      </c>
      <c r="B317" s="2" t="inlineStr">
        <is>
          <t>6系三元材料（单晶/动力型）</t>
        </is>
      </c>
      <c r="C317" s="3" t="n">
        <v>186400</v>
      </c>
      <c r="D317" s="4" t="n">
        <v>195900</v>
      </c>
      <c r="E317" s="4" t="n">
        <v>191150</v>
      </c>
      <c r="F317" s="4" t="n">
        <v>-3600</v>
      </c>
      <c r="G317" s="5" t="inlineStr">
        <is>
          <t>元/吨</t>
        </is>
      </c>
      <c r="H317" s="5" t="inlineStr">
        <is>
          <t>SMM</t>
        </is>
      </c>
    </row>
    <row r="318">
      <c r="A318" s="2" t="inlineStr">
        <is>
          <t>2026/06/22</t>
        </is>
      </c>
      <c r="B318" s="2" t="inlineStr">
        <is>
          <t>8系三元前驱体（多晶/动力型）</t>
        </is>
      </c>
      <c r="C318" s="3" t="n">
        <v>115600</v>
      </c>
      <c r="D318" s="4" t="n">
        <v>121300</v>
      </c>
      <c r="E318" s="4" t="n">
        <v>118450</v>
      </c>
      <c r="F318" s="4" t="n">
        <v>-700</v>
      </c>
      <c r="G318" s="5" t="inlineStr">
        <is>
          <t>元/吨</t>
        </is>
      </c>
      <c r="H318" s="5" t="inlineStr">
        <is>
          <t>SMM</t>
        </is>
      </c>
    </row>
    <row r="319">
      <c r="A319" s="2" t="inlineStr">
        <is>
          <t>2026/06/22</t>
        </is>
      </c>
      <c r="B319" s="2" t="inlineStr">
        <is>
          <t>8系三元材料</t>
        </is>
      </c>
      <c r="C319" s="3" t="n">
        <v>209500</v>
      </c>
      <c r="D319" s="4" t="n">
        <v>219100</v>
      </c>
      <c r="E319" s="4" t="n">
        <v>214300</v>
      </c>
      <c r="F319" s="4" t="n">
        <v>-3700</v>
      </c>
      <c r="G319" s="5" t="inlineStr">
        <is>
          <t>元/吨</t>
        </is>
      </c>
      <c r="H319" s="5" t="inlineStr">
        <is>
          <t>SMM</t>
        </is>
      </c>
    </row>
    <row r="320">
      <c r="A320" s="2" t="inlineStr">
        <is>
          <t>2026/06/22</t>
        </is>
      </c>
      <c r="B320" s="2" t="inlineStr">
        <is>
          <t>MHP系数（对SMM电池级硫酸镍指数）</t>
        </is>
      </c>
      <c r="C320" s="7" t="n">
        <v>86</v>
      </c>
      <c r="D320" s="6" t="n">
        <v>87</v>
      </c>
      <c r="E320" s="6" t="n">
        <v>86.5</v>
      </c>
      <c r="F320" s="4" t="n">
        <v>0</v>
      </c>
      <c r="G320" s="5" t="inlineStr">
        <is>
          <t>%</t>
        </is>
      </c>
      <c r="H320" s="5" t="inlineStr">
        <is>
          <t>SMM</t>
        </is>
      </c>
    </row>
    <row r="321">
      <c r="A321" s="2" t="inlineStr">
        <is>
          <t>2026/06/22</t>
        </is>
      </c>
      <c r="B321" s="2" t="inlineStr">
        <is>
          <t>MHP钴元素计价系数（对SMM硫酸钴均价）</t>
        </is>
      </c>
      <c r="C321" s="7" t="n">
        <v>92</v>
      </c>
      <c r="D321" s="6" t="n">
        <v>93</v>
      </c>
      <c r="E321" s="6" t="n">
        <v>92.5</v>
      </c>
      <c r="F321" s="4" t="n">
        <v>0</v>
      </c>
      <c r="G321" s="5" t="inlineStr">
        <is>
          <t>%</t>
        </is>
      </c>
      <c r="H321" s="5" t="inlineStr">
        <is>
          <t>SMM</t>
        </is>
      </c>
    </row>
    <row r="322">
      <c r="A322" s="2" t="inlineStr">
        <is>
          <t>2026/06/22</t>
        </is>
      </c>
      <c r="B322" s="2" t="inlineStr">
        <is>
          <t>NCA三元材料</t>
        </is>
      </c>
      <c r="C322" s="3" t="n">
        <v>206300</v>
      </c>
      <c r="D322" s="4" t="n">
        <v>214600</v>
      </c>
      <c r="E322" s="4" t="n">
        <v>210450</v>
      </c>
      <c r="F322" s="4" t="n">
        <v>-4000</v>
      </c>
      <c r="G322" s="5" t="inlineStr">
        <is>
          <t>元/吨</t>
        </is>
      </c>
      <c r="H322" s="5" t="inlineStr">
        <is>
          <t>SMM</t>
        </is>
      </c>
    </row>
    <row r="323">
      <c r="A323" s="2" t="inlineStr">
        <is>
          <t>2026/06/22</t>
        </is>
      </c>
      <c r="B323" s="2" t="inlineStr">
        <is>
          <t>SMM三元极片粉钴系数指数</t>
        </is>
      </c>
      <c r="C323" s="7" t="n">
        <v>78.70999999999999</v>
      </c>
      <c r="D323" s="6" t="n">
        <v>78.70999999999999</v>
      </c>
      <c r="E323" s="6" t="n">
        <v>78.70999999999999</v>
      </c>
      <c r="F323" s="6" t="n">
        <v>-0.28</v>
      </c>
      <c r="G323" s="5" t="inlineStr">
        <is>
          <t>%</t>
        </is>
      </c>
      <c r="H323" s="5" t="inlineStr">
        <is>
          <t>SMM</t>
        </is>
      </c>
    </row>
    <row r="324">
      <c r="A324" s="2" t="inlineStr">
        <is>
          <t>2026/06/22</t>
        </is>
      </c>
      <c r="B324" s="2" t="inlineStr">
        <is>
          <t>SMM三元极片粉锂系数指数</t>
        </is>
      </c>
      <c r="C324" s="7" t="n">
        <v>78.72</v>
      </c>
      <c r="D324" s="6" t="n">
        <v>78.72</v>
      </c>
      <c r="E324" s="6" t="n">
        <v>78.72</v>
      </c>
      <c r="F324" s="6" t="n">
        <v>-0.28</v>
      </c>
      <c r="G324" s="5" t="inlineStr">
        <is>
          <t>%</t>
        </is>
      </c>
      <c r="H324" s="5" t="inlineStr">
        <is>
          <t>SMM</t>
        </is>
      </c>
    </row>
    <row r="325">
      <c r="A325" s="2" t="inlineStr">
        <is>
          <t>2026/06/22</t>
        </is>
      </c>
      <c r="B325" s="2" t="inlineStr">
        <is>
          <t>SMM三元极片粉镍系数指数</t>
        </is>
      </c>
      <c r="C325" s="7" t="n">
        <v>78.72</v>
      </c>
      <c r="D325" s="6" t="n">
        <v>78.72</v>
      </c>
      <c r="E325" s="6" t="n">
        <v>78.72</v>
      </c>
      <c r="F325" s="6" t="n">
        <v>-0.28</v>
      </c>
      <c r="G325" s="5" t="inlineStr">
        <is>
          <t>%</t>
        </is>
      </c>
      <c r="H325" s="5" t="inlineStr">
        <is>
          <t>SMM</t>
        </is>
      </c>
    </row>
    <row r="326">
      <c r="A326" s="2" t="inlineStr">
        <is>
          <t>2026/06/22</t>
        </is>
      </c>
      <c r="B326" s="2" t="inlineStr">
        <is>
          <t>SMM三元电池粉钴系数指数</t>
        </is>
      </c>
      <c r="C326" s="7" t="n">
        <v>75.2</v>
      </c>
      <c r="D326" s="6" t="n">
        <v>75.2</v>
      </c>
      <c r="E326" s="6" t="n">
        <v>75.2</v>
      </c>
      <c r="F326" s="6" t="n">
        <v>-0.52</v>
      </c>
      <c r="G326" s="5" t="inlineStr">
        <is>
          <t>%</t>
        </is>
      </c>
      <c r="H326" s="5" t="inlineStr">
        <is>
          <t>SMM</t>
        </is>
      </c>
    </row>
    <row r="327">
      <c r="A327" s="2" t="inlineStr">
        <is>
          <t>2026/06/22</t>
        </is>
      </c>
      <c r="B327" s="2" t="inlineStr">
        <is>
          <t>SMM三元电池粉锂系数指数</t>
        </is>
      </c>
      <c r="C327" s="7" t="n">
        <v>75.22</v>
      </c>
      <c r="D327" s="6" t="n">
        <v>75.22</v>
      </c>
      <c r="E327" s="6" t="n">
        <v>75.22</v>
      </c>
      <c r="F327" s="6" t="n">
        <v>-0.51</v>
      </c>
      <c r="G327" s="5" t="inlineStr">
        <is>
          <t>%</t>
        </is>
      </c>
      <c r="H327" s="5" t="inlineStr">
        <is>
          <t>SMM</t>
        </is>
      </c>
    </row>
    <row r="328">
      <c r="A328" s="2" t="inlineStr">
        <is>
          <t>2026/06/22</t>
        </is>
      </c>
      <c r="B328" s="2" t="inlineStr">
        <is>
          <t>SMM三元电池粉镍系数指数</t>
        </is>
      </c>
      <c r="C328" s="7" t="n">
        <v>75.22</v>
      </c>
      <c r="D328" s="6" t="n">
        <v>75.22</v>
      </c>
      <c r="E328" s="6" t="n">
        <v>75.22</v>
      </c>
      <c r="F328" s="6" t="n">
        <v>-0.51</v>
      </c>
      <c r="G328" s="5" t="inlineStr">
        <is>
          <t>%</t>
        </is>
      </c>
      <c r="H328" s="5" t="inlineStr">
        <is>
          <t>SMM</t>
        </is>
      </c>
    </row>
    <row r="329">
      <c r="A329" s="2" t="inlineStr">
        <is>
          <t>2026/06/22</t>
        </is>
      </c>
      <c r="B329" s="2" t="inlineStr">
        <is>
          <t>SMM六氟磷酸锂指数</t>
        </is>
      </c>
      <c r="C329" s="3" t="n">
        <v>101464</v>
      </c>
      <c r="D329" s="4" t="n">
        <v>105605</v>
      </c>
      <c r="E329" s="4" t="n">
        <v>103534.5</v>
      </c>
      <c r="F329" s="4" t="n">
        <v>-345.5</v>
      </c>
      <c r="G329" s="5" t="inlineStr">
        <is>
          <t>元/吨</t>
        </is>
      </c>
      <c r="H329" s="5" t="inlineStr">
        <is>
          <t>SMM</t>
        </is>
      </c>
    </row>
    <row r="330">
      <c r="A330" s="2" t="inlineStr">
        <is>
          <t>2026/06/22</t>
        </is>
      </c>
      <c r="B330" s="2" t="inlineStr">
        <is>
          <t>SMM电池级氢氧化锂指数</t>
        </is>
      </c>
      <c r="C330" s="3" t="n">
        <v>144244</v>
      </c>
      <c r="D330" s="4" t="n">
        <v>144244</v>
      </c>
      <c r="E330" s="4" t="n">
        <v>144244</v>
      </c>
      <c r="F330" s="4" t="n">
        <v>-8373</v>
      </c>
      <c r="G330" s="5" t="inlineStr">
        <is>
          <t>元/吨</t>
        </is>
      </c>
      <c r="H330" s="5" t="inlineStr">
        <is>
          <t>SMM</t>
        </is>
      </c>
    </row>
    <row r="331">
      <c r="A331" s="2" t="inlineStr">
        <is>
          <t>2026/06/22</t>
        </is>
      </c>
      <c r="B331" s="2" t="inlineStr">
        <is>
          <t>SMM电池级硫酸锰指数</t>
        </is>
      </c>
      <c r="C331" s="3" t="n">
        <v>7643</v>
      </c>
      <c r="D331" s="4" t="n">
        <v>7643</v>
      </c>
      <c r="E331" s="4" t="n">
        <v>7643</v>
      </c>
      <c r="F331" s="6" t="n">
        <v>-15</v>
      </c>
      <c r="G331" s="5" t="inlineStr">
        <is>
          <t>元/吨</t>
        </is>
      </c>
      <c r="H331" s="5" t="inlineStr">
        <is>
          <t>SMM</t>
        </is>
      </c>
    </row>
    <row r="332">
      <c r="A332" s="2" t="inlineStr">
        <is>
          <t>2026/06/22</t>
        </is>
      </c>
      <c r="B332" s="2" t="inlineStr">
        <is>
          <t>SMM电池级硫酸镍指数</t>
        </is>
      </c>
      <c r="C332" s="3" t="n">
        <v>32938</v>
      </c>
      <c r="D332" s="4" t="n">
        <v>32938</v>
      </c>
      <c r="E332" s="4" t="n">
        <v>32938</v>
      </c>
      <c r="F332" s="6" t="n">
        <v>-62</v>
      </c>
      <c r="G332" s="5" t="inlineStr">
        <is>
          <t>元/吨</t>
        </is>
      </c>
      <c r="H332" s="5" t="inlineStr">
        <is>
          <t>SMM</t>
        </is>
      </c>
    </row>
    <row r="333">
      <c r="A333" s="2" t="inlineStr">
        <is>
          <t>2026/06/22</t>
        </is>
      </c>
      <c r="B333" s="2" t="inlineStr">
        <is>
          <t>SMM电池级碳酸锂指数</t>
        </is>
      </c>
      <c r="C333" s="3" t="n">
        <v>155793</v>
      </c>
      <c r="D333" s="4" t="n">
        <v>155793</v>
      </c>
      <c r="E333" s="4" t="n">
        <v>155793</v>
      </c>
      <c r="F333" s="4" t="n">
        <v>-11260</v>
      </c>
      <c r="G333" s="5" t="inlineStr">
        <is>
          <t>元/吨</t>
        </is>
      </c>
      <c r="H333" s="5" t="inlineStr">
        <is>
          <t>SMM</t>
        </is>
      </c>
    </row>
    <row r="334">
      <c r="A334" s="2" t="inlineStr">
        <is>
          <t>2026/06/22</t>
        </is>
      </c>
      <c r="B334" s="2" t="inlineStr">
        <is>
          <t>SMM硫酸钴指数</t>
        </is>
      </c>
      <c r="C334" s="3" t="n">
        <v>87725</v>
      </c>
      <c r="D334" s="4" t="n">
        <v>87725</v>
      </c>
      <c r="E334" s="4" t="n">
        <v>87725</v>
      </c>
      <c r="F334" s="4" t="n">
        <v>-562</v>
      </c>
      <c r="G334" s="5" t="inlineStr">
        <is>
          <t>元/吨</t>
        </is>
      </c>
      <c r="H334" s="5" t="inlineStr">
        <is>
          <t>SMM</t>
        </is>
      </c>
    </row>
    <row r="335">
      <c r="A335" s="2" t="inlineStr">
        <is>
          <t>2026/06/22</t>
        </is>
      </c>
      <c r="B335" s="2" t="inlineStr">
        <is>
          <t>SMM磷酸铁锂极片粉指数</t>
        </is>
      </c>
      <c r="C335" s="3" t="n">
        <v>7068</v>
      </c>
      <c r="D335" s="4" t="n">
        <v>7068</v>
      </c>
      <c r="E335" s="4" t="n">
        <v>7068</v>
      </c>
      <c r="F335" s="4" t="n">
        <v>-390</v>
      </c>
      <c r="G335" s="5" t="inlineStr">
        <is>
          <t>元/锂点</t>
        </is>
      </c>
      <c r="H335" s="5" t="inlineStr">
        <is>
          <t>SMM</t>
        </is>
      </c>
    </row>
    <row r="336">
      <c r="A336" s="2" t="inlineStr">
        <is>
          <t>2026/06/22</t>
        </is>
      </c>
      <c r="B336" s="2" t="inlineStr">
        <is>
          <t>SMM磷酸铁锂电池粉指数</t>
        </is>
      </c>
      <c r="C336" s="3" t="n">
        <v>6606</v>
      </c>
      <c r="D336" s="4" t="n">
        <v>6606</v>
      </c>
      <c r="E336" s="4" t="n">
        <v>6606</v>
      </c>
      <c r="F336" s="4" t="n">
        <v>-369</v>
      </c>
      <c r="G336" s="5" t="inlineStr">
        <is>
          <t>元/锂点</t>
        </is>
      </c>
      <c r="H336" s="5" t="inlineStr">
        <is>
          <t>SMM</t>
        </is>
      </c>
    </row>
    <row r="337">
      <c r="A337" s="2" t="inlineStr">
        <is>
          <t>2026/06/22</t>
        </is>
      </c>
      <c r="B337" s="2" t="inlineStr">
        <is>
          <t>SMM钴酸锂极片粉钴系数指数</t>
        </is>
      </c>
      <c r="C337" s="7" t="n">
        <v>82.3</v>
      </c>
      <c r="D337" s="6" t="n">
        <v>82.3</v>
      </c>
      <c r="E337" s="6" t="n">
        <v>82.3</v>
      </c>
      <c r="F337" s="6" t="n">
        <v>-0.23</v>
      </c>
      <c r="G337" s="5" t="inlineStr">
        <is>
          <t>%</t>
        </is>
      </c>
      <c r="H337" s="5" t="inlineStr">
        <is>
          <t>SMM</t>
        </is>
      </c>
    </row>
    <row r="338">
      <c r="A338" s="2" t="inlineStr">
        <is>
          <t>2026/06/22</t>
        </is>
      </c>
      <c r="B338" s="2" t="inlineStr">
        <is>
          <t>SMM钴酸锂极片粉锂系数指数</t>
        </is>
      </c>
      <c r="C338" s="7" t="n">
        <v>76.5</v>
      </c>
      <c r="D338" s="6" t="n">
        <v>76.5</v>
      </c>
      <c r="E338" s="6" t="n">
        <v>76.5</v>
      </c>
      <c r="F338" s="4" t="n">
        <v>0</v>
      </c>
      <c r="G338" s="5" t="inlineStr">
        <is>
          <t>%</t>
        </is>
      </c>
      <c r="H338" s="5" t="inlineStr">
        <is>
          <t>SMM</t>
        </is>
      </c>
    </row>
    <row r="339">
      <c r="A339" s="2" t="inlineStr">
        <is>
          <t>2026/06/22</t>
        </is>
      </c>
      <c r="B339" s="2" t="inlineStr">
        <is>
          <t>SMM钴酸锂电池粉钴系数指数</t>
        </is>
      </c>
      <c r="C339" s="7" t="n">
        <v>79.97</v>
      </c>
      <c r="D339" s="6" t="n">
        <v>79.97</v>
      </c>
      <c r="E339" s="6" t="n">
        <v>79.97</v>
      </c>
      <c r="F339" s="6" t="n">
        <v>-0.16</v>
      </c>
      <c r="G339" s="5" t="inlineStr">
        <is>
          <t>%</t>
        </is>
      </c>
      <c r="H339" s="5" t="inlineStr">
        <is>
          <t>SMM</t>
        </is>
      </c>
    </row>
    <row r="340">
      <c r="A340" s="2" t="inlineStr">
        <is>
          <t>2026/06/22</t>
        </is>
      </c>
      <c r="B340" s="2" t="inlineStr">
        <is>
          <t>SMM钴酸锂电池粉锂系数指数</t>
        </is>
      </c>
      <c r="C340" s="7" t="n">
        <v>76.11</v>
      </c>
      <c r="D340" s="6" t="n">
        <v>76.11</v>
      </c>
      <c r="E340" s="6" t="n">
        <v>76.11</v>
      </c>
      <c r="F340" s="4" t="n">
        <v>0</v>
      </c>
      <c r="G340" s="5" t="inlineStr">
        <is>
          <t>%</t>
        </is>
      </c>
      <c r="H340" s="5" t="inlineStr">
        <is>
          <t>SMM</t>
        </is>
      </c>
    </row>
    <row r="341">
      <c r="A341" s="2" t="inlineStr">
        <is>
          <t>2026/06/22</t>
        </is>
      </c>
      <c r="B341" s="2" t="inlineStr">
        <is>
          <t>三元方壳锂电B品</t>
        </is>
      </c>
      <c r="C341" s="7" t="n">
        <v>0.75</v>
      </c>
      <c r="D341" s="6" t="n">
        <v>0.85</v>
      </c>
      <c r="E341" s="6" t="n">
        <v>0.8</v>
      </c>
      <c r="F341" s="4" t="n">
        <v>0</v>
      </c>
      <c r="G341" s="5" t="inlineStr">
        <is>
          <t>元/Ah</t>
        </is>
      </c>
      <c r="H341" s="5" t="inlineStr">
        <is>
          <t>SMM</t>
        </is>
      </c>
    </row>
    <row r="342">
      <c r="A342" s="2" t="inlineStr">
        <is>
          <t>2026/06/22</t>
        </is>
      </c>
      <c r="B342" s="2" t="inlineStr">
        <is>
          <t>六氟磷酸锂（国产）</t>
        </is>
      </c>
      <c r="C342" s="3" t="n">
        <v>108000</v>
      </c>
      <c r="D342" s="4" t="n">
        <v>112000</v>
      </c>
      <c r="E342" s="4" t="n">
        <v>110000</v>
      </c>
      <c r="F342" s="4" t="n">
        <v>-1000</v>
      </c>
      <c r="G342" s="5" t="inlineStr">
        <is>
          <t>元/吨</t>
        </is>
      </c>
      <c r="H342" s="5" t="inlineStr">
        <is>
          <t>SMM</t>
        </is>
      </c>
    </row>
    <row r="343">
      <c r="A343" s="2" t="inlineStr">
        <is>
          <t>2026/06/22</t>
        </is>
      </c>
      <c r="B343" s="2" t="inlineStr">
        <is>
          <t>四氧化三钴</t>
        </is>
      </c>
      <c r="C343" s="3" t="n">
        <v>332000</v>
      </c>
      <c r="D343" s="4" t="n">
        <v>342000</v>
      </c>
      <c r="E343" s="4" t="n">
        <v>337000</v>
      </c>
      <c r="F343" s="4" t="n">
        <v>-1500</v>
      </c>
      <c r="G343" s="5" t="inlineStr">
        <is>
          <t>元/吨</t>
        </is>
      </c>
      <c r="H343" s="5" t="inlineStr">
        <is>
          <t>SMM</t>
        </is>
      </c>
    </row>
    <row r="344">
      <c r="A344" s="2" t="inlineStr">
        <is>
          <t>2026/06/22</t>
        </is>
      </c>
      <c r="B344" s="2" t="inlineStr">
        <is>
          <t>四氧化三锰（电池级）</t>
        </is>
      </c>
      <c r="C344" s="3" t="n">
        <v>14000</v>
      </c>
      <c r="D344" s="4" t="n">
        <v>16000</v>
      </c>
      <c r="E344" s="4" t="n">
        <v>15000</v>
      </c>
      <c r="F344" s="4" t="n">
        <v>0</v>
      </c>
      <c r="G344" s="5" t="inlineStr">
        <is>
          <t>元/吨</t>
        </is>
      </c>
      <c r="H344" s="5" t="inlineStr">
        <is>
          <t>SMM</t>
        </is>
      </c>
    </row>
    <row r="345">
      <c r="A345" s="2" t="inlineStr">
        <is>
          <t>2026/06/22</t>
        </is>
      </c>
      <c r="B345" s="2" t="inlineStr">
        <is>
          <t>工业级氢氧化锂</t>
        </is>
      </c>
      <c r="C345" s="3" t="n">
        <v>128000</v>
      </c>
      <c r="D345" s="4" t="n">
        <v>134000</v>
      </c>
      <c r="E345" s="4" t="n">
        <v>131000</v>
      </c>
      <c r="F345" s="4" t="n">
        <v>-9000</v>
      </c>
      <c r="G345" s="5" t="inlineStr">
        <is>
          <t>元/吨</t>
        </is>
      </c>
      <c r="H345" s="5" t="inlineStr">
        <is>
          <t>SMM</t>
        </is>
      </c>
    </row>
    <row r="346">
      <c r="A346" s="2" t="inlineStr">
        <is>
          <t>2026/06/22</t>
        </is>
      </c>
      <c r="B346" s="2" t="inlineStr">
        <is>
          <t>工业级碳酸锂</t>
        </is>
      </c>
      <c r="C346" s="3" t="n">
        <v>147000</v>
      </c>
      <c r="D346" s="4" t="n">
        <v>159000</v>
      </c>
      <c r="E346" s="4" t="n">
        <v>153000</v>
      </c>
      <c r="F346" s="4" t="n">
        <v>-10250</v>
      </c>
      <c r="G346" s="5" t="inlineStr">
        <is>
          <t>元/吨</t>
        </is>
      </c>
      <c r="H346" s="5" t="inlineStr">
        <is>
          <t>SMM</t>
        </is>
      </c>
    </row>
    <row r="347">
      <c r="A347" s="2" t="inlineStr">
        <is>
          <t>2026/06/22</t>
        </is>
      </c>
      <c r="B347" s="2" t="inlineStr">
        <is>
          <t>工业级金属锂</t>
        </is>
      </c>
      <c r="C347" s="3" t="n">
        <v>1070000</v>
      </c>
      <c r="D347" s="4" t="n">
        <v>1100000</v>
      </c>
      <c r="E347" s="4" t="n">
        <v>1085000</v>
      </c>
      <c r="F347" s="4" t="n">
        <v>-15000</v>
      </c>
      <c r="G347" s="5" t="inlineStr">
        <is>
          <t>元/吨</t>
        </is>
      </c>
      <c r="H347" s="5" t="inlineStr">
        <is>
          <t>SMM</t>
        </is>
      </c>
    </row>
    <row r="348">
      <c r="A348" s="2" t="inlineStr">
        <is>
          <t>2026/06/22</t>
        </is>
      </c>
      <c r="B348" s="2" t="inlineStr">
        <is>
          <t>巴西锂辉石精矿（CIF中国）现货</t>
        </is>
      </c>
      <c r="C348" s="3" t="n">
        <v>2160</v>
      </c>
      <c r="D348" s="4" t="n">
        <v>2330</v>
      </c>
      <c r="E348" s="4" t="n">
        <v>2245</v>
      </c>
      <c r="F348" s="4" t="n">
        <v>-190</v>
      </c>
      <c r="G348" s="5" t="inlineStr">
        <is>
          <t>美元/吨</t>
        </is>
      </c>
      <c r="H348" s="5" t="inlineStr">
        <is>
          <t>SMM</t>
        </is>
      </c>
    </row>
    <row r="349">
      <c r="A349" s="2" t="inlineStr">
        <is>
          <t>2026/06/22</t>
        </is>
      </c>
      <c r="B349" s="2" t="inlineStr">
        <is>
          <t>废旧磷酸铁锂储能正极片</t>
        </is>
      </c>
      <c r="C349" s="3" t="n">
        <v>20900</v>
      </c>
      <c r="D349" s="4" t="n">
        <v>24000</v>
      </c>
      <c r="E349" s="4" t="n">
        <v>22450</v>
      </c>
      <c r="F349" s="4" t="n">
        <v>-1050</v>
      </c>
      <c r="G349" s="5" t="inlineStr">
        <is>
          <t>元/吨</t>
        </is>
      </c>
      <c r="H349" s="5" t="inlineStr">
        <is>
          <t>SMM</t>
        </is>
      </c>
    </row>
    <row r="350">
      <c r="A350" s="2" t="inlineStr">
        <is>
          <t>2026/06/22</t>
        </is>
      </c>
      <c r="B350" s="2" t="inlineStr">
        <is>
          <t>废旧磷酸铁锂动力正极片</t>
        </is>
      </c>
      <c r="C350" s="3" t="n">
        <v>24800</v>
      </c>
      <c r="D350" s="4" t="n">
        <v>28750</v>
      </c>
      <c r="E350" s="4" t="n">
        <v>26775</v>
      </c>
      <c r="F350" s="4" t="n">
        <v>-1325</v>
      </c>
      <c r="G350" s="5" t="inlineStr">
        <is>
          <t>元/吨</t>
        </is>
      </c>
      <c r="H350" s="5" t="inlineStr">
        <is>
          <t>SMM</t>
        </is>
      </c>
    </row>
    <row r="351">
      <c r="A351" s="2" t="inlineStr">
        <is>
          <t>2026/06/22</t>
        </is>
      </c>
      <c r="B351" s="2" t="inlineStr">
        <is>
          <t>废旧磷酸铁锂软包电池</t>
        </is>
      </c>
      <c r="C351" s="3" t="n">
        <v>16000</v>
      </c>
      <c r="D351" s="4" t="n">
        <v>17200</v>
      </c>
      <c r="E351" s="4" t="n">
        <v>16600</v>
      </c>
      <c r="F351" s="4" t="n">
        <v>-350</v>
      </c>
      <c r="G351" s="5" t="inlineStr">
        <is>
          <t>元/吨</t>
        </is>
      </c>
      <c r="H351" s="5" t="inlineStr">
        <is>
          <t>SMM</t>
        </is>
      </c>
    </row>
    <row r="352">
      <c r="A352" s="2" t="inlineStr">
        <is>
          <t>2026/06/22</t>
        </is>
      </c>
      <c r="B352" s="2" t="inlineStr">
        <is>
          <t>废旧磷酸铁锂钢壳电池</t>
        </is>
      </c>
      <c r="C352" s="3" t="n">
        <v>10000</v>
      </c>
      <c r="D352" s="4" t="n">
        <v>11500</v>
      </c>
      <c r="E352" s="4" t="n">
        <v>10750</v>
      </c>
      <c r="F352" s="4" t="n">
        <v>-250</v>
      </c>
      <c r="G352" s="5" t="inlineStr">
        <is>
          <t>元/吨</t>
        </is>
      </c>
      <c r="H352" s="5" t="inlineStr">
        <is>
          <t>SMM</t>
        </is>
      </c>
    </row>
    <row r="353">
      <c r="A353" s="2" t="inlineStr">
        <is>
          <t>2026/06/22</t>
        </is>
      </c>
      <c r="B353" s="2" t="inlineStr">
        <is>
          <t>废旧磷酸铁锂铝壳电池</t>
        </is>
      </c>
      <c r="C353" s="3" t="n">
        <v>17400</v>
      </c>
      <c r="D353" s="4" t="n">
        <v>18200</v>
      </c>
      <c r="E353" s="4" t="n">
        <v>17800</v>
      </c>
      <c r="F353" s="4" t="n">
        <v>-300</v>
      </c>
      <c r="G353" s="5" t="inlineStr">
        <is>
          <t>元/吨</t>
        </is>
      </c>
      <c r="H353" s="5" t="inlineStr">
        <is>
          <t>SMM</t>
        </is>
      </c>
    </row>
    <row r="354">
      <c r="A354" s="2" t="inlineStr">
        <is>
          <t>2026/06/22</t>
        </is>
      </c>
      <c r="B354" s="2" t="inlineStr">
        <is>
          <t>方形磷酸铁锂电池B品</t>
        </is>
      </c>
      <c r="C354" s="7" t="n">
        <v>0.68</v>
      </c>
      <c r="D354" s="6" t="n">
        <v>0.8</v>
      </c>
      <c r="E354" s="6" t="n">
        <v>0.74</v>
      </c>
      <c r="F354" s="4" t="n">
        <v>0</v>
      </c>
      <c r="G354" s="5" t="inlineStr">
        <is>
          <t>元/Ah</t>
        </is>
      </c>
      <c r="H354" s="5" t="inlineStr">
        <is>
          <t>SMM</t>
        </is>
      </c>
    </row>
    <row r="355">
      <c r="A355" s="2" t="inlineStr">
        <is>
          <t>2026/06/22</t>
        </is>
      </c>
      <c r="B355" s="2" t="inlineStr">
        <is>
          <t>氧化亚镍</t>
        </is>
      </c>
      <c r="C355" s="3" t="n">
        <v>118000</v>
      </c>
      <c r="D355" s="4" t="n">
        <v>126000</v>
      </c>
      <c r="E355" s="4" t="n">
        <v>122000</v>
      </c>
      <c r="F355" s="4" t="n">
        <v>0</v>
      </c>
      <c r="G355" s="5" t="inlineStr">
        <is>
          <t>元/吨</t>
        </is>
      </c>
      <c r="H355" s="5" t="inlineStr">
        <is>
          <t>SMM</t>
        </is>
      </c>
    </row>
    <row r="356">
      <c r="A356" s="2" t="inlineStr">
        <is>
          <t>2026/06/22</t>
        </is>
      </c>
      <c r="B356" s="2" t="inlineStr">
        <is>
          <t>氧化钴</t>
        </is>
      </c>
      <c r="C356" s="3" t="n">
        <v>305000</v>
      </c>
      <c r="D356" s="4" t="n">
        <v>320000</v>
      </c>
      <c r="E356" s="4" t="n">
        <v>312500</v>
      </c>
      <c r="F356" s="4" t="n">
        <v>0</v>
      </c>
      <c r="G356" s="5" t="inlineStr">
        <is>
          <t>元/吨</t>
        </is>
      </c>
      <c r="H356" s="5" t="inlineStr">
        <is>
          <t>SMM</t>
        </is>
      </c>
    </row>
    <row r="357">
      <c r="A357" s="2" t="inlineStr">
        <is>
          <t>2026/06/22</t>
        </is>
      </c>
      <c r="B357" s="2" t="inlineStr">
        <is>
          <t>氯化钴</t>
        </is>
      </c>
      <c r="C357" s="3" t="n">
        <v>105800</v>
      </c>
      <c r="D357" s="4" t="n">
        <v>109000</v>
      </c>
      <c r="E357" s="4" t="n">
        <v>107400</v>
      </c>
      <c r="F357" s="4" t="n">
        <v>-1600</v>
      </c>
      <c r="G357" s="5" t="inlineStr">
        <is>
          <t>元/吨</t>
        </is>
      </c>
      <c r="H357" s="5" t="inlineStr">
        <is>
          <t>SMM</t>
        </is>
      </c>
    </row>
    <row r="358">
      <c r="A358" s="2" t="inlineStr">
        <is>
          <t>2026/06/22</t>
        </is>
      </c>
      <c r="B358" s="2" t="inlineStr">
        <is>
          <t>氯化镍NiCl₂·6H₂O</t>
        </is>
      </c>
      <c r="C358" s="3" t="n">
        <v>38500</v>
      </c>
      <c r="D358" s="4" t="n">
        <v>41000</v>
      </c>
      <c r="E358" s="4" t="n">
        <v>39750</v>
      </c>
      <c r="F358" s="4" t="n">
        <v>0</v>
      </c>
      <c r="G358" s="5" t="inlineStr">
        <is>
          <t>元/吨</t>
        </is>
      </c>
      <c r="H358" s="5" t="inlineStr">
        <is>
          <t>SMM</t>
        </is>
      </c>
    </row>
    <row r="359">
      <c r="A359" s="2" t="inlineStr">
        <is>
          <t>2026/06/22</t>
        </is>
      </c>
      <c r="B359" s="2" t="inlineStr">
        <is>
          <t>津巴布韦锂辉石精矿（CIF中国）现货</t>
        </is>
      </c>
      <c r="C359" s="3" t="n">
        <v>2380</v>
      </c>
      <c r="D359" s="4" t="n">
        <v>2450</v>
      </c>
      <c r="E359" s="4" t="n">
        <v>2415</v>
      </c>
      <c r="F359" s="6" t="n">
        <v>-60</v>
      </c>
      <c r="G359" s="5" t="inlineStr">
        <is>
          <t>美元/吨</t>
        </is>
      </c>
      <c r="H359" s="5" t="inlineStr">
        <is>
          <t>SMM</t>
        </is>
      </c>
    </row>
    <row r="360">
      <c r="A360" s="2" t="inlineStr">
        <is>
          <t>2026/06/22</t>
        </is>
      </c>
      <c r="B360" s="2" t="inlineStr">
        <is>
          <t>澳大利亚锂辉石精矿（CIF中国）现货</t>
        </is>
      </c>
      <c r="C360" s="3" t="n">
        <v>2180</v>
      </c>
      <c r="D360" s="4" t="n">
        <v>2340</v>
      </c>
      <c r="E360" s="4" t="n">
        <v>2260</v>
      </c>
      <c r="F360" s="4" t="n">
        <v>-190</v>
      </c>
      <c r="G360" s="5" t="inlineStr">
        <is>
          <t>美元/吨</t>
        </is>
      </c>
      <c r="H360" s="5" t="inlineStr">
        <is>
          <t>SMM</t>
        </is>
      </c>
    </row>
    <row r="361">
      <c r="A361" s="2" t="inlineStr">
        <is>
          <t>2026/06/22</t>
        </is>
      </c>
      <c r="B361" s="2" t="inlineStr">
        <is>
          <t>电池级无水氯化锂</t>
        </is>
      </c>
      <c r="C361" s="3" t="n">
        <v>235</v>
      </c>
      <c r="D361" s="4" t="n">
        <v>291</v>
      </c>
      <c r="E361" s="4" t="n">
        <v>263</v>
      </c>
      <c r="F361" s="4" t="n">
        <v>0</v>
      </c>
      <c r="G361" s="5" t="inlineStr">
        <is>
          <t>元/千克</t>
        </is>
      </c>
      <c r="H361" s="5" t="inlineStr">
        <is>
          <t>SMM</t>
        </is>
      </c>
    </row>
    <row r="362">
      <c r="A362" s="2" t="inlineStr">
        <is>
          <t>2026/06/22</t>
        </is>
      </c>
      <c r="B362" s="2" t="inlineStr">
        <is>
          <t>电池级氟化锂</t>
        </is>
      </c>
      <c r="C362" s="3" t="n">
        <v>275000</v>
      </c>
      <c r="D362" s="4" t="n">
        <v>285000</v>
      </c>
      <c r="E362" s="4" t="n">
        <v>280000</v>
      </c>
      <c r="F362" s="4" t="n">
        <v>-7500</v>
      </c>
      <c r="G362" s="5" t="inlineStr">
        <is>
          <t>元/吨</t>
        </is>
      </c>
      <c r="H362" s="5" t="inlineStr">
        <is>
          <t>SMM</t>
        </is>
      </c>
    </row>
    <row r="363">
      <c r="A363" s="2" t="inlineStr">
        <is>
          <t>2026/06/22</t>
        </is>
      </c>
      <c r="B363" s="2" t="inlineStr">
        <is>
          <t>电池级氢氧化锂(CIF中日韩)</t>
        </is>
      </c>
      <c r="C363" s="7" t="n">
        <v>17.4</v>
      </c>
      <c r="D363" s="6" t="n">
        <v>20.3</v>
      </c>
      <c r="E363" s="6" t="n">
        <v>18.85</v>
      </c>
      <c r="F363" s="6" t="n">
        <v>-0.55</v>
      </c>
      <c r="G363" s="5" t="inlineStr">
        <is>
          <t>美元/千克</t>
        </is>
      </c>
      <c r="H363" s="5" t="inlineStr">
        <is>
          <t>SMM</t>
        </is>
      </c>
    </row>
    <row r="364">
      <c r="A364" s="2" t="inlineStr">
        <is>
          <t>2026/06/22</t>
        </is>
      </c>
      <c r="B364" s="2" t="inlineStr">
        <is>
          <t>电池级氢氧化锂(CIF韩国)</t>
        </is>
      </c>
      <c r="C364" s="7" t="n">
        <v>17.1</v>
      </c>
      <c r="D364" s="6" t="n">
        <v>20.4</v>
      </c>
      <c r="E364" s="6" t="n">
        <v>18.75</v>
      </c>
      <c r="F364" s="6" t="n">
        <v>-0.55</v>
      </c>
      <c r="G364" s="5" t="inlineStr">
        <is>
          <t>美元/千克</t>
        </is>
      </c>
      <c r="H364" s="5" t="inlineStr">
        <is>
          <t>SMM</t>
        </is>
      </c>
    </row>
    <row r="365">
      <c r="A365" s="2" t="inlineStr">
        <is>
          <t>2026/06/22</t>
        </is>
      </c>
      <c r="B365" s="2" t="inlineStr">
        <is>
          <t>电池级氢氧化锂(微粉）</t>
        </is>
      </c>
      <c r="C365" s="3" t="n">
        <v>141000</v>
      </c>
      <c r="D365" s="4" t="n">
        <v>158000</v>
      </c>
      <c r="E365" s="4" t="n">
        <v>149500</v>
      </c>
      <c r="F365" s="4" t="n">
        <v>-9000</v>
      </c>
      <c r="G365" s="5" t="inlineStr">
        <is>
          <t>元/吨</t>
        </is>
      </c>
      <c r="H365" s="5" t="inlineStr">
        <is>
          <t>SMM</t>
        </is>
      </c>
    </row>
    <row r="366">
      <c r="A366" s="2" t="inlineStr">
        <is>
          <t>2026/06/22</t>
        </is>
      </c>
      <c r="B366" s="2" t="inlineStr">
        <is>
          <t>电池级氢氧化锂（粗颗粒）</t>
        </is>
      </c>
      <c r="C366" s="3" t="n">
        <v>133000</v>
      </c>
      <c r="D366" s="4" t="n">
        <v>154000</v>
      </c>
      <c r="E366" s="4" t="n">
        <v>143500</v>
      </c>
      <c r="F366" s="4" t="n">
        <v>-9000</v>
      </c>
      <c r="G366" s="5" t="inlineStr">
        <is>
          <t>元/吨</t>
        </is>
      </c>
      <c r="H366" s="5" t="inlineStr">
        <is>
          <t>SMM</t>
        </is>
      </c>
    </row>
    <row r="367">
      <c r="A367" s="2" t="inlineStr">
        <is>
          <t>2026/06/22</t>
        </is>
      </c>
      <c r="B367" s="2" t="inlineStr">
        <is>
          <t>电池级硫酸锰（出厂价）</t>
        </is>
      </c>
      <c r="C367" s="3" t="n">
        <v>7570</v>
      </c>
      <c r="D367" s="4" t="n">
        <v>7770</v>
      </c>
      <c r="E367" s="4" t="n">
        <v>7670</v>
      </c>
      <c r="F367" s="6" t="n">
        <v>-20</v>
      </c>
      <c r="G367" s="5" t="inlineStr">
        <is>
          <t>元/吨</t>
        </is>
      </c>
      <c r="H367" s="5" t="inlineStr">
        <is>
          <t>SMM</t>
        </is>
      </c>
    </row>
    <row r="368">
      <c r="A368" s="2" t="inlineStr">
        <is>
          <t>2026/06/22</t>
        </is>
      </c>
      <c r="B368" s="2" t="inlineStr">
        <is>
          <t>电池级硫酸镍</t>
        </is>
      </c>
      <c r="C368" s="3" t="n">
        <v>33170</v>
      </c>
      <c r="D368" s="4" t="n">
        <v>33550</v>
      </c>
      <c r="E368" s="4" t="n">
        <v>33360</v>
      </c>
      <c r="F368" s="4" t="n">
        <v>-200</v>
      </c>
      <c r="G368" s="5" t="inlineStr">
        <is>
          <t>元/吨</t>
        </is>
      </c>
      <c r="H368" s="5" t="inlineStr">
        <is>
          <t>SMM</t>
        </is>
      </c>
    </row>
    <row r="369">
      <c r="A369" s="2" t="inlineStr">
        <is>
          <t>2026/06/22</t>
        </is>
      </c>
      <c r="B369" s="2" t="inlineStr">
        <is>
          <t>电池级碳酸锂</t>
        </is>
      </c>
      <c r="C369" s="3" t="n">
        <v>151000</v>
      </c>
      <c r="D369" s="4" t="n">
        <v>163000</v>
      </c>
      <c r="E369" s="4" t="n">
        <v>157000</v>
      </c>
      <c r="F369" s="4" t="n">
        <v>-10250</v>
      </c>
      <c r="G369" s="5" t="inlineStr">
        <is>
          <t>元/吨</t>
        </is>
      </c>
      <c r="H369" s="5" t="inlineStr">
        <is>
          <t>SMM</t>
        </is>
      </c>
    </row>
    <row r="370">
      <c r="A370" s="2" t="inlineStr">
        <is>
          <t>2026/06/22</t>
        </is>
      </c>
      <c r="B370" s="2" t="inlineStr">
        <is>
          <t>电池级碳酸锂(CIF韩国)</t>
        </is>
      </c>
      <c r="C370" s="7" t="n">
        <v>19.2</v>
      </c>
      <c r="D370" s="6" t="n">
        <v>21.5</v>
      </c>
      <c r="E370" s="6" t="n">
        <v>20.35</v>
      </c>
      <c r="F370" s="6" t="n">
        <v>-0.53</v>
      </c>
      <c r="G370" s="5" t="inlineStr">
        <is>
          <t>美元/千克</t>
        </is>
      </c>
      <c r="H370" s="5" t="inlineStr">
        <is>
          <t>SMM</t>
        </is>
      </c>
    </row>
    <row r="371">
      <c r="A371" s="2" t="inlineStr">
        <is>
          <t>2026/06/22</t>
        </is>
      </c>
      <c r="B371" s="2" t="inlineStr">
        <is>
          <t>电池级碳酸锂（CIF中日韩）</t>
        </is>
      </c>
      <c r="C371" s="7" t="n">
        <v>19.3</v>
      </c>
      <c r="D371" s="6" t="n">
        <v>21.5</v>
      </c>
      <c r="E371" s="6" t="n">
        <v>20.4</v>
      </c>
      <c r="F371" s="6" t="n">
        <v>-0.6</v>
      </c>
      <c r="G371" s="5" t="inlineStr">
        <is>
          <t>美元/千克</t>
        </is>
      </c>
      <c r="H371" s="5" t="inlineStr">
        <is>
          <t>SMM</t>
        </is>
      </c>
    </row>
    <row r="372">
      <c r="A372" s="2" t="inlineStr">
        <is>
          <t>2026/06/22</t>
        </is>
      </c>
      <c r="B372" s="2" t="inlineStr">
        <is>
          <t>电池级金属锂</t>
        </is>
      </c>
      <c r="C372" s="3" t="n">
        <v>1100000</v>
      </c>
      <c r="D372" s="4" t="n">
        <v>1130000</v>
      </c>
      <c r="E372" s="4" t="n">
        <v>1115000</v>
      </c>
      <c r="F372" s="4" t="n">
        <v>-15000</v>
      </c>
      <c r="G372" s="5" t="inlineStr">
        <is>
          <t>元/吨</t>
        </is>
      </c>
      <c r="H372" s="5" t="inlineStr">
        <is>
          <t>SMM</t>
        </is>
      </c>
    </row>
    <row r="373">
      <c r="A373" s="2" t="inlineStr">
        <is>
          <t>2026/06/22</t>
        </is>
      </c>
      <c r="B373" s="2" t="inlineStr">
        <is>
          <t>电解钴</t>
        </is>
      </c>
      <c r="C373" s="3" t="n">
        <v>370000</v>
      </c>
      <c r="D373" s="4" t="n">
        <v>395000</v>
      </c>
      <c r="E373" s="4" t="n">
        <v>382500</v>
      </c>
      <c r="F373" s="4" t="n">
        <v>-1000</v>
      </c>
      <c r="G373" s="5" t="inlineStr">
        <is>
          <t>元/吨</t>
        </is>
      </c>
      <c r="H373" s="5" t="inlineStr">
        <is>
          <t>SMM</t>
        </is>
      </c>
    </row>
    <row r="374">
      <c r="A374" s="2" t="inlineStr">
        <is>
          <t>2026/06/22</t>
        </is>
      </c>
      <c r="B374" s="2" t="inlineStr">
        <is>
          <t>电解钴（鹿特丹仓库）</t>
        </is>
      </c>
      <c r="C374" s="7" t="n">
        <v>25.5</v>
      </c>
      <c r="D374" s="6" t="n">
        <v>27</v>
      </c>
      <c r="E374" s="6" t="n">
        <v>26.25</v>
      </c>
      <c r="F374" s="4" t="n">
        <v>0</v>
      </c>
      <c r="G374" s="5" t="inlineStr">
        <is>
          <t>美元/磅</t>
        </is>
      </c>
      <c r="H374" s="5" t="inlineStr">
        <is>
          <t>SMM</t>
        </is>
      </c>
    </row>
    <row r="375">
      <c r="A375" s="2" t="inlineStr">
        <is>
          <t>2026/06/22</t>
        </is>
      </c>
      <c r="B375" s="2" t="inlineStr">
        <is>
          <t>电镀级硫酸镍</t>
        </is>
      </c>
      <c r="C375" s="3" t="n">
        <v>32500</v>
      </c>
      <c r="D375" s="4" t="n">
        <v>37000</v>
      </c>
      <c r="E375" s="4" t="n">
        <v>34750</v>
      </c>
      <c r="F375" s="4" t="n">
        <v>0</v>
      </c>
      <c r="G375" s="5" t="inlineStr">
        <is>
          <t>元/吨</t>
        </is>
      </c>
      <c r="H375" s="5" t="inlineStr">
        <is>
          <t>SMM</t>
        </is>
      </c>
    </row>
    <row r="376">
      <c r="A376" s="2" t="inlineStr">
        <is>
          <t>2026/06/22</t>
        </is>
      </c>
      <c r="B376" s="2" t="inlineStr">
        <is>
          <t>硫酸钴</t>
        </is>
      </c>
      <c r="C376" s="3" t="n">
        <v>86500</v>
      </c>
      <c r="D376" s="4" t="n">
        <v>89500</v>
      </c>
      <c r="E376" s="4" t="n">
        <v>88000</v>
      </c>
      <c r="F376" s="4" t="n">
        <v>-500</v>
      </c>
      <c r="G376" s="5" t="inlineStr">
        <is>
          <t>元/吨</t>
        </is>
      </c>
      <c r="H376" s="5" t="inlineStr">
        <is>
          <t>SMM</t>
        </is>
      </c>
    </row>
    <row r="377">
      <c r="A377" s="2" t="inlineStr">
        <is>
          <t>2026/06/22</t>
        </is>
      </c>
      <c r="B377" s="2" t="inlineStr">
        <is>
          <t>碳酸钴</t>
        </is>
      </c>
      <c r="C377" s="3" t="n">
        <v>208000</v>
      </c>
      <c r="D377" s="4" t="n">
        <v>218000</v>
      </c>
      <c r="E377" s="4" t="n">
        <v>213000</v>
      </c>
      <c r="F377" s="4" t="n">
        <v>-2000</v>
      </c>
      <c r="G377" s="5" t="inlineStr">
        <is>
          <t>元/吨</t>
        </is>
      </c>
      <c r="H377" s="5" t="inlineStr">
        <is>
          <t>SMM</t>
        </is>
      </c>
    </row>
    <row r="378">
      <c r="A378" s="2" t="inlineStr">
        <is>
          <t>2026/06/22</t>
        </is>
      </c>
      <c r="B378" s="2" t="inlineStr">
        <is>
          <t>磷酸铁锂</t>
        </is>
      </c>
      <c r="C378" s="3" t="n">
        <v>56670</v>
      </c>
      <c r="D378" s="4" t="n">
        <v>57270</v>
      </c>
      <c r="E378" s="4" t="n">
        <v>56970</v>
      </c>
      <c r="F378" s="4" t="n">
        <v>-2510</v>
      </c>
      <c r="G378" s="5" t="inlineStr">
        <is>
          <t>元/吨</t>
        </is>
      </c>
      <c r="H378" s="5" t="inlineStr">
        <is>
          <t>SMM</t>
        </is>
      </c>
    </row>
    <row r="379">
      <c r="A379" s="2" t="inlineStr">
        <is>
          <t>2026/06/22</t>
        </is>
      </c>
      <c r="B379" s="2" t="inlineStr">
        <is>
          <t>磷酸锰铁锂</t>
        </is>
      </c>
      <c r="C379" s="3" t="n">
        <v>62000</v>
      </c>
      <c r="D379" s="4" t="n">
        <v>67000</v>
      </c>
      <c r="E379" s="4" t="n">
        <v>64500</v>
      </c>
      <c r="F379" s="4" t="n">
        <v>-2500</v>
      </c>
      <c r="G379" s="5" t="inlineStr">
        <is>
          <t>元/吨</t>
        </is>
      </c>
      <c r="H379" s="5" t="inlineStr">
        <is>
          <t>SMM</t>
        </is>
      </c>
    </row>
    <row r="380">
      <c r="A380" s="2" t="inlineStr">
        <is>
          <t>2026/06/22</t>
        </is>
      </c>
      <c r="B380" s="2" t="inlineStr">
        <is>
          <t>金属钴FOB</t>
        </is>
      </c>
      <c r="C380" s="7" t="n">
        <v>24.5</v>
      </c>
      <c r="D380" s="6" t="n">
        <v>25.5</v>
      </c>
      <c r="E380" s="6" t="n">
        <v>25</v>
      </c>
      <c r="F380" s="4" t="n">
        <v>0</v>
      </c>
      <c r="G380" s="5" t="inlineStr">
        <is>
          <t>美元/磅</t>
        </is>
      </c>
      <c r="H380" s="5" t="inlineStr">
        <is>
          <t>SMM</t>
        </is>
      </c>
    </row>
    <row r="381">
      <c r="A381" s="2" t="inlineStr">
        <is>
          <t>2026/06/22</t>
        </is>
      </c>
      <c r="B381" s="2" t="inlineStr">
        <is>
          <t>钴中间品中钴含量≥30%</t>
        </is>
      </c>
      <c r="C381" s="3" t="n">
        <v>26783</v>
      </c>
      <c r="D381" s="4" t="n">
        <v>26783</v>
      </c>
      <c r="E381" s="4" t="n">
        <v>26783</v>
      </c>
      <c r="F381" s="4" t="n">
        <v>1046</v>
      </c>
      <c r="G381" s="5" t="inlineStr">
        <is>
          <t>元/金属吨</t>
        </is>
      </c>
      <c r="H381" s="5" t="inlineStr">
        <is>
          <t>SMM</t>
        </is>
      </c>
    </row>
    <row r="382">
      <c r="A382" s="2" t="inlineStr">
        <is>
          <t>2026/06/22</t>
        </is>
      </c>
      <c r="B382" s="2" t="inlineStr">
        <is>
          <t>钴中间品原料计价系数（对SMM硫酸钴均价）</t>
        </is>
      </c>
      <c r="C382" s="7" t="n">
        <v>99</v>
      </c>
      <c r="D382" s="4" t="n">
        <v>100</v>
      </c>
      <c r="E382" s="6" t="n">
        <v>99.5</v>
      </c>
      <c r="F382" s="4" t="n">
        <v>0</v>
      </c>
      <c r="G382" s="5" t="inlineStr">
        <is>
          <t>%</t>
        </is>
      </c>
      <c r="H382" s="5" t="inlineStr">
        <is>
          <t>SMM</t>
        </is>
      </c>
    </row>
    <row r="383">
      <c r="A383" s="2" t="inlineStr">
        <is>
          <t>2026/06/22</t>
        </is>
      </c>
      <c r="B383" s="2" t="inlineStr">
        <is>
          <t>钴酸锂</t>
        </is>
      </c>
      <c r="C383" s="3" t="n">
        <v>379000</v>
      </c>
      <c r="D383" s="4" t="n">
        <v>382000</v>
      </c>
      <c r="E383" s="4" t="n">
        <v>380500</v>
      </c>
      <c r="F383" s="4" t="n">
        <v>-1000</v>
      </c>
      <c r="G383" s="5" t="inlineStr">
        <is>
          <t>元/吨</t>
        </is>
      </c>
      <c r="H383" s="5" t="inlineStr">
        <is>
          <t>SMM</t>
        </is>
      </c>
    </row>
    <row r="384">
      <c r="A384" s="2" t="inlineStr">
        <is>
          <t>2026/06/22</t>
        </is>
      </c>
      <c r="B384" s="2" t="inlineStr">
        <is>
          <t>钴酸锂聚合物软包</t>
        </is>
      </c>
      <c r="C384" s="3" t="n">
        <v>98000</v>
      </c>
      <c r="D384" s="4" t="n">
        <v>100400</v>
      </c>
      <c r="E384" s="4" t="n">
        <v>99200</v>
      </c>
      <c r="F384" s="4" t="n">
        <v>-300</v>
      </c>
      <c r="G384" s="5" t="inlineStr">
        <is>
          <t>元/吨</t>
        </is>
      </c>
      <c r="H384" s="5" t="inlineStr">
        <is>
          <t>SMM</t>
        </is>
      </c>
    </row>
    <row r="385">
      <c r="A385" s="2" t="inlineStr">
        <is>
          <t>2026/06/22</t>
        </is>
      </c>
      <c r="B385" s="2" t="inlineStr">
        <is>
          <t>钴酸锂铝壳</t>
        </is>
      </c>
      <c r="C385" s="3" t="n">
        <v>84000</v>
      </c>
      <c r="D385" s="4" t="n">
        <v>93400</v>
      </c>
      <c r="E385" s="4" t="n">
        <v>88700</v>
      </c>
      <c r="F385" s="4" t="n">
        <v>-300</v>
      </c>
      <c r="G385" s="5" t="inlineStr">
        <is>
          <t>元/吨</t>
        </is>
      </c>
      <c r="H385" s="5" t="inlineStr">
        <is>
          <t>SMM</t>
        </is>
      </c>
    </row>
    <row r="386">
      <c r="A386" s="2" t="inlineStr">
        <is>
          <t>2026/06/22</t>
        </is>
      </c>
      <c r="B386" s="2" t="inlineStr">
        <is>
          <t>锰酸锂圆柱钢壳</t>
        </is>
      </c>
      <c r="C386" s="3" t="n">
        <v>5000</v>
      </c>
      <c r="D386" s="4" t="n">
        <v>7400</v>
      </c>
      <c r="E386" s="4" t="n">
        <v>6200</v>
      </c>
      <c r="F386" s="4" t="n">
        <v>0</v>
      </c>
      <c r="G386" s="5" t="inlineStr">
        <is>
          <t>元/吨</t>
        </is>
      </c>
      <c r="H386" s="5" t="inlineStr">
        <is>
          <t>SMM</t>
        </is>
      </c>
    </row>
    <row r="387">
      <c r="A387" s="2" t="inlineStr">
        <is>
          <t>2026/06/22</t>
        </is>
      </c>
      <c r="B387" s="2" t="inlineStr">
        <is>
          <t>非洲硫酸锂(CIF中国)</t>
        </is>
      </c>
      <c r="C387" s="3" t="n">
        <v>7278</v>
      </c>
      <c r="D387" s="4" t="n">
        <v>7929</v>
      </c>
      <c r="E387" s="4" t="n">
        <v>7603.5</v>
      </c>
      <c r="F387" s="4" t="n">
        <v>-566</v>
      </c>
      <c r="G387" s="5" t="inlineStr">
        <is>
          <t>美元/吨</t>
        </is>
      </c>
      <c r="H387" s="5" t="inlineStr">
        <is>
          <t>SMM</t>
        </is>
      </c>
    </row>
    <row r="388">
      <c r="A388" s="2" t="inlineStr">
        <is>
          <t>2026/06/22</t>
        </is>
      </c>
      <c r="B388" s="2" t="inlineStr">
        <is>
          <t>非洲锂辉石精矿（CIF中国）指数</t>
        </is>
      </c>
      <c r="C388" s="3" t="n">
        <v>2398</v>
      </c>
      <c r="D388" s="4" t="n">
        <v>2398</v>
      </c>
      <c r="E388" s="4" t="n">
        <v>2398</v>
      </c>
      <c r="F388" s="6" t="n">
        <v>-72</v>
      </c>
      <c r="G388" s="5" t="inlineStr">
        <is>
          <t>美元/吨</t>
        </is>
      </c>
      <c r="H388" s="5" t="inlineStr">
        <is>
          <t>SMM</t>
        </is>
      </c>
    </row>
    <row r="389">
      <c r="A389" s="2" t="inlineStr">
        <is>
          <t>2026/06/24</t>
        </is>
      </c>
      <c r="B389" s="2" t="inlineStr">
        <is>
          <t>5系三元前驱体</t>
        </is>
      </c>
      <c r="C389" s="3" t="n">
        <v>99350</v>
      </c>
      <c r="D389" s="4" t="n">
        <v>104450</v>
      </c>
      <c r="E389" s="4" t="n">
        <v>101900</v>
      </c>
      <c r="F389" s="4" t="n">
        <v>-650</v>
      </c>
      <c r="G389" s="5" t="inlineStr">
        <is>
          <t>元/吨</t>
        </is>
      </c>
      <c r="H389" s="5" t="inlineStr">
        <is>
          <t>SMM</t>
        </is>
      </c>
    </row>
    <row r="390">
      <c r="A390" s="2" t="inlineStr">
        <is>
          <t>2026/06/24</t>
        </is>
      </c>
      <c r="B390" s="2" t="inlineStr">
        <is>
          <t>5系三元材料</t>
        </is>
      </c>
      <c r="C390" s="3" t="n">
        <v>181800</v>
      </c>
      <c r="D390" s="4" t="n">
        <v>188900</v>
      </c>
      <c r="E390" s="4" t="n">
        <v>185350</v>
      </c>
      <c r="F390" s="4" t="n">
        <v>-400</v>
      </c>
      <c r="G390" s="5" t="inlineStr">
        <is>
          <t>元/吨</t>
        </is>
      </c>
      <c r="H390" s="5" t="inlineStr">
        <is>
          <t>SMM</t>
        </is>
      </c>
    </row>
    <row r="391">
      <c r="A391" s="2" t="inlineStr">
        <is>
          <t>2026/06/24</t>
        </is>
      </c>
      <c r="B391" s="2" t="inlineStr">
        <is>
          <t>6系三元前驱体（单晶/动力型）</t>
        </is>
      </c>
      <c r="C391" s="3" t="n">
        <v>92200</v>
      </c>
      <c r="D391" s="4" t="n">
        <v>96900</v>
      </c>
      <c r="E391" s="4" t="n">
        <v>94550</v>
      </c>
      <c r="F391" s="4" t="n">
        <v>-650</v>
      </c>
      <c r="G391" s="5" t="inlineStr">
        <is>
          <t>元/吨</t>
        </is>
      </c>
      <c r="H391" s="5" t="inlineStr">
        <is>
          <t>SMM</t>
        </is>
      </c>
    </row>
    <row r="392">
      <c r="A392" s="2" t="inlineStr">
        <is>
          <t>2026/06/24</t>
        </is>
      </c>
      <c r="B392" s="2" t="inlineStr">
        <is>
          <t>6系三元材料（单晶/动力型）</t>
        </is>
      </c>
      <c r="C392" s="3" t="n">
        <v>185600</v>
      </c>
      <c r="D392" s="4" t="n">
        <v>195100</v>
      </c>
      <c r="E392" s="4" t="n">
        <v>190350</v>
      </c>
      <c r="F392" s="4" t="n">
        <v>-800</v>
      </c>
      <c r="G392" s="5" t="inlineStr">
        <is>
          <t>元/吨</t>
        </is>
      </c>
      <c r="H392" s="5" t="inlineStr">
        <is>
          <t>SMM</t>
        </is>
      </c>
    </row>
    <row r="393">
      <c r="A393" s="2" t="inlineStr">
        <is>
          <t>2026/06/24</t>
        </is>
      </c>
      <c r="B393" s="2" t="inlineStr">
        <is>
          <t>8系三元前驱体（多晶/动力型）</t>
        </is>
      </c>
      <c r="C393" s="3" t="n">
        <v>114100</v>
      </c>
      <c r="D393" s="4" t="n">
        <v>119800</v>
      </c>
      <c r="E393" s="4" t="n">
        <v>116950</v>
      </c>
      <c r="F393" s="4" t="n">
        <v>-900</v>
      </c>
      <c r="G393" s="5" t="inlineStr">
        <is>
          <t>元/吨</t>
        </is>
      </c>
      <c r="H393" s="5" t="inlineStr">
        <is>
          <t>SMM</t>
        </is>
      </c>
    </row>
    <row r="394">
      <c r="A394" s="2" t="inlineStr">
        <is>
          <t>2026/06/24</t>
        </is>
      </c>
      <c r="B394" s="2" t="inlineStr">
        <is>
          <t>8系三元材料</t>
        </is>
      </c>
      <c r="C394" s="3" t="n">
        <v>208600</v>
      </c>
      <c r="D394" s="4" t="n">
        <v>218200</v>
      </c>
      <c r="E394" s="4" t="n">
        <v>213400</v>
      </c>
      <c r="F394" s="4" t="n">
        <v>-900</v>
      </c>
      <c r="G394" s="5" t="inlineStr">
        <is>
          <t>元/吨</t>
        </is>
      </c>
      <c r="H394" s="5" t="inlineStr">
        <is>
          <t>SMM</t>
        </is>
      </c>
    </row>
    <row r="395">
      <c r="A395" s="2" t="inlineStr">
        <is>
          <t>2026/06/24</t>
        </is>
      </c>
      <c r="B395" s="2" t="inlineStr">
        <is>
          <t>MHP系数（对SMM电池级硫酸镍指数）</t>
        </is>
      </c>
      <c r="C395" s="7" t="n">
        <v>83.5</v>
      </c>
      <c r="D395" s="6" t="n">
        <v>84.5</v>
      </c>
      <c r="E395" s="6" t="n">
        <v>84</v>
      </c>
      <c r="F395" s="6" t="n">
        <v>-2</v>
      </c>
      <c r="G395" s="5" t="inlineStr">
        <is>
          <t>%</t>
        </is>
      </c>
      <c r="H395" s="5" t="inlineStr">
        <is>
          <t>SMM</t>
        </is>
      </c>
    </row>
    <row r="396">
      <c r="A396" s="2" t="inlineStr">
        <is>
          <t>2026/06/24</t>
        </is>
      </c>
      <c r="B396" s="2" t="inlineStr">
        <is>
          <t>MHP钴元素计价系数（对SMM硫酸钴均价）</t>
        </is>
      </c>
      <c r="C396" s="7" t="n">
        <v>92</v>
      </c>
      <c r="D396" s="6" t="n">
        <v>93</v>
      </c>
      <c r="E396" s="6" t="n">
        <v>92.5</v>
      </c>
      <c r="F396" s="4" t="n">
        <v>0</v>
      </c>
      <c r="G396" s="5" t="inlineStr">
        <is>
          <t>%</t>
        </is>
      </c>
      <c r="H396" s="5" t="inlineStr">
        <is>
          <t>SMM</t>
        </is>
      </c>
    </row>
    <row r="397">
      <c r="A397" s="2" t="inlineStr">
        <is>
          <t>2026/06/24</t>
        </is>
      </c>
      <c r="B397" s="2" t="inlineStr">
        <is>
          <t>NCA三元材料</t>
        </is>
      </c>
      <c r="C397" s="3" t="n">
        <v>205400</v>
      </c>
      <c r="D397" s="4" t="n">
        <v>213700</v>
      </c>
      <c r="E397" s="4" t="n">
        <v>209550</v>
      </c>
      <c r="F397" s="4" t="n">
        <v>-900</v>
      </c>
      <c r="G397" s="5" t="inlineStr">
        <is>
          <t>元/吨</t>
        </is>
      </c>
      <c r="H397" s="5" t="inlineStr">
        <is>
          <t>SMM</t>
        </is>
      </c>
    </row>
    <row r="398">
      <c r="A398" s="2" t="inlineStr">
        <is>
          <t>2026/06/24</t>
        </is>
      </c>
      <c r="B398" s="2" t="inlineStr">
        <is>
          <t>SMM三元极片粉钴系数指数</t>
        </is>
      </c>
      <c r="C398" s="7" t="n">
        <v>78.34999999999999</v>
      </c>
      <c r="D398" s="6" t="n">
        <v>78.34999999999999</v>
      </c>
      <c r="E398" s="6" t="n">
        <v>78.34999999999999</v>
      </c>
      <c r="F398" s="6" t="n">
        <v>-0.36</v>
      </c>
      <c r="G398" s="5" t="inlineStr">
        <is>
          <t>%</t>
        </is>
      </c>
      <c r="H398" s="5" t="inlineStr">
        <is>
          <t>SMM</t>
        </is>
      </c>
    </row>
    <row r="399">
      <c r="A399" s="2" t="inlineStr">
        <is>
          <t>2026/06/24</t>
        </is>
      </c>
      <c r="B399" s="2" t="inlineStr">
        <is>
          <t>SMM三元极片粉锂系数指数</t>
        </is>
      </c>
      <c r="C399" s="7" t="n">
        <v>78.36</v>
      </c>
      <c r="D399" s="6" t="n">
        <v>78.36</v>
      </c>
      <c r="E399" s="6" t="n">
        <v>78.36</v>
      </c>
      <c r="F399" s="6" t="n">
        <v>-0.36</v>
      </c>
      <c r="G399" s="5" t="inlineStr">
        <is>
          <t>%</t>
        </is>
      </c>
      <c r="H399" s="5" t="inlineStr">
        <is>
          <t>SMM</t>
        </is>
      </c>
    </row>
    <row r="400">
      <c r="A400" s="2" t="inlineStr">
        <is>
          <t>2026/06/24</t>
        </is>
      </c>
      <c r="B400" s="2" t="inlineStr">
        <is>
          <t>SMM三元极片粉镍系数指数</t>
        </is>
      </c>
      <c r="C400" s="7" t="n">
        <v>78.36</v>
      </c>
      <c r="D400" s="6" t="n">
        <v>78.36</v>
      </c>
      <c r="E400" s="6" t="n">
        <v>78.36</v>
      </c>
      <c r="F400" s="6" t="n">
        <v>-0.36</v>
      </c>
      <c r="G400" s="5" t="inlineStr">
        <is>
          <t>%</t>
        </is>
      </c>
      <c r="H400" s="5" t="inlineStr">
        <is>
          <t>SMM</t>
        </is>
      </c>
    </row>
    <row r="401">
      <c r="A401" s="2" t="inlineStr">
        <is>
          <t>2026/06/24</t>
        </is>
      </c>
      <c r="B401" s="2" t="inlineStr">
        <is>
          <t>SMM三元电池粉钴系数指数</t>
        </is>
      </c>
      <c r="C401" s="7" t="n">
        <v>74.84999999999999</v>
      </c>
      <c r="D401" s="6" t="n">
        <v>74.84999999999999</v>
      </c>
      <c r="E401" s="6" t="n">
        <v>74.84999999999999</v>
      </c>
      <c r="F401" s="6" t="n">
        <v>-0.35</v>
      </c>
      <c r="G401" s="5" t="inlineStr">
        <is>
          <t>%</t>
        </is>
      </c>
      <c r="H401" s="5" t="inlineStr">
        <is>
          <t>SMM</t>
        </is>
      </c>
    </row>
    <row r="402">
      <c r="A402" s="2" t="inlineStr">
        <is>
          <t>2026/06/24</t>
        </is>
      </c>
      <c r="B402" s="2" t="inlineStr">
        <is>
          <t>SMM三元电池粉锂系数指数</t>
        </is>
      </c>
      <c r="C402" s="7" t="n">
        <v>74.84999999999999</v>
      </c>
      <c r="D402" s="6" t="n">
        <v>74.84999999999999</v>
      </c>
      <c r="E402" s="6" t="n">
        <v>74.84999999999999</v>
      </c>
      <c r="F402" s="6" t="n">
        <v>-0.37</v>
      </c>
      <c r="G402" s="5" t="inlineStr">
        <is>
          <t>%</t>
        </is>
      </c>
      <c r="H402" s="5" t="inlineStr">
        <is>
          <t>SMM</t>
        </is>
      </c>
    </row>
    <row r="403">
      <c r="A403" s="2" t="inlineStr">
        <is>
          <t>2026/06/24</t>
        </is>
      </c>
      <c r="B403" s="2" t="inlineStr">
        <is>
          <t>SMM三元电池粉镍系数指数</t>
        </is>
      </c>
      <c r="C403" s="7" t="n">
        <v>74.84999999999999</v>
      </c>
      <c r="D403" s="6" t="n">
        <v>74.84999999999999</v>
      </c>
      <c r="E403" s="6" t="n">
        <v>74.84999999999999</v>
      </c>
      <c r="F403" s="6" t="n">
        <v>-0.37</v>
      </c>
      <c r="G403" s="5" t="inlineStr">
        <is>
          <t>%</t>
        </is>
      </c>
      <c r="H403" s="5" t="inlineStr">
        <is>
          <t>SMM</t>
        </is>
      </c>
    </row>
    <row r="404">
      <c r="A404" s="2" t="inlineStr">
        <is>
          <t>2026/06/24</t>
        </is>
      </c>
      <c r="B404" s="2" t="inlineStr">
        <is>
          <t>SMM六氟磷酸锂指数</t>
        </is>
      </c>
      <c r="C404" s="3" t="n">
        <v>100926</v>
      </c>
      <c r="D404" s="4" t="n">
        <v>105045</v>
      </c>
      <c r="E404" s="4" t="n">
        <v>102985.5</v>
      </c>
      <c r="F404" s="4" t="n">
        <v>-420.5</v>
      </c>
      <c r="G404" s="5" t="inlineStr">
        <is>
          <t>元/吨</t>
        </is>
      </c>
      <c r="H404" s="5" t="inlineStr">
        <is>
          <t>SMM</t>
        </is>
      </c>
    </row>
    <row r="405">
      <c r="A405" s="2" t="inlineStr">
        <is>
          <t>2026/06/24</t>
        </is>
      </c>
      <c r="B405" s="2" t="inlineStr">
        <is>
          <t>SMM电池级氢氧化锂指数</t>
        </is>
      </c>
      <c r="C405" s="3" t="n">
        <v>144252</v>
      </c>
      <c r="D405" s="4" t="n">
        <v>144252</v>
      </c>
      <c r="E405" s="4" t="n">
        <v>144252</v>
      </c>
      <c r="F405" s="4" t="n">
        <v>-1498</v>
      </c>
      <c r="G405" s="5" t="inlineStr">
        <is>
          <t>元/吨</t>
        </is>
      </c>
      <c r="H405" s="5" t="inlineStr">
        <is>
          <t>SMM</t>
        </is>
      </c>
    </row>
    <row r="406">
      <c r="A406" s="2" t="inlineStr">
        <is>
          <t>2026/06/24</t>
        </is>
      </c>
      <c r="B406" s="2" t="inlineStr">
        <is>
          <t>SMM电池级硫酸锰指数</t>
        </is>
      </c>
      <c r="C406" s="3" t="n">
        <v>7647</v>
      </c>
      <c r="D406" s="4" t="n">
        <v>7647</v>
      </c>
      <c r="E406" s="4" t="n">
        <v>7647</v>
      </c>
      <c r="F406" s="6" t="n">
        <v>4</v>
      </c>
      <c r="G406" s="5" t="inlineStr">
        <is>
          <t>元/吨</t>
        </is>
      </c>
      <c r="H406" s="5" t="inlineStr">
        <is>
          <t>SMM</t>
        </is>
      </c>
    </row>
    <row r="407">
      <c r="A407" s="2" t="inlineStr">
        <is>
          <t>2026/06/24</t>
        </is>
      </c>
      <c r="B407" s="2" t="inlineStr">
        <is>
          <t>SMM电池级硫酸镍指数</t>
        </is>
      </c>
      <c r="C407" s="3" t="n">
        <v>32797</v>
      </c>
      <c r="D407" s="4" t="n">
        <v>32797</v>
      </c>
      <c r="E407" s="4" t="n">
        <v>32797</v>
      </c>
      <c r="F407" s="6" t="n">
        <v>-80</v>
      </c>
      <c r="G407" s="5" t="inlineStr">
        <is>
          <t>元/吨</t>
        </is>
      </c>
      <c r="H407" s="5" t="inlineStr">
        <is>
          <t>SMM</t>
        </is>
      </c>
    </row>
    <row r="408">
      <c r="A408" s="2" t="inlineStr">
        <is>
          <t>2026/06/24</t>
        </is>
      </c>
      <c r="B408" s="2" t="inlineStr">
        <is>
          <t>SMM电池级碳酸锂指数</t>
        </is>
      </c>
      <c r="C408" s="3" t="n">
        <v>156870</v>
      </c>
      <c r="D408" s="4" t="n">
        <v>156870</v>
      </c>
      <c r="E408" s="4" t="n">
        <v>156870</v>
      </c>
      <c r="F408" s="4" t="n">
        <v>-562</v>
      </c>
      <c r="G408" s="5" t="inlineStr">
        <is>
          <t>元/吨</t>
        </is>
      </c>
      <c r="H408" s="5" t="inlineStr">
        <is>
          <t>SMM</t>
        </is>
      </c>
    </row>
    <row r="409">
      <c r="A409" s="2" t="inlineStr">
        <is>
          <t>2026/06/24</t>
        </is>
      </c>
      <c r="B409" s="2" t="inlineStr">
        <is>
          <t>SMM硫酸钴指数</t>
        </is>
      </c>
      <c r="C409" s="3" t="n">
        <v>87011</v>
      </c>
      <c r="D409" s="4" t="n">
        <v>87011</v>
      </c>
      <c r="E409" s="4" t="n">
        <v>87011</v>
      </c>
      <c r="F409" s="4" t="n">
        <v>-189</v>
      </c>
      <c r="G409" s="5" t="inlineStr">
        <is>
          <t>元/吨</t>
        </is>
      </c>
      <c r="H409" s="5" t="inlineStr">
        <is>
          <t>SMM</t>
        </is>
      </c>
    </row>
    <row r="410">
      <c r="A410" s="2" t="inlineStr">
        <is>
          <t>2026/06/24</t>
        </is>
      </c>
      <c r="B410" s="2" t="inlineStr">
        <is>
          <t>SMM磷酸铁锂极片粉指数</t>
        </is>
      </c>
      <c r="C410" s="3" t="n">
        <v>7048</v>
      </c>
      <c r="D410" s="4" t="n">
        <v>7048</v>
      </c>
      <c r="E410" s="4" t="n">
        <v>7048</v>
      </c>
      <c r="F410" s="6" t="n">
        <v>-17</v>
      </c>
      <c r="G410" s="5" t="inlineStr">
        <is>
          <t>元/锂点</t>
        </is>
      </c>
      <c r="H410" s="5" t="inlineStr">
        <is>
          <t>SMM</t>
        </is>
      </c>
    </row>
    <row r="411">
      <c r="A411" s="2" t="inlineStr">
        <is>
          <t>2026/06/24</t>
        </is>
      </c>
      <c r="B411" s="2" t="inlineStr">
        <is>
          <t>SMM磷酸铁锂电池粉指数</t>
        </is>
      </c>
      <c r="C411" s="3" t="n">
        <v>6596</v>
      </c>
      <c r="D411" s="4" t="n">
        <v>6596</v>
      </c>
      <c r="E411" s="4" t="n">
        <v>6596</v>
      </c>
      <c r="F411" s="6" t="n">
        <v>-7</v>
      </c>
      <c r="G411" s="5" t="inlineStr">
        <is>
          <t>元/锂点</t>
        </is>
      </c>
      <c r="H411" s="5" t="inlineStr">
        <is>
          <t>SMM</t>
        </is>
      </c>
    </row>
    <row r="412">
      <c r="A412" s="2" t="inlineStr">
        <is>
          <t>2026/06/24</t>
        </is>
      </c>
      <c r="B412" s="2" t="inlineStr">
        <is>
          <t>SMM钴酸锂极片粉钴系数指数</t>
        </is>
      </c>
      <c r="C412" s="7" t="n">
        <v>82.3</v>
      </c>
      <c r="D412" s="6" t="n">
        <v>82.3</v>
      </c>
      <c r="E412" s="6" t="n">
        <v>82.3</v>
      </c>
      <c r="F412" s="4" t="n">
        <v>0</v>
      </c>
      <c r="G412" s="5" t="inlineStr">
        <is>
          <t>%</t>
        </is>
      </c>
      <c r="H412" s="5" t="inlineStr">
        <is>
          <t>SMM</t>
        </is>
      </c>
    </row>
    <row r="413">
      <c r="A413" s="2" t="inlineStr">
        <is>
          <t>2026/06/24</t>
        </is>
      </c>
      <c r="B413" s="2" t="inlineStr">
        <is>
          <t>SMM钴酸锂极片粉锂系数指数</t>
        </is>
      </c>
      <c r="C413" s="7" t="n">
        <v>76.23</v>
      </c>
      <c r="D413" s="6" t="n">
        <v>76.23</v>
      </c>
      <c r="E413" s="6" t="n">
        <v>76.23</v>
      </c>
      <c r="F413" s="6" t="n">
        <v>-0.27</v>
      </c>
      <c r="G413" s="5" t="inlineStr">
        <is>
          <t>%</t>
        </is>
      </c>
      <c r="H413" s="5" t="inlineStr">
        <is>
          <t>SMM</t>
        </is>
      </c>
    </row>
    <row r="414">
      <c r="A414" s="2" t="inlineStr">
        <is>
          <t>2026/06/24</t>
        </is>
      </c>
      <c r="B414" s="2" t="inlineStr">
        <is>
          <t>SMM钴酸锂电池粉钴系数指数</t>
        </is>
      </c>
      <c r="C414" s="7" t="n">
        <v>79.97</v>
      </c>
      <c r="D414" s="6" t="n">
        <v>79.97</v>
      </c>
      <c r="E414" s="6" t="n">
        <v>79.97</v>
      </c>
      <c r="F414" s="4" t="n">
        <v>0</v>
      </c>
      <c r="G414" s="5" t="inlineStr">
        <is>
          <t>%</t>
        </is>
      </c>
      <c r="H414" s="5" t="inlineStr">
        <is>
          <t>SMM</t>
        </is>
      </c>
    </row>
    <row r="415">
      <c r="A415" s="2" t="inlineStr">
        <is>
          <t>2026/06/24</t>
        </is>
      </c>
      <c r="B415" s="2" t="inlineStr">
        <is>
          <t>SMM钴酸锂电池粉锂系数指数</t>
        </is>
      </c>
      <c r="C415" s="7" t="n">
        <v>75.92</v>
      </c>
      <c r="D415" s="6" t="n">
        <v>75.92</v>
      </c>
      <c r="E415" s="6" t="n">
        <v>75.92</v>
      </c>
      <c r="F415" s="6" t="n">
        <v>-0.19</v>
      </c>
      <c r="G415" s="5" t="inlineStr">
        <is>
          <t>%</t>
        </is>
      </c>
      <c r="H415" s="5" t="inlineStr">
        <is>
          <t>SMM</t>
        </is>
      </c>
    </row>
    <row r="416">
      <c r="A416" s="2" t="inlineStr">
        <is>
          <t>2026/06/24</t>
        </is>
      </c>
      <c r="B416" s="2" t="inlineStr">
        <is>
          <t>三元方壳锂电B品</t>
        </is>
      </c>
      <c r="C416" s="7" t="n">
        <v>0.75</v>
      </c>
      <c r="D416" s="6" t="n">
        <v>0.85</v>
      </c>
      <c r="E416" s="6" t="n">
        <v>0.8</v>
      </c>
      <c r="F416" s="4" t="n">
        <v>0</v>
      </c>
      <c r="G416" s="5" t="inlineStr">
        <is>
          <t>元/Ah</t>
        </is>
      </c>
      <c r="H416" s="5" t="inlineStr">
        <is>
          <t>SMM</t>
        </is>
      </c>
    </row>
    <row r="417">
      <c r="A417" s="2" t="inlineStr">
        <is>
          <t>2026/06/24</t>
        </is>
      </c>
      <c r="B417" s="2" t="inlineStr">
        <is>
          <t>六氟磷酸锂（国产）</t>
        </is>
      </c>
      <c r="C417" s="3" t="n">
        <v>106000</v>
      </c>
      <c r="D417" s="4" t="n">
        <v>110000</v>
      </c>
      <c r="E417" s="4" t="n">
        <v>108000</v>
      </c>
      <c r="F417" s="4" t="n">
        <v>-2000</v>
      </c>
      <c r="G417" s="5" t="inlineStr">
        <is>
          <t>元/吨</t>
        </is>
      </c>
      <c r="H417" s="5" t="inlineStr">
        <is>
          <t>SMM</t>
        </is>
      </c>
    </row>
    <row r="418">
      <c r="A418" s="2" t="inlineStr">
        <is>
          <t>2026/06/24</t>
        </is>
      </c>
      <c r="B418" s="2" t="inlineStr">
        <is>
          <t>四氧化三钴</t>
        </is>
      </c>
      <c r="C418" s="3" t="n">
        <v>330000</v>
      </c>
      <c r="D418" s="4" t="n">
        <v>342000</v>
      </c>
      <c r="E418" s="4" t="n">
        <v>336000</v>
      </c>
      <c r="F418" s="4" t="n">
        <v>0</v>
      </c>
      <c r="G418" s="5" t="inlineStr">
        <is>
          <t>元/吨</t>
        </is>
      </c>
      <c r="H418" s="5" t="inlineStr">
        <is>
          <t>SMM</t>
        </is>
      </c>
    </row>
    <row r="419">
      <c r="A419" s="2" t="inlineStr">
        <is>
          <t>2026/06/24</t>
        </is>
      </c>
      <c r="B419" s="2" t="inlineStr">
        <is>
          <t>四氧化三锰（电池级）</t>
        </is>
      </c>
      <c r="C419" s="3" t="n">
        <v>14000</v>
      </c>
      <c r="D419" s="4" t="n">
        <v>16000</v>
      </c>
      <c r="E419" s="4" t="n">
        <v>15000</v>
      </c>
      <c r="F419" s="4" t="n">
        <v>0</v>
      </c>
      <c r="G419" s="5" t="inlineStr">
        <is>
          <t>元/吨</t>
        </is>
      </c>
      <c r="H419" s="5" t="inlineStr">
        <is>
          <t>SMM</t>
        </is>
      </c>
    </row>
    <row r="420">
      <c r="A420" s="2" t="inlineStr">
        <is>
          <t>2026/06/24</t>
        </is>
      </c>
      <c r="B420" s="2" t="inlineStr">
        <is>
          <t>工业级氢氧化锂</t>
        </is>
      </c>
      <c r="C420" s="3" t="n">
        <v>128500</v>
      </c>
      <c r="D420" s="4" t="n">
        <v>134500</v>
      </c>
      <c r="E420" s="4" t="n">
        <v>131500</v>
      </c>
      <c r="F420" s="4" t="n">
        <v>-750</v>
      </c>
      <c r="G420" s="5" t="inlineStr">
        <is>
          <t>元/吨</t>
        </is>
      </c>
      <c r="H420" s="5" t="inlineStr">
        <is>
          <t>SMM</t>
        </is>
      </c>
    </row>
    <row r="421">
      <c r="A421" s="2" t="inlineStr">
        <is>
          <t>2026/06/24</t>
        </is>
      </c>
      <c r="B421" s="2" t="inlineStr">
        <is>
          <t>工业级碳酸锂</t>
        </is>
      </c>
      <c r="C421" s="3" t="n">
        <v>150000</v>
      </c>
      <c r="D421" s="4" t="n">
        <v>157000</v>
      </c>
      <c r="E421" s="4" t="n">
        <v>153500</v>
      </c>
      <c r="F421" s="4" t="n">
        <v>-1000</v>
      </c>
      <c r="G421" s="5" t="inlineStr">
        <is>
          <t>元/吨</t>
        </is>
      </c>
      <c r="H421" s="5" t="inlineStr">
        <is>
          <t>SMM</t>
        </is>
      </c>
    </row>
    <row r="422">
      <c r="A422" s="2" t="inlineStr">
        <is>
          <t>2026/06/24</t>
        </is>
      </c>
      <c r="B422" s="2" t="inlineStr">
        <is>
          <t>工业级金属锂</t>
        </is>
      </c>
      <c r="C422" s="3" t="n">
        <v>1060000</v>
      </c>
      <c r="D422" s="4" t="n">
        <v>1100000</v>
      </c>
      <c r="E422" s="4" t="n">
        <v>1080000</v>
      </c>
      <c r="F422" s="4" t="n">
        <v>0</v>
      </c>
      <c r="G422" s="5" t="inlineStr">
        <is>
          <t>元/吨</t>
        </is>
      </c>
      <c r="H422" s="5" t="inlineStr">
        <is>
          <t>SMM</t>
        </is>
      </c>
    </row>
    <row r="423">
      <c r="A423" s="2" t="inlineStr">
        <is>
          <t>2026/06/24</t>
        </is>
      </c>
      <c r="B423" s="2" t="inlineStr">
        <is>
          <t>巴西锂辉石精矿（CIF中国）现货</t>
        </is>
      </c>
      <c r="C423" s="3" t="n">
        <v>2180</v>
      </c>
      <c r="D423" s="4" t="n">
        <v>2320</v>
      </c>
      <c r="E423" s="4" t="n">
        <v>2250</v>
      </c>
      <c r="F423" s="4" t="n">
        <v>0</v>
      </c>
      <c r="G423" s="5" t="inlineStr">
        <is>
          <t>美元/吨</t>
        </is>
      </c>
      <c r="H423" s="5" t="inlineStr">
        <is>
          <t>SMM</t>
        </is>
      </c>
    </row>
    <row r="424">
      <c r="A424" s="2" t="inlineStr">
        <is>
          <t>2026/06/24</t>
        </is>
      </c>
      <c r="B424" s="2" t="inlineStr">
        <is>
          <t>废旧磷酸铁锂储能正极片</t>
        </is>
      </c>
      <c r="C424" s="3" t="n">
        <v>20700</v>
      </c>
      <c r="D424" s="4" t="n">
        <v>23750</v>
      </c>
      <c r="E424" s="4" t="n">
        <v>22225</v>
      </c>
      <c r="F424" s="4" t="n">
        <v>-225</v>
      </c>
      <c r="G424" s="5" t="inlineStr">
        <is>
          <t>元/吨</t>
        </is>
      </c>
      <c r="H424" s="5" t="inlineStr">
        <is>
          <t>SMM</t>
        </is>
      </c>
    </row>
    <row r="425">
      <c r="A425" s="2" t="inlineStr">
        <is>
          <t>2026/06/24</t>
        </is>
      </c>
      <c r="B425" s="2" t="inlineStr">
        <is>
          <t>废旧磷酸铁锂动力正极片</t>
        </is>
      </c>
      <c r="C425" s="3" t="n">
        <v>24600</v>
      </c>
      <c r="D425" s="4" t="n">
        <v>28650</v>
      </c>
      <c r="E425" s="4" t="n">
        <v>26625</v>
      </c>
      <c r="F425" s="4" t="n">
        <v>-150</v>
      </c>
      <c r="G425" s="5" t="inlineStr">
        <is>
          <t>元/吨</t>
        </is>
      </c>
      <c r="H425" s="5" t="inlineStr">
        <is>
          <t>SMM</t>
        </is>
      </c>
    </row>
    <row r="426">
      <c r="A426" s="2" t="inlineStr">
        <is>
          <t>2026/06/24</t>
        </is>
      </c>
      <c r="B426" s="2" t="inlineStr">
        <is>
          <t>废旧磷酸铁锂软包电池</t>
        </is>
      </c>
      <c r="C426" s="3" t="n">
        <v>15700</v>
      </c>
      <c r="D426" s="4" t="n">
        <v>17000</v>
      </c>
      <c r="E426" s="4" t="n">
        <v>16350</v>
      </c>
      <c r="F426" s="4" t="n">
        <v>-100</v>
      </c>
      <c r="G426" s="5" t="inlineStr">
        <is>
          <t>元/吨</t>
        </is>
      </c>
      <c r="H426" s="5" t="inlineStr">
        <is>
          <t>SMM</t>
        </is>
      </c>
    </row>
    <row r="427">
      <c r="A427" s="2" t="inlineStr">
        <is>
          <t>2026/06/24</t>
        </is>
      </c>
      <c r="B427" s="2" t="inlineStr">
        <is>
          <t>废旧磷酸铁锂钢壳电池</t>
        </is>
      </c>
      <c r="C427" s="3" t="n">
        <v>9800</v>
      </c>
      <c r="D427" s="4" t="n">
        <v>11300</v>
      </c>
      <c r="E427" s="4" t="n">
        <v>10550</v>
      </c>
      <c r="F427" s="4" t="n">
        <v>-100</v>
      </c>
      <c r="G427" s="5" t="inlineStr">
        <is>
          <t>元/吨</t>
        </is>
      </c>
      <c r="H427" s="5" t="inlineStr">
        <is>
          <t>SMM</t>
        </is>
      </c>
    </row>
    <row r="428">
      <c r="A428" s="2" t="inlineStr">
        <is>
          <t>2026/06/24</t>
        </is>
      </c>
      <c r="B428" s="2" t="inlineStr">
        <is>
          <t>废旧磷酸铁锂铝壳电池</t>
        </is>
      </c>
      <c r="C428" s="3" t="n">
        <v>17000</v>
      </c>
      <c r="D428" s="4" t="n">
        <v>18100</v>
      </c>
      <c r="E428" s="4" t="n">
        <v>17550</v>
      </c>
      <c r="F428" s="4" t="n">
        <v>-100</v>
      </c>
      <c r="G428" s="5" t="inlineStr">
        <is>
          <t>元/吨</t>
        </is>
      </c>
      <c r="H428" s="5" t="inlineStr">
        <is>
          <t>SMM</t>
        </is>
      </c>
    </row>
    <row r="429">
      <c r="A429" s="2" t="inlineStr">
        <is>
          <t>2026/06/24</t>
        </is>
      </c>
      <c r="B429" s="2" t="inlineStr">
        <is>
          <t>方形磷酸铁锂电池B品</t>
        </is>
      </c>
      <c r="C429" s="7" t="n">
        <v>0.68</v>
      </c>
      <c r="D429" s="6" t="n">
        <v>0.8</v>
      </c>
      <c r="E429" s="6" t="n">
        <v>0.74</v>
      </c>
      <c r="F429" s="4" t="n">
        <v>0</v>
      </c>
      <c r="G429" s="5" t="inlineStr">
        <is>
          <t>元/Ah</t>
        </is>
      </c>
      <c r="H429" s="5" t="inlineStr">
        <is>
          <t>SMM</t>
        </is>
      </c>
    </row>
    <row r="430">
      <c r="A430" s="2" t="inlineStr">
        <is>
          <t>2026/06/24</t>
        </is>
      </c>
      <c r="B430" s="2" t="inlineStr">
        <is>
          <t>氧化亚镍</t>
        </is>
      </c>
      <c r="C430" s="3" t="n">
        <v>118000</v>
      </c>
      <c r="D430" s="4" t="n">
        <v>126000</v>
      </c>
      <c r="E430" s="4" t="n">
        <v>122000</v>
      </c>
      <c r="F430" s="4" t="n">
        <v>0</v>
      </c>
      <c r="G430" s="5" t="inlineStr">
        <is>
          <t>元/吨</t>
        </is>
      </c>
      <c r="H430" s="5" t="inlineStr">
        <is>
          <t>SMM</t>
        </is>
      </c>
    </row>
    <row r="431">
      <c r="A431" s="2" t="inlineStr">
        <is>
          <t>2026/06/24</t>
        </is>
      </c>
      <c r="B431" s="2" t="inlineStr">
        <is>
          <t>氧化钴</t>
        </is>
      </c>
      <c r="C431" s="3" t="n">
        <v>302000</v>
      </c>
      <c r="D431" s="4" t="n">
        <v>315000</v>
      </c>
      <c r="E431" s="4" t="n">
        <v>308500</v>
      </c>
      <c r="F431" s="4" t="n">
        <v>-1000</v>
      </c>
      <c r="G431" s="5" t="inlineStr">
        <is>
          <t>元/吨</t>
        </is>
      </c>
      <c r="H431" s="5" t="inlineStr">
        <is>
          <t>SMM</t>
        </is>
      </c>
    </row>
    <row r="432">
      <c r="A432" s="2" t="inlineStr">
        <is>
          <t>2026/06/24</t>
        </is>
      </c>
      <c r="B432" s="2" t="inlineStr">
        <is>
          <t>氯化钴</t>
        </is>
      </c>
      <c r="C432" s="3" t="n">
        <v>105300</v>
      </c>
      <c r="D432" s="4" t="n">
        <v>109000</v>
      </c>
      <c r="E432" s="4" t="n">
        <v>107150</v>
      </c>
      <c r="F432" s="4" t="n">
        <v>-100</v>
      </c>
      <c r="G432" s="5" t="inlineStr">
        <is>
          <t>元/吨</t>
        </is>
      </c>
      <c r="H432" s="5" t="inlineStr">
        <is>
          <t>SMM</t>
        </is>
      </c>
    </row>
    <row r="433">
      <c r="A433" s="2" t="inlineStr">
        <is>
          <t>2026/06/24</t>
        </is>
      </c>
      <c r="B433" s="2" t="inlineStr">
        <is>
          <t>氯化镍NiCl₂·6H₂O</t>
        </is>
      </c>
      <c r="C433" s="3" t="n">
        <v>38500</v>
      </c>
      <c r="D433" s="4" t="n">
        <v>41000</v>
      </c>
      <c r="E433" s="4" t="n">
        <v>39750</v>
      </c>
      <c r="F433" s="4" t="n">
        <v>0</v>
      </c>
      <c r="G433" s="5" t="inlineStr">
        <is>
          <t>元/吨</t>
        </is>
      </c>
      <c r="H433" s="5" t="inlineStr">
        <is>
          <t>SMM</t>
        </is>
      </c>
    </row>
    <row r="434">
      <c r="A434" s="2" t="inlineStr">
        <is>
          <t>2026/06/24</t>
        </is>
      </c>
      <c r="B434" s="2" t="inlineStr">
        <is>
          <t>津巴布韦锂辉石精矿（CIF中国）现货</t>
        </is>
      </c>
      <c r="C434" s="3" t="n">
        <v>2380</v>
      </c>
      <c r="D434" s="4" t="n">
        <v>2450</v>
      </c>
      <c r="E434" s="4" t="n">
        <v>2415</v>
      </c>
      <c r="F434" s="6" t="n">
        <v>-60</v>
      </c>
      <c r="G434" s="5" t="inlineStr">
        <is>
          <t>美元/吨</t>
        </is>
      </c>
      <c r="H434" s="5" t="inlineStr">
        <is>
          <t>SMM</t>
        </is>
      </c>
    </row>
    <row r="435">
      <c r="A435" s="2" t="inlineStr">
        <is>
          <t>2026/06/24</t>
        </is>
      </c>
      <c r="B435" s="2" t="inlineStr">
        <is>
          <t>澳大利亚锂辉石精矿（CIF中国）现货</t>
        </is>
      </c>
      <c r="C435" s="3" t="n">
        <v>2200</v>
      </c>
      <c r="D435" s="4" t="n">
        <v>2330</v>
      </c>
      <c r="E435" s="4" t="n">
        <v>2265</v>
      </c>
      <c r="F435" s="4" t="n">
        <v>0</v>
      </c>
      <c r="G435" s="5" t="inlineStr">
        <is>
          <t>美元/吨</t>
        </is>
      </c>
      <c r="H435" s="5" t="inlineStr">
        <is>
          <t>SMM</t>
        </is>
      </c>
    </row>
    <row r="436">
      <c r="A436" s="2" t="inlineStr">
        <is>
          <t>2026/06/24</t>
        </is>
      </c>
      <c r="B436" s="2" t="inlineStr">
        <is>
          <t>电池级无水氯化锂</t>
        </is>
      </c>
      <c r="C436" s="3" t="n">
        <v>230</v>
      </c>
      <c r="D436" s="4" t="n">
        <v>290</v>
      </c>
      <c r="E436" s="4" t="n">
        <v>260</v>
      </c>
      <c r="F436" s="4" t="n">
        <v>0</v>
      </c>
      <c r="G436" s="5" t="inlineStr">
        <is>
          <t>元/千克</t>
        </is>
      </c>
      <c r="H436" s="5" t="inlineStr">
        <is>
          <t>SMM</t>
        </is>
      </c>
    </row>
    <row r="437">
      <c r="A437" s="2" t="inlineStr">
        <is>
          <t>2026/06/24</t>
        </is>
      </c>
      <c r="B437" s="2" t="inlineStr">
        <is>
          <t>电池级氟化锂</t>
        </is>
      </c>
      <c r="C437" s="3" t="n">
        <v>272000</v>
      </c>
      <c r="D437" s="4" t="n">
        <v>280000</v>
      </c>
      <c r="E437" s="4" t="n">
        <v>276000</v>
      </c>
      <c r="F437" s="4" t="n">
        <v>-1500</v>
      </c>
      <c r="G437" s="5" t="inlineStr">
        <is>
          <t>元/吨</t>
        </is>
      </c>
      <c r="H437" s="5" t="inlineStr">
        <is>
          <t>SMM</t>
        </is>
      </c>
    </row>
    <row r="438">
      <c r="A438" s="2" t="inlineStr">
        <is>
          <t>2026/06/24</t>
        </is>
      </c>
      <c r="B438" s="2" t="inlineStr">
        <is>
          <t>电池级氢氧化锂(CIF中日韩)</t>
        </is>
      </c>
      <c r="C438" s="7" t="n">
        <v>17.4</v>
      </c>
      <c r="D438" s="6" t="n">
        <v>20.3</v>
      </c>
      <c r="E438" s="6" t="n">
        <v>18.85</v>
      </c>
      <c r="F438" s="4" t="n">
        <v>0</v>
      </c>
      <c r="G438" s="5" t="inlineStr">
        <is>
          <t>美元/千克</t>
        </is>
      </c>
      <c r="H438" s="5" t="inlineStr">
        <is>
          <t>SMM</t>
        </is>
      </c>
    </row>
    <row r="439">
      <c r="A439" s="2" t="inlineStr">
        <is>
          <t>2026/06/24</t>
        </is>
      </c>
      <c r="B439" s="2" t="inlineStr">
        <is>
          <t>电池级氢氧化锂(CIF韩国)</t>
        </is>
      </c>
      <c r="C439" s="7" t="n">
        <v>17.1</v>
      </c>
      <c r="D439" s="6" t="n">
        <v>20.4</v>
      </c>
      <c r="E439" s="6" t="n">
        <v>18.75</v>
      </c>
      <c r="F439" s="4" t="n">
        <v>0</v>
      </c>
      <c r="G439" s="5" t="inlineStr">
        <is>
          <t>美元/千克</t>
        </is>
      </c>
      <c r="H439" s="5" t="inlineStr">
        <is>
          <t>SMM</t>
        </is>
      </c>
    </row>
    <row r="440">
      <c r="A440" s="2" t="inlineStr">
        <is>
          <t>2026/06/24</t>
        </is>
      </c>
      <c r="B440" s="2" t="inlineStr">
        <is>
          <t>电池级氢氧化锂(微粉）</t>
        </is>
      </c>
      <c r="C440" s="3" t="n">
        <v>142000</v>
      </c>
      <c r="D440" s="4" t="n">
        <v>158000</v>
      </c>
      <c r="E440" s="4" t="n">
        <v>150000</v>
      </c>
      <c r="F440" s="4" t="n">
        <v>-750</v>
      </c>
      <c r="G440" s="5" t="inlineStr">
        <is>
          <t>元/吨</t>
        </is>
      </c>
      <c r="H440" s="5" t="inlineStr">
        <is>
          <t>SMM</t>
        </is>
      </c>
    </row>
    <row r="441">
      <c r="A441" s="2" t="inlineStr">
        <is>
          <t>2026/06/24</t>
        </is>
      </c>
      <c r="B441" s="2" t="inlineStr">
        <is>
          <t>电池级氢氧化锂（粗颗粒）</t>
        </is>
      </c>
      <c r="C441" s="3" t="n">
        <v>134000</v>
      </c>
      <c r="D441" s="4" t="n">
        <v>154000</v>
      </c>
      <c r="E441" s="4" t="n">
        <v>144000</v>
      </c>
      <c r="F441" s="4" t="n">
        <v>-750</v>
      </c>
      <c r="G441" s="5" t="inlineStr">
        <is>
          <t>元/吨</t>
        </is>
      </c>
      <c r="H441" s="5" t="inlineStr">
        <is>
          <t>SMM</t>
        </is>
      </c>
    </row>
    <row r="442">
      <c r="A442" s="2" t="inlineStr">
        <is>
          <t>2026/06/24</t>
        </is>
      </c>
      <c r="B442" s="2" t="inlineStr">
        <is>
          <t>电池级硫酸锰（出厂价）</t>
        </is>
      </c>
      <c r="C442" s="3" t="n">
        <v>7570</v>
      </c>
      <c r="D442" s="4" t="n">
        <v>7770</v>
      </c>
      <c r="E442" s="4" t="n">
        <v>7670</v>
      </c>
      <c r="F442" s="4" t="n">
        <v>0</v>
      </c>
      <c r="G442" s="5" t="inlineStr">
        <is>
          <t>元/吨</t>
        </is>
      </c>
      <c r="H442" s="5" t="inlineStr">
        <is>
          <t>SMM</t>
        </is>
      </c>
    </row>
    <row r="443">
      <c r="A443" s="2" t="inlineStr">
        <is>
          <t>2026/06/24</t>
        </is>
      </c>
      <c r="B443" s="2" t="inlineStr">
        <is>
          <t>电池级硫酸镍</t>
        </is>
      </c>
      <c r="C443" s="3" t="n">
        <v>32600</v>
      </c>
      <c r="D443" s="4" t="n">
        <v>33000</v>
      </c>
      <c r="E443" s="4" t="n">
        <v>32800</v>
      </c>
      <c r="F443" s="4" t="n">
        <v>-450</v>
      </c>
      <c r="G443" s="5" t="inlineStr">
        <is>
          <t>元/吨</t>
        </is>
      </c>
      <c r="H443" s="5" t="inlineStr">
        <is>
          <t>SMM</t>
        </is>
      </c>
    </row>
    <row r="444">
      <c r="A444" s="2" t="inlineStr">
        <is>
          <t>2026/06/24</t>
        </is>
      </c>
      <c r="B444" s="2" t="inlineStr">
        <is>
          <t>电池级碳酸锂</t>
        </is>
      </c>
      <c r="C444" s="3" t="n">
        <v>154000</v>
      </c>
      <c r="D444" s="4" t="n">
        <v>161000</v>
      </c>
      <c r="E444" s="4" t="n">
        <v>157500</v>
      </c>
      <c r="F444" s="4" t="n">
        <v>-1000</v>
      </c>
      <c r="G444" s="5" t="inlineStr">
        <is>
          <t>元/吨</t>
        </is>
      </c>
      <c r="H444" s="5" t="inlineStr">
        <is>
          <t>SMM</t>
        </is>
      </c>
    </row>
    <row r="445">
      <c r="A445" s="2" t="inlineStr">
        <is>
          <t>2026/06/24</t>
        </is>
      </c>
      <c r="B445" s="2" t="inlineStr">
        <is>
          <t>电池级碳酸锂(CIF韩国)</t>
        </is>
      </c>
      <c r="C445" s="7" t="n">
        <v>19.2</v>
      </c>
      <c r="D445" s="6" t="n">
        <v>21.5</v>
      </c>
      <c r="E445" s="6" t="n">
        <v>20.35</v>
      </c>
      <c r="F445" s="4" t="n">
        <v>0</v>
      </c>
      <c r="G445" s="5" t="inlineStr">
        <is>
          <t>美元/千克</t>
        </is>
      </c>
      <c r="H445" s="5" t="inlineStr">
        <is>
          <t>SMM</t>
        </is>
      </c>
    </row>
    <row r="446">
      <c r="A446" s="2" t="inlineStr">
        <is>
          <t>2026/06/24</t>
        </is>
      </c>
      <c r="B446" s="2" t="inlineStr">
        <is>
          <t>电池级碳酸锂（CIF中日韩）</t>
        </is>
      </c>
      <c r="C446" s="7" t="n">
        <v>19.3</v>
      </c>
      <c r="D446" s="6" t="n">
        <v>21.5</v>
      </c>
      <c r="E446" s="6" t="n">
        <v>20.4</v>
      </c>
      <c r="F446" s="4" t="n">
        <v>0</v>
      </c>
      <c r="G446" s="5" t="inlineStr">
        <is>
          <t>美元/千克</t>
        </is>
      </c>
      <c r="H446" s="5" t="inlineStr">
        <is>
          <t>SMM</t>
        </is>
      </c>
    </row>
    <row r="447">
      <c r="A447" s="2" t="inlineStr">
        <is>
          <t>2026/06/24</t>
        </is>
      </c>
      <c r="B447" s="2" t="inlineStr">
        <is>
          <t>电池级金属锂</t>
        </is>
      </c>
      <c r="C447" s="3" t="n">
        <v>1090000</v>
      </c>
      <c r="D447" s="4" t="n">
        <v>1130000</v>
      </c>
      <c r="E447" s="4" t="n">
        <v>1110000</v>
      </c>
      <c r="F447" s="4" t="n">
        <v>0</v>
      </c>
      <c r="G447" s="5" t="inlineStr">
        <is>
          <t>元/吨</t>
        </is>
      </c>
      <c r="H447" s="5" t="inlineStr">
        <is>
          <t>SMM</t>
        </is>
      </c>
    </row>
    <row r="448">
      <c r="A448" s="2" t="inlineStr">
        <is>
          <t>2026/06/24</t>
        </is>
      </c>
      <c r="B448" s="2" t="inlineStr">
        <is>
          <t>电解钴</t>
        </is>
      </c>
      <c r="C448" s="3" t="n">
        <v>370000</v>
      </c>
      <c r="D448" s="4" t="n">
        <v>385000</v>
      </c>
      <c r="E448" s="4" t="n">
        <v>377500</v>
      </c>
      <c r="F448" s="4" t="n">
        <v>0</v>
      </c>
      <c r="G448" s="5" t="inlineStr">
        <is>
          <t>元/吨</t>
        </is>
      </c>
      <c r="H448" s="5" t="inlineStr">
        <is>
          <t>SMM</t>
        </is>
      </c>
    </row>
    <row r="449">
      <c r="A449" s="2" t="inlineStr">
        <is>
          <t>2026/06/24</t>
        </is>
      </c>
      <c r="B449" s="2" t="inlineStr">
        <is>
          <t>电解钴（鹿特丹仓库）</t>
        </is>
      </c>
      <c r="C449" s="7" t="n">
        <v>25.5</v>
      </c>
      <c r="D449" s="6" t="n">
        <v>27</v>
      </c>
      <c r="E449" s="6" t="n">
        <v>26.25</v>
      </c>
      <c r="F449" s="4" t="n">
        <v>0</v>
      </c>
      <c r="G449" s="5" t="inlineStr">
        <is>
          <t>美元/磅</t>
        </is>
      </c>
      <c r="H449" s="5" t="inlineStr">
        <is>
          <t>SMM</t>
        </is>
      </c>
    </row>
    <row r="450">
      <c r="A450" s="2" t="inlineStr">
        <is>
          <t>2026/06/24</t>
        </is>
      </c>
      <c r="B450" s="2" t="inlineStr">
        <is>
          <t>电镀级硫酸镍</t>
        </is>
      </c>
      <c r="C450" s="3" t="n">
        <v>32500</v>
      </c>
      <c r="D450" s="4" t="n">
        <v>37000</v>
      </c>
      <c r="E450" s="4" t="n">
        <v>34750</v>
      </c>
      <c r="F450" s="4" t="n">
        <v>0</v>
      </c>
      <c r="G450" s="5" t="inlineStr">
        <is>
          <t>元/吨</t>
        </is>
      </c>
      <c r="H450" s="5" t="inlineStr">
        <is>
          <t>SMM</t>
        </is>
      </c>
    </row>
    <row r="451">
      <c r="A451" s="2" t="inlineStr">
        <is>
          <t>2026/06/24</t>
        </is>
      </c>
      <c r="B451" s="2" t="inlineStr">
        <is>
          <t>硫酸钴</t>
        </is>
      </c>
      <c r="C451" s="3" t="n">
        <v>86000</v>
      </c>
      <c r="D451" s="4" t="n">
        <v>88500</v>
      </c>
      <c r="E451" s="4" t="n">
        <v>87250</v>
      </c>
      <c r="F451" s="4" t="n">
        <v>-150</v>
      </c>
      <c r="G451" s="5" t="inlineStr">
        <is>
          <t>元/吨</t>
        </is>
      </c>
      <c r="H451" s="5" t="inlineStr">
        <is>
          <t>SMM</t>
        </is>
      </c>
    </row>
    <row r="452">
      <c r="A452" s="2" t="inlineStr">
        <is>
          <t>2026/06/24</t>
        </is>
      </c>
      <c r="B452" s="2" t="inlineStr">
        <is>
          <t>碳酸钴</t>
        </is>
      </c>
      <c r="C452" s="3" t="n">
        <v>208000</v>
      </c>
      <c r="D452" s="4" t="n">
        <v>218000</v>
      </c>
      <c r="E452" s="4" t="n">
        <v>213000</v>
      </c>
      <c r="F452" s="4" t="n">
        <v>0</v>
      </c>
      <c r="G452" s="5" t="inlineStr">
        <is>
          <t>元/吨</t>
        </is>
      </c>
      <c r="H452" s="5" t="inlineStr">
        <is>
          <t>SMM</t>
        </is>
      </c>
    </row>
    <row r="453">
      <c r="A453" s="2" t="inlineStr">
        <is>
          <t>2026/06/24</t>
        </is>
      </c>
      <c r="B453" s="2" t="inlineStr">
        <is>
          <t>磷酸铁锂</t>
        </is>
      </c>
      <c r="C453" s="3" t="n">
        <v>56790</v>
      </c>
      <c r="D453" s="4" t="n">
        <v>57390</v>
      </c>
      <c r="E453" s="4" t="n">
        <v>57090</v>
      </c>
      <c r="F453" s="4" t="n">
        <v>-240</v>
      </c>
      <c r="G453" s="5" t="inlineStr">
        <is>
          <t>元/吨</t>
        </is>
      </c>
      <c r="H453" s="5" t="inlineStr">
        <is>
          <t>SMM</t>
        </is>
      </c>
    </row>
    <row r="454">
      <c r="A454" s="2" t="inlineStr">
        <is>
          <t>2026/06/24</t>
        </is>
      </c>
      <c r="B454" s="2" t="inlineStr">
        <is>
          <t>磷酸锰铁锂</t>
        </is>
      </c>
      <c r="C454" s="3" t="n">
        <v>62500</v>
      </c>
      <c r="D454" s="4" t="n">
        <v>67500</v>
      </c>
      <c r="E454" s="4" t="n">
        <v>65000</v>
      </c>
      <c r="F454" s="4" t="n">
        <v>0</v>
      </c>
      <c r="G454" s="5" t="inlineStr">
        <is>
          <t>元/吨</t>
        </is>
      </c>
      <c r="H454" s="5" t="inlineStr">
        <is>
          <t>SMM</t>
        </is>
      </c>
    </row>
    <row r="455">
      <c r="A455" s="2" t="inlineStr">
        <is>
          <t>2026/06/24</t>
        </is>
      </c>
      <c r="B455" s="2" t="inlineStr">
        <is>
          <t>金属钴FOB</t>
        </is>
      </c>
      <c r="C455" s="7" t="n">
        <v>24</v>
      </c>
      <c r="D455" s="6" t="n">
        <v>25</v>
      </c>
      <c r="E455" s="6" t="n">
        <v>24.5</v>
      </c>
      <c r="F455" s="6" t="n">
        <v>-0.25</v>
      </c>
      <c r="G455" s="5" t="inlineStr">
        <is>
          <t>美元/磅</t>
        </is>
      </c>
      <c r="H455" s="5" t="inlineStr">
        <is>
          <t>SMM</t>
        </is>
      </c>
    </row>
    <row r="456">
      <c r="A456" s="2" t="inlineStr">
        <is>
          <t>2026/06/24</t>
        </is>
      </c>
      <c r="B456" s="2" t="inlineStr">
        <is>
          <t>钴中间品中钴含量≥30%</t>
        </is>
      </c>
      <c r="C456" s="3" t="n">
        <v>26122</v>
      </c>
      <c r="D456" s="4" t="n">
        <v>26122</v>
      </c>
      <c r="E456" s="4" t="n">
        <v>26122</v>
      </c>
      <c r="F456" s="4" t="n">
        <v>-661</v>
      </c>
      <c r="G456" s="5" t="inlineStr">
        <is>
          <t>元/金属吨</t>
        </is>
      </c>
      <c r="H456" s="5" t="inlineStr">
        <is>
          <t>SMM</t>
        </is>
      </c>
    </row>
    <row r="457">
      <c r="A457" s="2" t="inlineStr">
        <is>
          <t>2026/06/24</t>
        </is>
      </c>
      <c r="B457" s="2" t="inlineStr">
        <is>
          <t>钴中间品原料计价系数（对SMM硫酸钴均价）</t>
        </is>
      </c>
      <c r="C457" s="7" t="n">
        <v>99</v>
      </c>
      <c r="D457" s="4" t="n">
        <v>100</v>
      </c>
      <c r="E457" s="6" t="n">
        <v>99.5</v>
      </c>
      <c r="F457" s="4" t="n">
        <v>0</v>
      </c>
      <c r="G457" s="5" t="inlineStr">
        <is>
          <t>%</t>
        </is>
      </c>
      <c r="H457" s="5" t="inlineStr">
        <is>
          <t>SMM</t>
        </is>
      </c>
    </row>
    <row r="458">
      <c r="A458" s="2" t="inlineStr">
        <is>
          <t>2026/06/24</t>
        </is>
      </c>
      <c r="B458" s="2" t="inlineStr">
        <is>
          <t>钴酸锂</t>
        </is>
      </c>
      <c r="C458" s="3" t="n">
        <v>376000</v>
      </c>
      <c r="D458" s="4" t="n">
        <v>379000</v>
      </c>
      <c r="E458" s="4" t="n">
        <v>377500</v>
      </c>
      <c r="F458" s="4" t="n">
        <v>-3000</v>
      </c>
      <c r="G458" s="5" t="inlineStr">
        <is>
          <t>元/吨</t>
        </is>
      </c>
      <c r="H458" s="5" t="inlineStr">
        <is>
          <t>SMM</t>
        </is>
      </c>
    </row>
    <row r="459">
      <c r="A459" s="2" t="inlineStr">
        <is>
          <t>2026/06/24</t>
        </is>
      </c>
      <c r="B459" s="2" t="inlineStr">
        <is>
          <t>钴酸锂聚合物软包</t>
        </is>
      </c>
      <c r="C459" s="3" t="n">
        <v>97500</v>
      </c>
      <c r="D459" s="4" t="n">
        <v>99500</v>
      </c>
      <c r="E459" s="4" t="n">
        <v>98500</v>
      </c>
      <c r="F459" s="4" t="n">
        <v>-200</v>
      </c>
      <c r="G459" s="5" t="inlineStr">
        <is>
          <t>元/吨</t>
        </is>
      </c>
      <c r="H459" s="5" t="inlineStr">
        <is>
          <t>SMM</t>
        </is>
      </c>
    </row>
    <row r="460">
      <c r="A460" s="2" t="inlineStr">
        <is>
          <t>2026/06/24</t>
        </is>
      </c>
      <c r="B460" s="2" t="inlineStr">
        <is>
          <t>钴酸锂铝壳</t>
        </is>
      </c>
      <c r="C460" s="3" t="n">
        <v>84200</v>
      </c>
      <c r="D460" s="4" t="n">
        <v>92000</v>
      </c>
      <c r="E460" s="4" t="n">
        <v>88100</v>
      </c>
      <c r="F460" s="4" t="n">
        <v>-200</v>
      </c>
      <c r="G460" s="5" t="inlineStr">
        <is>
          <t>元/吨</t>
        </is>
      </c>
      <c r="H460" s="5" t="inlineStr">
        <is>
          <t>SMM</t>
        </is>
      </c>
    </row>
    <row r="461">
      <c r="A461" s="2" t="inlineStr">
        <is>
          <t>2026/06/24</t>
        </is>
      </c>
      <c r="B461" s="2" t="inlineStr">
        <is>
          <t>锰酸锂圆柱钢壳</t>
        </is>
      </c>
      <c r="C461" s="3" t="n">
        <v>5000</v>
      </c>
      <c r="D461" s="4" t="n">
        <v>7400</v>
      </c>
      <c r="E461" s="4" t="n">
        <v>6200</v>
      </c>
      <c r="F461" s="4" t="n">
        <v>0</v>
      </c>
      <c r="G461" s="5" t="inlineStr">
        <is>
          <t>元/吨</t>
        </is>
      </c>
      <c r="H461" s="5" t="inlineStr">
        <is>
          <t>SMM</t>
        </is>
      </c>
    </row>
    <row r="462">
      <c r="A462" s="2" t="inlineStr">
        <is>
          <t>2026/06/24</t>
        </is>
      </c>
      <c r="B462" s="2" t="inlineStr">
        <is>
          <t>非洲硫酸锂(CIF中国)</t>
        </is>
      </c>
      <c r="C462" s="3" t="n">
        <v>7419</v>
      </c>
      <c r="D462" s="4" t="n">
        <v>7799</v>
      </c>
      <c r="E462" s="4" t="n">
        <v>7609</v>
      </c>
      <c r="F462" s="6" t="n">
        <v>-71.5</v>
      </c>
      <c r="G462" s="5" t="inlineStr">
        <is>
          <t>美元/吨</t>
        </is>
      </c>
      <c r="H462" s="5" t="inlineStr">
        <is>
          <t>SMM</t>
        </is>
      </c>
    </row>
    <row r="463">
      <c r="A463" s="2" t="inlineStr">
        <is>
          <t>2026/06/24</t>
        </is>
      </c>
      <c r="B463" s="2" t="inlineStr">
        <is>
          <t>非洲锂辉石精矿（CIF中国）指数</t>
        </is>
      </c>
      <c r="C463" s="3" t="n">
        <v>2398</v>
      </c>
      <c r="D463" s="4" t="n">
        <v>2398</v>
      </c>
      <c r="E463" s="4" t="n">
        <v>2398</v>
      </c>
      <c r="F463" s="6" t="n">
        <v>-72</v>
      </c>
      <c r="G463" s="5" t="inlineStr">
        <is>
          <t>美元/吨</t>
        </is>
      </c>
      <c r="H463" s="5" t="inlineStr">
        <is>
          <t>SMM</t>
        </is>
      </c>
    </row>
    <row r="464">
      <c r="A464" s="2" t="inlineStr">
        <is>
          <t>2026/06/25</t>
        </is>
      </c>
      <c r="B464" s="2" t="inlineStr">
        <is>
          <t>5系三元前驱体</t>
        </is>
      </c>
      <c r="C464" s="3" t="n">
        <v>98700</v>
      </c>
      <c r="D464" s="4" t="n">
        <v>103800</v>
      </c>
      <c r="E464" s="4" t="n">
        <v>101250</v>
      </c>
      <c r="F464" s="4" t="n">
        <v>-650</v>
      </c>
      <c r="G464" s="5" t="inlineStr">
        <is>
          <t>元/吨</t>
        </is>
      </c>
      <c r="H464" s="5" t="inlineStr">
        <is>
          <t>SMM</t>
        </is>
      </c>
    </row>
    <row r="465">
      <c r="A465" s="2" t="inlineStr">
        <is>
          <t>2026/06/25</t>
        </is>
      </c>
      <c r="B465" s="2" t="inlineStr">
        <is>
          <t>5系三元材料</t>
        </is>
      </c>
      <c r="C465" s="3" t="n">
        <v>181400</v>
      </c>
      <c r="D465" s="4" t="n">
        <v>188500</v>
      </c>
      <c r="E465" s="4" t="n">
        <v>184950</v>
      </c>
      <c r="F465" s="4" t="n">
        <v>-400</v>
      </c>
      <c r="G465" s="5" t="inlineStr">
        <is>
          <t>元/吨</t>
        </is>
      </c>
      <c r="H465" s="5" t="inlineStr">
        <is>
          <t>SMM</t>
        </is>
      </c>
    </row>
    <row r="466">
      <c r="A466" s="2" t="inlineStr">
        <is>
          <t>2026/06/25</t>
        </is>
      </c>
      <c r="B466" s="2" t="inlineStr">
        <is>
          <t>6系三元前驱体（单晶/动力型）</t>
        </is>
      </c>
      <c r="C466" s="3" t="n">
        <v>91550</v>
      </c>
      <c r="D466" s="4" t="n">
        <v>96250</v>
      </c>
      <c r="E466" s="4" t="n">
        <v>93900</v>
      </c>
      <c r="F466" s="4" t="n">
        <v>-650</v>
      </c>
      <c r="G466" s="5" t="inlineStr">
        <is>
          <t>元/吨</t>
        </is>
      </c>
      <c r="H466" s="5" t="inlineStr">
        <is>
          <t>SMM</t>
        </is>
      </c>
    </row>
    <row r="467">
      <c r="A467" s="2" t="inlineStr">
        <is>
          <t>2026/06/25</t>
        </is>
      </c>
      <c r="B467" s="2" t="inlineStr">
        <is>
          <t>6系三元材料（单晶/动力型）</t>
        </is>
      </c>
      <c r="C467" s="3" t="n">
        <v>184900</v>
      </c>
      <c r="D467" s="4" t="n">
        <v>194400</v>
      </c>
      <c r="E467" s="4" t="n">
        <v>189650</v>
      </c>
      <c r="F467" s="4" t="n">
        <v>-700</v>
      </c>
      <c r="G467" s="5" t="inlineStr">
        <is>
          <t>元/吨</t>
        </is>
      </c>
      <c r="H467" s="5" t="inlineStr">
        <is>
          <t>SMM</t>
        </is>
      </c>
    </row>
    <row r="468">
      <c r="A468" s="2" t="inlineStr">
        <is>
          <t>2026/06/25</t>
        </is>
      </c>
      <c r="B468" s="2" t="inlineStr">
        <is>
          <t>8系三元前驱体（多晶/动力型）</t>
        </is>
      </c>
      <c r="C468" s="3" t="n">
        <v>113200</v>
      </c>
      <c r="D468" s="4" t="n">
        <v>118900</v>
      </c>
      <c r="E468" s="4" t="n">
        <v>116050</v>
      </c>
      <c r="F468" s="4" t="n">
        <v>-900</v>
      </c>
      <c r="G468" s="5" t="inlineStr">
        <is>
          <t>元/吨</t>
        </is>
      </c>
      <c r="H468" s="5" t="inlineStr">
        <is>
          <t>SMM</t>
        </is>
      </c>
    </row>
    <row r="469">
      <c r="A469" s="2" t="inlineStr">
        <is>
          <t>2026/06/25</t>
        </is>
      </c>
      <c r="B469" s="2" t="inlineStr">
        <is>
          <t>8系三元材料</t>
        </is>
      </c>
      <c r="C469" s="3" t="n">
        <v>207800</v>
      </c>
      <c r="D469" s="4" t="n">
        <v>217400</v>
      </c>
      <c r="E469" s="4" t="n">
        <v>212600</v>
      </c>
      <c r="F469" s="4" t="n">
        <v>-800</v>
      </c>
      <c r="G469" s="5" t="inlineStr">
        <is>
          <t>元/吨</t>
        </is>
      </c>
      <c r="H469" s="5" t="inlineStr">
        <is>
          <t>SMM</t>
        </is>
      </c>
    </row>
    <row r="470">
      <c r="A470" s="2" t="inlineStr">
        <is>
          <t>2026/06/25</t>
        </is>
      </c>
      <c r="B470" s="2" t="inlineStr">
        <is>
          <t>MHP系数（对SMM电池级硫酸镍指数）</t>
        </is>
      </c>
      <c r="C470" s="7" t="n">
        <v>81.5</v>
      </c>
      <c r="D470" s="6" t="n">
        <v>82.5</v>
      </c>
      <c r="E470" s="6" t="n">
        <v>82</v>
      </c>
      <c r="F470" s="6" t="n">
        <v>-2</v>
      </c>
      <c r="G470" s="5" t="inlineStr">
        <is>
          <t>%</t>
        </is>
      </c>
      <c r="H470" s="5" t="inlineStr">
        <is>
          <t>SMM</t>
        </is>
      </c>
    </row>
    <row r="471">
      <c r="A471" s="2" t="inlineStr">
        <is>
          <t>2026/06/25</t>
        </is>
      </c>
      <c r="B471" s="2" t="inlineStr">
        <is>
          <t>MHP钴元素计价系数（对SMM硫酸钴均价）</t>
        </is>
      </c>
      <c r="C471" s="7" t="n">
        <v>92</v>
      </c>
      <c r="D471" s="6" t="n">
        <v>93</v>
      </c>
      <c r="E471" s="6" t="n">
        <v>92.5</v>
      </c>
      <c r="F471" s="4" t="n">
        <v>0</v>
      </c>
      <c r="G471" s="5" t="inlineStr">
        <is>
          <t>%</t>
        </is>
      </c>
      <c r="H471" s="5" t="inlineStr">
        <is>
          <t>SMM</t>
        </is>
      </c>
    </row>
    <row r="472">
      <c r="A472" s="2" t="inlineStr">
        <is>
          <t>2026/06/25</t>
        </is>
      </c>
      <c r="B472" s="2" t="inlineStr">
        <is>
          <t>NCA三元材料</t>
        </is>
      </c>
      <c r="C472" s="3" t="n">
        <v>205000</v>
      </c>
      <c r="D472" s="4" t="n">
        <v>213500</v>
      </c>
      <c r="E472" s="4" t="n">
        <v>209250</v>
      </c>
      <c r="F472" s="4" t="n">
        <v>-300</v>
      </c>
      <c r="G472" s="5" t="inlineStr">
        <is>
          <t>元/吨</t>
        </is>
      </c>
      <c r="H472" s="5" t="inlineStr">
        <is>
          <t>SMM</t>
        </is>
      </c>
    </row>
    <row r="473">
      <c r="A473" s="2" t="inlineStr">
        <is>
          <t>2026/06/25</t>
        </is>
      </c>
      <c r="B473" s="2" t="inlineStr">
        <is>
          <t>SMM三元极片粉钴系数指数</t>
        </is>
      </c>
      <c r="C473" s="7" t="n">
        <v>78.31999999999999</v>
      </c>
      <c r="D473" s="6" t="n">
        <v>78.31999999999999</v>
      </c>
      <c r="E473" s="6" t="n">
        <v>78.31999999999999</v>
      </c>
      <c r="F473" s="6" t="n">
        <v>-0.03</v>
      </c>
      <c r="G473" s="5" t="inlineStr">
        <is>
          <t>%</t>
        </is>
      </c>
      <c r="H473" s="5" t="inlineStr">
        <is>
          <t>SMM</t>
        </is>
      </c>
    </row>
    <row r="474">
      <c r="A474" s="2" t="inlineStr">
        <is>
          <t>2026/06/25</t>
        </is>
      </c>
      <c r="B474" s="2" t="inlineStr">
        <is>
          <t>SMM三元极片粉锂系数指数</t>
        </is>
      </c>
      <c r="C474" s="7" t="n">
        <v>78.33</v>
      </c>
      <c r="D474" s="6" t="n">
        <v>78.33</v>
      </c>
      <c r="E474" s="6" t="n">
        <v>78.33</v>
      </c>
      <c r="F474" s="6" t="n">
        <v>-0.03</v>
      </c>
      <c r="G474" s="5" t="inlineStr">
        <is>
          <t>%</t>
        </is>
      </c>
      <c r="H474" s="5" t="inlineStr">
        <is>
          <t>SMM</t>
        </is>
      </c>
    </row>
    <row r="475">
      <c r="A475" s="2" t="inlineStr">
        <is>
          <t>2026/06/25</t>
        </is>
      </c>
      <c r="B475" s="2" t="inlineStr">
        <is>
          <t>SMM三元极片粉镍系数指数</t>
        </is>
      </c>
      <c r="C475" s="7" t="n">
        <v>78.33</v>
      </c>
      <c r="D475" s="6" t="n">
        <v>78.33</v>
      </c>
      <c r="E475" s="6" t="n">
        <v>78.33</v>
      </c>
      <c r="F475" s="6" t="n">
        <v>-0.03</v>
      </c>
      <c r="G475" s="5" t="inlineStr">
        <is>
          <t>%</t>
        </is>
      </c>
      <c r="H475" s="5" t="inlineStr">
        <is>
          <t>SMM</t>
        </is>
      </c>
    </row>
    <row r="476">
      <c r="A476" s="2" t="inlineStr">
        <is>
          <t>2026/06/25</t>
        </is>
      </c>
      <c r="B476" s="2" t="inlineStr">
        <is>
          <t>SMM三元电池粉钴系数指数</t>
        </is>
      </c>
      <c r="C476" s="7" t="n">
        <v>74.8</v>
      </c>
      <c r="D476" s="6" t="n">
        <v>74.8</v>
      </c>
      <c r="E476" s="6" t="n">
        <v>74.8</v>
      </c>
      <c r="F476" s="6" t="n">
        <v>-0.05</v>
      </c>
      <c r="G476" s="5" t="inlineStr">
        <is>
          <t>%</t>
        </is>
      </c>
      <c r="H476" s="5" t="inlineStr">
        <is>
          <t>SMM</t>
        </is>
      </c>
    </row>
    <row r="477">
      <c r="A477" s="2" t="inlineStr">
        <is>
          <t>2026/06/25</t>
        </is>
      </c>
      <c r="B477" s="2" t="inlineStr">
        <is>
          <t>SMM三元电池粉锂系数指数</t>
        </is>
      </c>
      <c r="C477" s="7" t="n">
        <v>74.8</v>
      </c>
      <c r="D477" s="6" t="n">
        <v>74.8</v>
      </c>
      <c r="E477" s="6" t="n">
        <v>74.8</v>
      </c>
      <c r="F477" s="6" t="n">
        <v>-0.05</v>
      </c>
      <c r="G477" s="5" t="inlineStr">
        <is>
          <t>%</t>
        </is>
      </c>
      <c r="H477" s="5" t="inlineStr">
        <is>
          <t>SMM</t>
        </is>
      </c>
    </row>
    <row r="478">
      <c r="A478" s="2" t="inlineStr">
        <is>
          <t>2026/06/25</t>
        </is>
      </c>
      <c r="B478" s="2" t="inlineStr">
        <is>
          <t>SMM三元电池粉镍系数指数</t>
        </is>
      </c>
      <c r="C478" s="7" t="n">
        <v>74.8</v>
      </c>
      <c r="D478" s="6" t="n">
        <v>74.8</v>
      </c>
      <c r="E478" s="6" t="n">
        <v>74.8</v>
      </c>
      <c r="F478" s="6" t="n">
        <v>-0.05</v>
      </c>
      <c r="G478" s="5" t="inlineStr">
        <is>
          <t>%</t>
        </is>
      </c>
      <c r="H478" s="5" t="inlineStr">
        <is>
          <t>SMM</t>
        </is>
      </c>
    </row>
    <row r="479">
      <c r="A479" s="2" t="inlineStr">
        <is>
          <t>2026/06/25</t>
        </is>
      </c>
      <c r="B479" s="2" t="inlineStr">
        <is>
          <t>SMM六氟磷酸锂指数</t>
        </is>
      </c>
      <c r="C479" s="3" t="n">
        <v>100740</v>
      </c>
      <c r="D479" s="4" t="n">
        <v>104852</v>
      </c>
      <c r="E479" s="4" t="n">
        <v>102796</v>
      </c>
      <c r="F479" s="4" t="n">
        <v>-189.5</v>
      </c>
      <c r="G479" s="5" t="inlineStr">
        <is>
          <t>元/吨</t>
        </is>
      </c>
      <c r="H479" s="5" t="inlineStr">
        <is>
          <t>SMM</t>
        </is>
      </c>
    </row>
    <row r="480">
      <c r="A480" s="2" t="inlineStr">
        <is>
          <t>2026/06/25</t>
        </is>
      </c>
      <c r="B480" s="2" t="inlineStr">
        <is>
          <t>SMM电池级氢氧化锂指数</t>
        </is>
      </c>
      <c r="C480" s="3" t="n">
        <v>143670</v>
      </c>
      <c r="D480" s="4" t="n">
        <v>143670</v>
      </c>
      <c r="E480" s="4" t="n">
        <v>143670</v>
      </c>
      <c r="F480" s="4" t="n">
        <v>-582</v>
      </c>
      <c r="G480" s="5" t="inlineStr">
        <is>
          <t>元/吨</t>
        </is>
      </c>
      <c r="H480" s="5" t="inlineStr">
        <is>
          <t>SMM</t>
        </is>
      </c>
    </row>
    <row r="481">
      <c r="A481" s="2" t="inlineStr">
        <is>
          <t>2026/06/25</t>
        </is>
      </c>
      <c r="B481" s="2" t="inlineStr">
        <is>
          <t>SMM电池级硫酸锰指数</t>
        </is>
      </c>
      <c r="C481" s="3" t="n">
        <v>7654</v>
      </c>
      <c r="D481" s="4" t="n">
        <v>7654</v>
      </c>
      <c r="E481" s="4" t="n">
        <v>7654</v>
      </c>
      <c r="F481" s="6" t="n">
        <v>7</v>
      </c>
      <c r="G481" s="5" t="inlineStr">
        <is>
          <t>元/吨</t>
        </is>
      </c>
      <c r="H481" s="5" t="inlineStr">
        <is>
          <t>SMM</t>
        </is>
      </c>
    </row>
    <row r="482">
      <c r="A482" s="2" t="inlineStr">
        <is>
          <t>2026/06/25</t>
        </is>
      </c>
      <c r="B482" s="2" t="inlineStr">
        <is>
          <t>SMM电池级硫酸镍指数</t>
        </is>
      </c>
      <c r="C482" s="3" t="n">
        <v>32642</v>
      </c>
      <c r="D482" s="4" t="n">
        <v>32642</v>
      </c>
      <c r="E482" s="4" t="n">
        <v>32642</v>
      </c>
      <c r="F482" s="4" t="n">
        <v>-155</v>
      </c>
      <c r="G482" s="5" t="inlineStr">
        <is>
          <t>元/吨</t>
        </is>
      </c>
      <c r="H482" s="5" t="inlineStr">
        <is>
          <t>SMM</t>
        </is>
      </c>
    </row>
    <row r="483">
      <c r="A483" s="2" t="inlineStr">
        <is>
          <t>2026/06/25</t>
        </is>
      </c>
      <c r="B483" s="2" t="inlineStr">
        <is>
          <t>SMM电池级碳酸锂指数</t>
        </is>
      </c>
      <c r="C483" s="3" t="n">
        <v>156755</v>
      </c>
      <c r="D483" s="4" t="n">
        <v>156755</v>
      </c>
      <c r="E483" s="4" t="n">
        <v>156755</v>
      </c>
      <c r="F483" s="4" t="n">
        <v>-115</v>
      </c>
      <c r="G483" s="5" t="inlineStr">
        <is>
          <t>元/吨</t>
        </is>
      </c>
      <c r="H483" s="5" t="inlineStr">
        <is>
          <t>SMM</t>
        </is>
      </c>
    </row>
    <row r="484">
      <c r="A484" s="2" t="inlineStr">
        <is>
          <t>2026/06/25</t>
        </is>
      </c>
      <c r="B484" s="2" t="inlineStr">
        <is>
          <t>SMM硫酸钴指数</t>
        </is>
      </c>
      <c r="C484" s="3" t="n">
        <v>86510</v>
      </c>
      <c r="D484" s="4" t="n">
        <v>86510</v>
      </c>
      <c r="E484" s="4" t="n">
        <v>86510</v>
      </c>
      <c r="F484" s="4" t="n">
        <v>-501</v>
      </c>
      <c r="G484" s="5" t="inlineStr">
        <is>
          <t>元/吨</t>
        </is>
      </c>
      <c r="H484" s="5" t="inlineStr">
        <is>
          <t>SMM</t>
        </is>
      </c>
    </row>
    <row r="485">
      <c r="A485" s="2" t="inlineStr">
        <is>
          <t>2026/06/25</t>
        </is>
      </c>
      <c r="B485" s="2" t="inlineStr">
        <is>
          <t>SMM磷酸铁锂极片粉指数</t>
        </is>
      </c>
      <c r="C485" s="3" t="n">
        <v>7039</v>
      </c>
      <c r="D485" s="4" t="n">
        <v>7039</v>
      </c>
      <c r="E485" s="4" t="n">
        <v>7039</v>
      </c>
      <c r="F485" s="6" t="n">
        <v>-9</v>
      </c>
      <c r="G485" s="5" t="inlineStr">
        <is>
          <t>元/锂点</t>
        </is>
      </c>
      <c r="H485" s="5" t="inlineStr">
        <is>
          <t>SMM</t>
        </is>
      </c>
    </row>
    <row r="486">
      <c r="A486" s="2" t="inlineStr">
        <is>
          <t>2026/06/25</t>
        </is>
      </c>
      <c r="B486" s="2" t="inlineStr">
        <is>
          <t>SMM磷酸铁锂电池粉指数</t>
        </is>
      </c>
      <c r="C486" s="3" t="n">
        <v>6595</v>
      </c>
      <c r="D486" s="4" t="n">
        <v>6595</v>
      </c>
      <c r="E486" s="4" t="n">
        <v>6595</v>
      </c>
      <c r="F486" s="6" t="n">
        <v>-1</v>
      </c>
      <c r="G486" s="5" t="inlineStr">
        <is>
          <t>元/锂点</t>
        </is>
      </c>
      <c r="H486" s="5" t="inlineStr">
        <is>
          <t>SMM</t>
        </is>
      </c>
    </row>
    <row r="487">
      <c r="A487" s="2" t="inlineStr">
        <is>
          <t>2026/06/25</t>
        </is>
      </c>
      <c r="B487" s="2" t="inlineStr">
        <is>
          <t>SMM钴酸锂极片粉钴系数指数</t>
        </is>
      </c>
      <c r="C487" s="7" t="n">
        <v>81.78</v>
      </c>
      <c r="D487" s="6" t="n">
        <v>81.78</v>
      </c>
      <c r="E487" s="6" t="n">
        <v>81.78</v>
      </c>
      <c r="F487" s="6" t="n">
        <v>-0.52</v>
      </c>
      <c r="G487" s="5" t="inlineStr">
        <is>
          <t>%</t>
        </is>
      </c>
      <c r="H487" s="5" t="inlineStr">
        <is>
          <t>SMM</t>
        </is>
      </c>
    </row>
    <row r="488">
      <c r="A488" s="2" t="inlineStr">
        <is>
          <t>2026/06/25</t>
        </is>
      </c>
      <c r="B488" s="2" t="inlineStr">
        <is>
          <t>SMM钴酸锂极片粉锂系数指数</t>
        </is>
      </c>
      <c r="C488" s="7" t="n">
        <v>76.23</v>
      </c>
      <c r="D488" s="6" t="n">
        <v>76.23</v>
      </c>
      <c r="E488" s="6" t="n">
        <v>76.23</v>
      </c>
      <c r="F488" s="4" t="n">
        <v>0</v>
      </c>
      <c r="G488" s="5" t="inlineStr">
        <is>
          <t>%</t>
        </is>
      </c>
      <c r="H488" s="5" t="inlineStr">
        <is>
          <t>SMM</t>
        </is>
      </c>
    </row>
    <row r="489">
      <c r="A489" s="2" t="inlineStr">
        <is>
          <t>2026/06/25</t>
        </is>
      </c>
      <c r="B489" s="2" t="inlineStr">
        <is>
          <t>SMM钴酸锂电池粉钴系数指数</t>
        </is>
      </c>
      <c r="C489" s="7" t="n">
        <v>79.34999999999999</v>
      </c>
      <c r="D489" s="6" t="n">
        <v>79.34999999999999</v>
      </c>
      <c r="E489" s="6" t="n">
        <v>79.34999999999999</v>
      </c>
      <c r="F489" s="6" t="n">
        <v>-0.62</v>
      </c>
      <c r="G489" s="5" t="inlineStr">
        <is>
          <t>%</t>
        </is>
      </c>
      <c r="H489" s="5" t="inlineStr">
        <is>
          <t>SMM</t>
        </is>
      </c>
    </row>
    <row r="490">
      <c r="A490" s="2" t="inlineStr">
        <is>
          <t>2026/06/25</t>
        </is>
      </c>
      <c r="B490" s="2" t="inlineStr">
        <is>
          <t>SMM钴酸锂电池粉锂系数指数</t>
        </is>
      </c>
      <c r="C490" s="7" t="n">
        <v>75.92</v>
      </c>
      <c r="D490" s="6" t="n">
        <v>75.92</v>
      </c>
      <c r="E490" s="6" t="n">
        <v>75.92</v>
      </c>
      <c r="F490" s="4" t="n">
        <v>0</v>
      </c>
      <c r="G490" s="5" t="inlineStr">
        <is>
          <t>%</t>
        </is>
      </c>
      <c r="H490" s="5" t="inlineStr">
        <is>
          <t>SMM</t>
        </is>
      </c>
    </row>
    <row r="491">
      <c r="A491" s="2" t="inlineStr">
        <is>
          <t>2026/06/25</t>
        </is>
      </c>
      <c r="B491" s="2" t="inlineStr">
        <is>
          <t>三元方壳锂电B品</t>
        </is>
      </c>
      <c r="C491" s="7" t="n">
        <v>0.75</v>
      </c>
      <c r="D491" s="6" t="n">
        <v>0.84</v>
      </c>
      <c r="E491" s="6" t="n">
        <v>0.795</v>
      </c>
      <c r="F491" s="6" t="n">
        <v>-0.005</v>
      </c>
      <c r="G491" s="5" t="inlineStr">
        <is>
          <t>元/Ah</t>
        </is>
      </c>
      <c r="H491" s="5" t="inlineStr">
        <is>
          <t>SMM</t>
        </is>
      </c>
    </row>
    <row r="492">
      <c r="A492" s="2" t="inlineStr">
        <is>
          <t>2026/06/25</t>
        </is>
      </c>
      <c r="B492" s="2" t="inlineStr">
        <is>
          <t>六氟磷酸锂（国产）</t>
        </is>
      </c>
      <c r="C492" s="3" t="n">
        <v>105000</v>
      </c>
      <c r="D492" s="4" t="n">
        <v>110000</v>
      </c>
      <c r="E492" s="4" t="n">
        <v>107500</v>
      </c>
      <c r="F492" s="4" t="n">
        <v>-500</v>
      </c>
      <c r="G492" s="5" t="inlineStr">
        <is>
          <t>元/吨</t>
        </is>
      </c>
      <c r="H492" s="5" t="inlineStr">
        <is>
          <t>SMM</t>
        </is>
      </c>
    </row>
    <row r="493">
      <c r="A493" s="2" t="inlineStr">
        <is>
          <t>2026/06/25</t>
        </is>
      </c>
      <c r="B493" s="2" t="inlineStr">
        <is>
          <t>四氧化三钴</t>
        </is>
      </c>
      <c r="C493" s="3" t="n">
        <v>330000</v>
      </c>
      <c r="D493" s="4" t="n">
        <v>342000</v>
      </c>
      <c r="E493" s="4" t="n">
        <v>336000</v>
      </c>
      <c r="F493" s="4" t="n">
        <v>0</v>
      </c>
      <c r="G493" s="5" t="inlineStr">
        <is>
          <t>元/吨</t>
        </is>
      </c>
      <c r="H493" s="5" t="inlineStr">
        <is>
          <t>SMM</t>
        </is>
      </c>
    </row>
    <row r="494">
      <c r="A494" s="2" t="inlineStr">
        <is>
          <t>2026/06/25</t>
        </is>
      </c>
      <c r="B494" s="2" t="inlineStr">
        <is>
          <t>四氧化三锰（电池级）</t>
        </is>
      </c>
      <c r="C494" s="3" t="n">
        <v>14000</v>
      </c>
      <c r="D494" s="4" t="n">
        <v>16000</v>
      </c>
      <c r="E494" s="4" t="n">
        <v>15000</v>
      </c>
      <c r="F494" s="4" t="n">
        <v>0</v>
      </c>
      <c r="G494" s="5" t="inlineStr">
        <is>
          <t>元/吨</t>
        </is>
      </c>
      <c r="H494" s="5" t="inlineStr">
        <is>
          <t>SMM</t>
        </is>
      </c>
    </row>
    <row r="495">
      <c r="A495" s="2" t="inlineStr">
        <is>
          <t>2026/06/25</t>
        </is>
      </c>
      <c r="B495" s="2" t="inlineStr">
        <is>
          <t>工业级氢氧化锂</t>
        </is>
      </c>
      <c r="C495" s="3" t="n">
        <v>128000</v>
      </c>
      <c r="D495" s="4" t="n">
        <v>134000</v>
      </c>
      <c r="E495" s="4" t="n">
        <v>131000</v>
      </c>
      <c r="F495" s="4" t="n">
        <v>-500</v>
      </c>
      <c r="G495" s="5" t="inlineStr">
        <is>
          <t>元/吨</t>
        </is>
      </c>
      <c r="H495" s="5" t="inlineStr">
        <is>
          <t>SMM</t>
        </is>
      </c>
    </row>
    <row r="496">
      <c r="A496" s="2" t="inlineStr">
        <is>
          <t>2026/06/25</t>
        </is>
      </c>
      <c r="B496" s="2" t="inlineStr">
        <is>
          <t>工业级碳酸锂</t>
        </is>
      </c>
      <c r="C496" s="3" t="n">
        <v>149000</v>
      </c>
      <c r="D496" s="4" t="n">
        <v>157000</v>
      </c>
      <c r="E496" s="4" t="n">
        <v>153000</v>
      </c>
      <c r="F496" s="4" t="n">
        <v>-500</v>
      </c>
      <c r="G496" s="5" t="inlineStr">
        <is>
          <t>元/吨</t>
        </is>
      </c>
      <c r="H496" s="5" t="inlineStr">
        <is>
          <t>SMM</t>
        </is>
      </c>
    </row>
    <row r="497">
      <c r="A497" s="2" t="inlineStr">
        <is>
          <t>2026/06/25</t>
        </is>
      </c>
      <c r="B497" s="2" t="inlineStr">
        <is>
          <t>工业级金属锂</t>
        </is>
      </c>
      <c r="C497" s="3" t="n">
        <v>1060000</v>
      </c>
      <c r="D497" s="4" t="n">
        <v>1100000</v>
      </c>
      <c r="E497" s="4" t="n">
        <v>1080000</v>
      </c>
      <c r="F497" s="4" t="n">
        <v>0</v>
      </c>
      <c r="G497" s="5" t="inlineStr">
        <is>
          <t>元/吨</t>
        </is>
      </c>
      <c r="H497" s="5" t="inlineStr">
        <is>
          <t>SMM</t>
        </is>
      </c>
    </row>
    <row r="498">
      <c r="A498" s="2" t="inlineStr">
        <is>
          <t>2026/06/25</t>
        </is>
      </c>
      <c r="B498" s="2" t="inlineStr">
        <is>
          <t>巴西锂辉石精矿（CIF中国）现货</t>
        </is>
      </c>
      <c r="C498" s="3" t="n">
        <v>2180</v>
      </c>
      <c r="D498" s="4" t="n">
        <v>2320</v>
      </c>
      <c r="E498" s="4" t="n">
        <v>2250</v>
      </c>
      <c r="F498" s="4" t="n">
        <v>0</v>
      </c>
      <c r="G498" s="5" t="inlineStr">
        <is>
          <t>美元/吨</t>
        </is>
      </c>
      <c r="H498" s="5" t="inlineStr">
        <is>
          <t>SMM</t>
        </is>
      </c>
    </row>
    <row r="499">
      <c r="A499" s="2" t="inlineStr">
        <is>
          <t>2026/06/25</t>
        </is>
      </c>
      <c r="B499" s="2" t="inlineStr">
        <is>
          <t>废旧磷酸铁锂储能正极片</t>
        </is>
      </c>
      <c r="C499" s="3" t="n">
        <v>20600</v>
      </c>
      <c r="D499" s="4" t="n">
        <v>23750</v>
      </c>
      <c r="E499" s="4" t="n">
        <v>22175</v>
      </c>
      <c r="F499" s="6" t="n">
        <v>-50</v>
      </c>
      <c r="G499" s="5" t="inlineStr">
        <is>
          <t>元/吨</t>
        </is>
      </c>
      <c r="H499" s="5" t="inlineStr">
        <is>
          <t>SMM</t>
        </is>
      </c>
    </row>
    <row r="500">
      <c r="A500" s="2" t="inlineStr">
        <is>
          <t>2026/06/25</t>
        </is>
      </c>
      <c r="B500" s="2" t="inlineStr">
        <is>
          <t>废旧磷酸铁锂动力正极片</t>
        </is>
      </c>
      <c r="C500" s="3" t="n">
        <v>24400</v>
      </c>
      <c r="D500" s="4" t="n">
        <v>28650</v>
      </c>
      <c r="E500" s="4" t="n">
        <v>26525</v>
      </c>
      <c r="F500" s="4" t="n">
        <v>-100</v>
      </c>
      <c r="G500" s="5" t="inlineStr">
        <is>
          <t>元/吨</t>
        </is>
      </c>
      <c r="H500" s="5" t="inlineStr">
        <is>
          <t>SMM</t>
        </is>
      </c>
    </row>
    <row r="501">
      <c r="A501" s="2" t="inlineStr">
        <is>
          <t>2026/06/25</t>
        </is>
      </c>
      <c r="B501" s="2" t="inlineStr">
        <is>
          <t>废旧磷酸铁锂软包电池</t>
        </is>
      </c>
      <c r="C501" s="3" t="n">
        <v>15500</v>
      </c>
      <c r="D501" s="4" t="n">
        <v>17000</v>
      </c>
      <c r="E501" s="4" t="n">
        <v>16250</v>
      </c>
      <c r="F501" s="4" t="n">
        <v>-100</v>
      </c>
      <c r="G501" s="5" t="inlineStr">
        <is>
          <t>元/吨</t>
        </is>
      </c>
      <c r="H501" s="5" t="inlineStr">
        <is>
          <t>SMM</t>
        </is>
      </c>
    </row>
    <row r="502">
      <c r="A502" s="2" t="inlineStr">
        <is>
          <t>2026/06/25</t>
        </is>
      </c>
      <c r="B502" s="2" t="inlineStr">
        <is>
          <t>废旧磷酸铁锂钢壳电池</t>
        </is>
      </c>
      <c r="C502" s="3" t="n">
        <v>9800</v>
      </c>
      <c r="D502" s="4" t="n">
        <v>11000</v>
      </c>
      <c r="E502" s="4" t="n">
        <v>10400</v>
      </c>
      <c r="F502" s="4" t="n">
        <v>-150</v>
      </c>
      <c r="G502" s="5" t="inlineStr">
        <is>
          <t>元/吨</t>
        </is>
      </c>
      <c r="H502" s="5" t="inlineStr">
        <is>
          <t>SMM</t>
        </is>
      </c>
    </row>
    <row r="503">
      <c r="A503" s="2" t="inlineStr">
        <is>
          <t>2026/06/25</t>
        </is>
      </c>
      <c r="B503" s="2" t="inlineStr">
        <is>
          <t>废旧磷酸铁锂铝壳电池</t>
        </is>
      </c>
      <c r="C503" s="3" t="n">
        <v>16800</v>
      </c>
      <c r="D503" s="4" t="n">
        <v>18000</v>
      </c>
      <c r="E503" s="4" t="n">
        <v>17400</v>
      </c>
      <c r="F503" s="4" t="n">
        <v>-150</v>
      </c>
      <c r="G503" s="5" t="inlineStr">
        <is>
          <t>元/吨</t>
        </is>
      </c>
      <c r="H503" s="5" t="inlineStr">
        <is>
          <t>SMM</t>
        </is>
      </c>
    </row>
    <row r="504">
      <c r="A504" s="2" t="inlineStr">
        <is>
          <t>2026/06/25</t>
        </is>
      </c>
      <c r="B504" s="2" t="inlineStr">
        <is>
          <t>方形磷酸铁锂电池B品</t>
        </is>
      </c>
      <c r="C504" s="7" t="n">
        <v>0.68</v>
      </c>
      <c r="D504" s="6" t="n">
        <v>0.8</v>
      </c>
      <c r="E504" s="6" t="n">
        <v>0.74</v>
      </c>
      <c r="F504" s="4" t="n">
        <v>0</v>
      </c>
      <c r="G504" s="5" t="inlineStr">
        <is>
          <t>元/Ah</t>
        </is>
      </c>
      <c r="H504" s="5" t="inlineStr">
        <is>
          <t>SMM</t>
        </is>
      </c>
    </row>
    <row r="505">
      <c r="A505" s="2" t="inlineStr">
        <is>
          <t>2026/06/25</t>
        </is>
      </c>
      <c r="B505" s="2" t="inlineStr">
        <is>
          <t>氧化亚镍</t>
        </is>
      </c>
      <c r="C505" s="3" t="n">
        <v>118000</v>
      </c>
      <c r="D505" s="4" t="n">
        <v>126000</v>
      </c>
      <c r="E505" s="4" t="n">
        <v>122000</v>
      </c>
      <c r="F505" s="4" t="n">
        <v>0</v>
      </c>
      <c r="G505" s="5" t="inlineStr">
        <is>
          <t>元/吨</t>
        </is>
      </c>
      <c r="H505" s="5" t="inlineStr">
        <is>
          <t>SMM</t>
        </is>
      </c>
    </row>
    <row r="506">
      <c r="A506" s="2" t="inlineStr">
        <is>
          <t>2026/06/25</t>
        </is>
      </c>
      <c r="B506" s="2" t="inlineStr">
        <is>
          <t>氧化钴</t>
        </is>
      </c>
      <c r="C506" s="3" t="n">
        <v>302000</v>
      </c>
      <c r="D506" s="4" t="n">
        <v>315000</v>
      </c>
      <c r="E506" s="4" t="n">
        <v>308500</v>
      </c>
      <c r="F506" s="4" t="n">
        <v>0</v>
      </c>
      <c r="G506" s="5" t="inlineStr">
        <is>
          <t>元/吨</t>
        </is>
      </c>
      <c r="H506" s="5" t="inlineStr">
        <is>
          <t>SMM</t>
        </is>
      </c>
    </row>
    <row r="507">
      <c r="A507" s="2" t="inlineStr">
        <is>
          <t>2026/06/25</t>
        </is>
      </c>
      <c r="B507" s="2" t="inlineStr">
        <is>
          <t>氯化钴</t>
        </is>
      </c>
      <c r="C507" s="3" t="n">
        <v>104500</v>
      </c>
      <c r="D507" s="4" t="n">
        <v>108000</v>
      </c>
      <c r="E507" s="4" t="n">
        <v>106250</v>
      </c>
      <c r="F507" s="4" t="n">
        <v>-900</v>
      </c>
      <c r="G507" s="5" t="inlineStr">
        <is>
          <t>元/吨</t>
        </is>
      </c>
      <c r="H507" s="5" t="inlineStr">
        <is>
          <t>SMM</t>
        </is>
      </c>
    </row>
    <row r="508">
      <c r="A508" s="2" t="inlineStr">
        <is>
          <t>2026/06/25</t>
        </is>
      </c>
      <c r="B508" s="2" t="inlineStr">
        <is>
          <t>氯化镍NiCl₂·6H₂O</t>
        </is>
      </c>
      <c r="C508" s="3" t="n">
        <v>38500</v>
      </c>
      <c r="D508" s="4" t="n">
        <v>41000</v>
      </c>
      <c r="E508" s="4" t="n">
        <v>39750</v>
      </c>
      <c r="F508" s="4" t="n">
        <v>0</v>
      </c>
      <c r="G508" s="5" t="inlineStr">
        <is>
          <t>元/吨</t>
        </is>
      </c>
      <c r="H508" s="5" t="inlineStr">
        <is>
          <t>SMM</t>
        </is>
      </c>
    </row>
    <row r="509">
      <c r="A509" s="2" t="inlineStr">
        <is>
          <t>2026/06/25</t>
        </is>
      </c>
      <c r="B509" s="2" t="inlineStr">
        <is>
          <t>津巴布韦锂辉石精矿（CIF中国）现货</t>
        </is>
      </c>
      <c r="C509" s="3" t="n">
        <v>2380</v>
      </c>
      <c r="D509" s="4" t="n">
        <v>2450</v>
      </c>
      <c r="E509" s="4" t="n">
        <v>2415</v>
      </c>
      <c r="F509" s="6" t="n">
        <v>-60</v>
      </c>
      <c r="G509" s="5" t="inlineStr">
        <is>
          <t>美元/吨</t>
        </is>
      </c>
      <c r="H509" s="5" t="inlineStr">
        <is>
          <t>SMM</t>
        </is>
      </c>
    </row>
    <row r="510">
      <c r="A510" s="2" t="inlineStr">
        <is>
          <t>2026/06/25</t>
        </is>
      </c>
      <c r="B510" s="2" t="inlineStr">
        <is>
          <t>澳大利亚锂辉石精矿（CIF中国）现货</t>
        </is>
      </c>
      <c r="C510" s="3" t="n">
        <v>2200</v>
      </c>
      <c r="D510" s="4" t="n">
        <v>2330</v>
      </c>
      <c r="E510" s="4" t="n">
        <v>2265</v>
      </c>
      <c r="F510" s="4" t="n">
        <v>0</v>
      </c>
      <c r="G510" s="5" t="inlineStr">
        <is>
          <t>美元/吨</t>
        </is>
      </c>
      <c r="H510" s="5" t="inlineStr">
        <is>
          <t>SMM</t>
        </is>
      </c>
    </row>
    <row r="511">
      <c r="A511" s="2" t="inlineStr">
        <is>
          <t>2026/06/25</t>
        </is>
      </c>
      <c r="B511" s="2" t="inlineStr">
        <is>
          <t>电池级无水氯化锂</t>
        </is>
      </c>
      <c r="C511" s="3" t="n">
        <v>230</v>
      </c>
      <c r="D511" s="4" t="n">
        <v>290</v>
      </c>
      <c r="E511" s="4" t="n">
        <v>260</v>
      </c>
      <c r="F511" s="4" t="n">
        <v>0</v>
      </c>
      <c r="G511" s="5" t="inlineStr">
        <is>
          <t>元/千克</t>
        </is>
      </c>
      <c r="H511" s="5" t="inlineStr">
        <is>
          <t>SMM</t>
        </is>
      </c>
    </row>
    <row r="512">
      <c r="A512" s="2" t="inlineStr">
        <is>
          <t>2026/06/25</t>
        </is>
      </c>
      <c r="B512" s="2" t="inlineStr">
        <is>
          <t>电池级氟化锂</t>
        </is>
      </c>
      <c r="C512" s="3" t="n">
        <v>270000</v>
      </c>
      <c r="D512" s="4" t="n">
        <v>280000</v>
      </c>
      <c r="E512" s="4" t="n">
        <v>275000</v>
      </c>
      <c r="F512" s="4" t="n">
        <v>-1000</v>
      </c>
      <c r="G512" s="5" t="inlineStr">
        <is>
          <t>元/吨</t>
        </is>
      </c>
      <c r="H512" s="5" t="inlineStr">
        <is>
          <t>SMM</t>
        </is>
      </c>
    </row>
    <row r="513">
      <c r="A513" s="2" t="inlineStr">
        <is>
          <t>2026/06/25</t>
        </is>
      </c>
      <c r="B513" s="2" t="inlineStr">
        <is>
          <t>电池级氢氧化锂(CIF中日韩)</t>
        </is>
      </c>
      <c r="C513" s="7" t="n">
        <v>17.4</v>
      </c>
      <c r="D513" s="6" t="n">
        <v>20.2</v>
      </c>
      <c r="E513" s="6" t="n">
        <v>18.8</v>
      </c>
      <c r="F513" s="6" t="n">
        <v>-0.05</v>
      </c>
      <c r="G513" s="5" t="inlineStr">
        <is>
          <t>美元/千克</t>
        </is>
      </c>
      <c r="H513" s="5" t="inlineStr">
        <is>
          <t>SMM</t>
        </is>
      </c>
    </row>
    <row r="514">
      <c r="A514" s="2" t="inlineStr">
        <is>
          <t>2026/06/25</t>
        </is>
      </c>
      <c r="B514" s="2" t="inlineStr">
        <is>
          <t>电池级氢氧化锂(CIF韩国)</t>
        </is>
      </c>
      <c r="C514" s="7" t="n">
        <v>17.1</v>
      </c>
      <c r="D514" s="6" t="n">
        <v>20.3</v>
      </c>
      <c r="E514" s="6" t="n">
        <v>18.7</v>
      </c>
      <c r="F514" s="6" t="n">
        <v>-0.05</v>
      </c>
      <c r="G514" s="5" t="inlineStr">
        <is>
          <t>美元/千克</t>
        </is>
      </c>
      <c r="H514" s="5" t="inlineStr">
        <is>
          <t>SMM</t>
        </is>
      </c>
    </row>
    <row r="515">
      <c r="A515" s="2" t="inlineStr">
        <is>
          <t>2026/06/25</t>
        </is>
      </c>
      <c r="B515" s="2" t="inlineStr">
        <is>
          <t>电池级氢氧化锂(微粉）</t>
        </is>
      </c>
      <c r="C515" s="3" t="n">
        <v>141500</v>
      </c>
      <c r="D515" s="4" t="n">
        <v>157500</v>
      </c>
      <c r="E515" s="4" t="n">
        <v>149500</v>
      </c>
      <c r="F515" s="4" t="n">
        <v>-500</v>
      </c>
      <c r="G515" s="5" t="inlineStr">
        <is>
          <t>元/吨</t>
        </is>
      </c>
      <c r="H515" s="5" t="inlineStr">
        <is>
          <t>SMM</t>
        </is>
      </c>
    </row>
    <row r="516">
      <c r="A516" s="2" t="inlineStr">
        <is>
          <t>2026/06/25</t>
        </is>
      </c>
      <c r="B516" s="2" t="inlineStr">
        <is>
          <t>电池级氢氧化锂（粗颗粒）</t>
        </is>
      </c>
      <c r="C516" s="3" t="n">
        <v>133500</v>
      </c>
      <c r="D516" s="4" t="n">
        <v>153500</v>
      </c>
      <c r="E516" s="4" t="n">
        <v>143500</v>
      </c>
      <c r="F516" s="4" t="n">
        <v>-500</v>
      </c>
      <c r="G516" s="5" t="inlineStr">
        <is>
          <t>元/吨</t>
        </is>
      </c>
      <c r="H516" s="5" t="inlineStr">
        <is>
          <t>SMM</t>
        </is>
      </c>
    </row>
    <row r="517">
      <c r="A517" s="2" t="inlineStr">
        <is>
          <t>2026/06/25</t>
        </is>
      </c>
      <c r="B517" s="2" t="inlineStr">
        <is>
          <t>电池级硫酸锰（出厂价）</t>
        </is>
      </c>
      <c r="C517" s="3" t="n">
        <v>7570</v>
      </c>
      <c r="D517" s="4" t="n">
        <v>7770</v>
      </c>
      <c r="E517" s="4" t="n">
        <v>7670</v>
      </c>
      <c r="F517" s="4" t="n">
        <v>0</v>
      </c>
      <c r="G517" s="5" t="inlineStr">
        <is>
          <t>元/吨</t>
        </is>
      </c>
      <c r="H517" s="5" t="inlineStr">
        <is>
          <t>SMM</t>
        </is>
      </c>
    </row>
    <row r="518">
      <c r="A518" s="2" t="inlineStr">
        <is>
          <t>2026/06/25</t>
        </is>
      </c>
      <c r="B518" s="2" t="inlineStr">
        <is>
          <t>电池级硫酸镍</t>
        </is>
      </c>
      <c r="C518" s="3" t="n">
        <v>32300</v>
      </c>
      <c r="D518" s="4" t="n">
        <v>32700</v>
      </c>
      <c r="E518" s="4" t="n">
        <v>32500</v>
      </c>
      <c r="F518" s="4" t="n">
        <v>-300</v>
      </c>
      <c r="G518" s="5" t="inlineStr">
        <is>
          <t>元/吨</t>
        </is>
      </c>
      <c r="H518" s="5" t="inlineStr">
        <is>
          <t>SMM</t>
        </is>
      </c>
    </row>
    <row r="519">
      <c r="A519" s="2" t="inlineStr">
        <is>
          <t>2026/06/25</t>
        </is>
      </c>
      <c r="B519" s="2" t="inlineStr">
        <is>
          <t>电池级碳酸锂</t>
        </is>
      </c>
      <c r="C519" s="3" t="n">
        <v>153000</v>
      </c>
      <c r="D519" s="4" t="n">
        <v>161000</v>
      </c>
      <c r="E519" s="4" t="n">
        <v>157000</v>
      </c>
      <c r="F519" s="4" t="n">
        <v>-500</v>
      </c>
      <c r="G519" s="5" t="inlineStr">
        <is>
          <t>元/吨</t>
        </is>
      </c>
      <c r="H519" s="5" t="inlineStr">
        <is>
          <t>SMM</t>
        </is>
      </c>
    </row>
    <row r="520">
      <c r="A520" s="2" t="inlineStr">
        <is>
          <t>2026/06/25</t>
        </is>
      </c>
      <c r="B520" s="2" t="inlineStr">
        <is>
          <t>电池级碳酸锂(CIF韩国)</t>
        </is>
      </c>
      <c r="C520" s="7" t="n">
        <v>19.2</v>
      </c>
      <c r="D520" s="6" t="n">
        <v>21.4</v>
      </c>
      <c r="E520" s="6" t="n">
        <v>20.3</v>
      </c>
      <c r="F520" s="6" t="n">
        <v>-0.05</v>
      </c>
      <c r="G520" s="5" t="inlineStr">
        <is>
          <t>美元/千克</t>
        </is>
      </c>
      <c r="H520" s="5" t="inlineStr">
        <is>
          <t>SMM</t>
        </is>
      </c>
    </row>
    <row r="521">
      <c r="A521" s="2" t="inlineStr">
        <is>
          <t>2026/06/25</t>
        </is>
      </c>
      <c r="B521" s="2" t="inlineStr">
        <is>
          <t>电池级碳酸锂（CIF中日韩）</t>
        </is>
      </c>
      <c r="C521" s="7" t="n">
        <v>19.3</v>
      </c>
      <c r="D521" s="6" t="n">
        <v>21.4</v>
      </c>
      <c r="E521" s="6" t="n">
        <v>20.35</v>
      </c>
      <c r="F521" s="6" t="n">
        <v>-0.05</v>
      </c>
      <c r="G521" s="5" t="inlineStr">
        <is>
          <t>美元/千克</t>
        </is>
      </c>
      <c r="H521" s="5" t="inlineStr">
        <is>
          <t>SMM</t>
        </is>
      </c>
    </row>
    <row r="522">
      <c r="A522" s="2" t="inlineStr">
        <is>
          <t>2026/06/25</t>
        </is>
      </c>
      <c r="B522" s="2" t="inlineStr">
        <is>
          <t>电池级金属锂</t>
        </is>
      </c>
      <c r="C522" s="3" t="n">
        <v>1090000</v>
      </c>
      <c r="D522" s="4" t="n">
        <v>1130000</v>
      </c>
      <c r="E522" s="4" t="n">
        <v>1110000</v>
      </c>
      <c r="F522" s="4" t="n">
        <v>0</v>
      </c>
      <c r="G522" s="5" t="inlineStr">
        <is>
          <t>元/吨</t>
        </is>
      </c>
      <c r="H522" s="5" t="inlineStr">
        <is>
          <t>SMM</t>
        </is>
      </c>
    </row>
    <row r="523">
      <c r="A523" s="2" t="inlineStr">
        <is>
          <t>2026/06/25</t>
        </is>
      </c>
      <c r="B523" s="2" t="inlineStr">
        <is>
          <t>电解钴</t>
        </is>
      </c>
      <c r="C523" s="3" t="n">
        <v>369000</v>
      </c>
      <c r="D523" s="4" t="n">
        <v>385000</v>
      </c>
      <c r="E523" s="4" t="n">
        <v>377000</v>
      </c>
      <c r="F523" s="4" t="n">
        <v>-500</v>
      </c>
      <c r="G523" s="5" t="inlineStr">
        <is>
          <t>元/吨</t>
        </is>
      </c>
      <c r="H523" s="5" t="inlineStr">
        <is>
          <t>SMM</t>
        </is>
      </c>
    </row>
    <row r="524">
      <c r="A524" s="2" t="inlineStr">
        <is>
          <t>2026/06/25</t>
        </is>
      </c>
      <c r="B524" s="2" t="inlineStr">
        <is>
          <t>电解钴（鹿特丹仓库）</t>
        </is>
      </c>
      <c r="C524" s="7" t="n">
        <v>25</v>
      </c>
      <c r="D524" s="6" t="n">
        <v>27</v>
      </c>
      <c r="E524" s="6" t="n">
        <v>26</v>
      </c>
      <c r="F524" s="6" t="n">
        <v>-0.25</v>
      </c>
      <c r="G524" s="5" t="inlineStr">
        <is>
          <t>美元/磅</t>
        </is>
      </c>
      <c r="H524" s="5" t="inlineStr">
        <is>
          <t>SMM</t>
        </is>
      </c>
    </row>
    <row r="525">
      <c r="A525" s="2" t="inlineStr">
        <is>
          <t>2026/06/25</t>
        </is>
      </c>
      <c r="B525" s="2" t="inlineStr">
        <is>
          <t>电镀级硫酸镍</t>
        </is>
      </c>
      <c r="C525" s="3" t="n">
        <v>32500</v>
      </c>
      <c r="D525" s="4" t="n">
        <v>37000</v>
      </c>
      <c r="E525" s="4" t="n">
        <v>34750</v>
      </c>
      <c r="F525" s="4" t="n">
        <v>0</v>
      </c>
      <c r="G525" s="5" t="inlineStr">
        <is>
          <t>元/吨</t>
        </is>
      </c>
      <c r="H525" s="5" t="inlineStr">
        <is>
          <t>SMM</t>
        </is>
      </c>
    </row>
    <row r="526">
      <c r="A526" s="2" t="inlineStr">
        <is>
          <t>2026/06/25</t>
        </is>
      </c>
      <c r="B526" s="2" t="inlineStr">
        <is>
          <t>硫酸钴</t>
        </is>
      </c>
      <c r="C526" s="3" t="n">
        <v>85500</v>
      </c>
      <c r="D526" s="4" t="n">
        <v>88000</v>
      </c>
      <c r="E526" s="4" t="n">
        <v>86750</v>
      </c>
      <c r="F526" s="4" t="n">
        <v>-500</v>
      </c>
      <c r="G526" s="5" t="inlineStr">
        <is>
          <t>元/吨</t>
        </is>
      </c>
      <c r="H526" s="5" t="inlineStr">
        <is>
          <t>SMM</t>
        </is>
      </c>
    </row>
    <row r="527">
      <c r="A527" s="2" t="inlineStr">
        <is>
          <t>2026/06/25</t>
        </is>
      </c>
      <c r="B527" s="2" t="inlineStr">
        <is>
          <t>碳酸钴</t>
        </is>
      </c>
      <c r="C527" s="3" t="n">
        <v>208000</v>
      </c>
      <c r="D527" s="4" t="n">
        <v>215000</v>
      </c>
      <c r="E527" s="4" t="n">
        <v>211500</v>
      </c>
      <c r="F527" s="4" t="n">
        <v>-1500</v>
      </c>
      <c r="G527" s="5" t="inlineStr">
        <is>
          <t>元/吨</t>
        </is>
      </c>
      <c r="H527" s="5" t="inlineStr">
        <is>
          <t>SMM</t>
        </is>
      </c>
    </row>
    <row r="528">
      <c r="A528" s="2" t="inlineStr">
        <is>
          <t>2026/06/25</t>
        </is>
      </c>
      <c r="B528" s="2" t="inlineStr">
        <is>
          <t>磷酸铁锂</t>
        </is>
      </c>
      <c r="C528" s="3" t="n">
        <v>56670</v>
      </c>
      <c r="D528" s="4" t="n">
        <v>57270</v>
      </c>
      <c r="E528" s="4" t="n">
        <v>56970</v>
      </c>
      <c r="F528" s="4" t="n">
        <v>-120</v>
      </c>
      <c r="G528" s="5" t="inlineStr">
        <is>
          <t>元/吨</t>
        </is>
      </c>
      <c r="H528" s="5" t="inlineStr">
        <is>
          <t>SMM</t>
        </is>
      </c>
    </row>
    <row r="529">
      <c r="A529" s="2" t="inlineStr">
        <is>
          <t>2026/06/25</t>
        </is>
      </c>
      <c r="B529" s="2" t="inlineStr">
        <is>
          <t>磷酸锰铁锂</t>
        </is>
      </c>
      <c r="C529" s="3" t="n">
        <v>62500</v>
      </c>
      <c r="D529" s="4" t="n">
        <v>67500</v>
      </c>
      <c r="E529" s="4" t="n">
        <v>65000</v>
      </c>
      <c r="F529" s="4" t="n">
        <v>0</v>
      </c>
      <c r="G529" s="5" t="inlineStr">
        <is>
          <t>元/吨</t>
        </is>
      </c>
      <c r="H529" s="5" t="inlineStr">
        <is>
          <t>SMM</t>
        </is>
      </c>
    </row>
    <row r="530">
      <c r="A530" s="2" t="inlineStr">
        <is>
          <t>2026/06/25</t>
        </is>
      </c>
      <c r="B530" s="2" t="inlineStr">
        <is>
          <t>金属钴FOB</t>
        </is>
      </c>
      <c r="C530" s="7" t="n">
        <v>24</v>
      </c>
      <c r="D530" s="6" t="n">
        <v>25</v>
      </c>
      <c r="E530" s="6" t="n">
        <v>24.5</v>
      </c>
      <c r="F530" s="4" t="n">
        <v>0</v>
      </c>
      <c r="G530" s="5" t="inlineStr">
        <is>
          <t>美元/磅</t>
        </is>
      </c>
      <c r="H530" s="5" t="inlineStr">
        <is>
          <t>SMM</t>
        </is>
      </c>
    </row>
    <row r="531">
      <c r="A531" s="2" t="inlineStr">
        <is>
          <t>2026/06/25</t>
        </is>
      </c>
      <c r="B531" s="2" t="inlineStr">
        <is>
          <t>钴中间品中钴含量≥30%</t>
        </is>
      </c>
      <c r="C531" s="3" t="n">
        <v>26122</v>
      </c>
      <c r="D531" s="4" t="n">
        <v>26122</v>
      </c>
      <c r="E531" s="4" t="n">
        <v>26122</v>
      </c>
      <c r="F531" s="4" t="n">
        <v>-661</v>
      </c>
      <c r="G531" s="5" t="inlineStr">
        <is>
          <t>元/金属吨</t>
        </is>
      </c>
      <c r="H531" s="5" t="inlineStr">
        <is>
          <t>SMM</t>
        </is>
      </c>
    </row>
    <row r="532">
      <c r="A532" s="2" t="inlineStr">
        <is>
          <t>2026/06/25</t>
        </is>
      </c>
      <c r="B532" s="2" t="inlineStr">
        <is>
          <t>钴中间品原料计价系数（对SMM硫酸钴均价）</t>
        </is>
      </c>
      <c r="C532" s="7" t="n">
        <v>99</v>
      </c>
      <c r="D532" s="4" t="n">
        <v>100</v>
      </c>
      <c r="E532" s="6" t="n">
        <v>99.5</v>
      </c>
      <c r="F532" s="4" t="n">
        <v>0</v>
      </c>
      <c r="G532" s="5" t="inlineStr">
        <is>
          <t>%</t>
        </is>
      </c>
      <c r="H532" s="5" t="inlineStr">
        <is>
          <t>SMM</t>
        </is>
      </c>
    </row>
    <row r="533">
      <c r="A533" s="2" t="inlineStr">
        <is>
          <t>2026/06/25</t>
        </is>
      </c>
      <c r="B533" s="2" t="inlineStr">
        <is>
          <t>钴酸锂</t>
        </is>
      </c>
      <c r="C533" s="3" t="n">
        <v>373000</v>
      </c>
      <c r="D533" s="4" t="n">
        <v>376000</v>
      </c>
      <c r="E533" s="4" t="n">
        <v>374500</v>
      </c>
      <c r="F533" s="4" t="n">
        <v>-3000</v>
      </c>
      <c r="G533" s="5" t="inlineStr">
        <is>
          <t>元/吨</t>
        </is>
      </c>
      <c r="H533" s="5" t="inlineStr">
        <is>
          <t>SMM</t>
        </is>
      </c>
    </row>
    <row r="534">
      <c r="A534" s="2" t="inlineStr">
        <is>
          <t>2026/06/25</t>
        </is>
      </c>
      <c r="B534" s="2" t="inlineStr">
        <is>
          <t>钴酸锂聚合物软包</t>
        </is>
      </c>
      <c r="C534" s="3" t="n">
        <v>97000</v>
      </c>
      <c r="D534" s="4" t="n">
        <v>99400</v>
      </c>
      <c r="E534" s="4" t="n">
        <v>98200</v>
      </c>
      <c r="F534" s="4" t="n">
        <v>-300</v>
      </c>
      <c r="G534" s="5" t="inlineStr">
        <is>
          <t>元/吨</t>
        </is>
      </c>
      <c r="H534" s="5" t="inlineStr">
        <is>
          <t>SMM</t>
        </is>
      </c>
    </row>
    <row r="535">
      <c r="A535" s="2" t="inlineStr">
        <is>
          <t>2026/06/25</t>
        </is>
      </c>
      <c r="B535" s="2" t="inlineStr">
        <is>
          <t>钴酸锂铝壳</t>
        </is>
      </c>
      <c r="C535" s="3" t="n">
        <v>84000</v>
      </c>
      <c r="D535" s="4" t="n">
        <v>91500</v>
      </c>
      <c r="E535" s="4" t="n">
        <v>87750</v>
      </c>
      <c r="F535" s="4" t="n">
        <v>-350</v>
      </c>
      <c r="G535" s="5" t="inlineStr">
        <is>
          <t>元/吨</t>
        </is>
      </c>
      <c r="H535" s="5" t="inlineStr">
        <is>
          <t>SMM</t>
        </is>
      </c>
    </row>
    <row r="536">
      <c r="A536" s="2" t="inlineStr">
        <is>
          <t>2026/06/25</t>
        </is>
      </c>
      <c r="B536" s="2" t="inlineStr">
        <is>
          <t>锰酸锂圆柱钢壳</t>
        </is>
      </c>
      <c r="C536" s="3" t="n">
        <v>5000</v>
      </c>
      <c r="D536" s="4" t="n">
        <v>7400</v>
      </c>
      <c r="E536" s="4" t="n">
        <v>6200</v>
      </c>
      <c r="F536" s="4" t="n">
        <v>0</v>
      </c>
      <c r="G536" s="5" t="inlineStr">
        <is>
          <t>元/吨</t>
        </is>
      </c>
      <c r="H536" s="5" t="inlineStr">
        <is>
          <t>SMM</t>
        </is>
      </c>
    </row>
    <row r="537">
      <c r="A537" s="2" t="inlineStr">
        <is>
          <t>2026/06/25</t>
        </is>
      </c>
      <c r="B537" s="2" t="inlineStr">
        <is>
          <t>非洲硫酸锂(CIF中国)</t>
        </is>
      </c>
      <c r="C537" s="3" t="n">
        <v>7347</v>
      </c>
      <c r="D537" s="4" t="n">
        <v>7779</v>
      </c>
      <c r="E537" s="4" t="n">
        <v>7563</v>
      </c>
      <c r="F537" s="6" t="n">
        <v>-46</v>
      </c>
      <c r="G537" s="5" t="inlineStr">
        <is>
          <t>美元/吨</t>
        </is>
      </c>
      <c r="H537" s="5" t="inlineStr">
        <is>
          <t>SMM</t>
        </is>
      </c>
    </row>
    <row r="538">
      <c r="A538" s="2" t="inlineStr">
        <is>
          <t>2026/06/25</t>
        </is>
      </c>
      <c r="B538" s="2" t="inlineStr">
        <is>
          <t>非洲锂辉石精矿（CIF中国）指数</t>
        </is>
      </c>
      <c r="C538" s="3" t="n">
        <v>2398</v>
      </c>
      <c r="D538" s="4" t="n">
        <v>2398</v>
      </c>
      <c r="E538" s="4" t="n">
        <v>2398</v>
      </c>
      <c r="F538" s="6" t="n">
        <v>-72</v>
      </c>
      <c r="G538" s="5" t="inlineStr">
        <is>
          <t>美元/吨</t>
        </is>
      </c>
      <c r="H538" s="5" t="inlineStr">
        <is>
          <t>SMM</t>
        </is>
      </c>
    </row>
    <row r="540">
      <c r="A540" s="8" t="inlineStr">
        <is>
          <t>当月均价</t>
        </is>
      </c>
      <c r="B540" s="9" t="n"/>
      <c r="C540" s="9" t="n"/>
      <c r="D540" s="9" t="n"/>
      <c r="E540" s="9" t="n"/>
      <c r="F540" s="9" t="n"/>
      <c r="G540" s="9" t="n"/>
      <c r="H540" s="9" t="n"/>
    </row>
    <row r="541">
      <c r="B541" s="2" t="inlineStr">
        <is>
          <t>5系三元前驱体</t>
        </is>
      </c>
      <c r="C541" s="10">
        <f>IFERROR(AVERAGEIFS(C$2:C$538,A$2:A$538,"&gt;="&amp;DATE(YEAR(TODAY()),MONTH(TODAY()),1),A$2:A$538,"&lt;"&amp;DATE(YEAR(TODAY()),MONTH(TODAY())+1,1),B$2:B$538,$B$541),"")</f>
        <v/>
      </c>
      <c r="D541" s="10">
        <f>IFERROR(AVERAGEIFS(D$2:D$538,A$2:A$538,"&gt;="&amp;DATE(YEAR(TODAY()),MONTH(TODAY()),1),A$2:A$538,"&lt;"&amp;DATE(YEAR(TODAY()),MONTH(TODAY())+1,1),B$2:B$538,$B$541),"")</f>
        <v/>
      </c>
      <c r="E541" s="10">
        <f>IFERROR(AVERAGEIFS(E$2:E$538,A$2:A$538,"&gt;="&amp;DATE(YEAR(TODAY()),MONTH(TODAY()),1),A$2:A$538,"&lt;"&amp;DATE(YEAR(TODAY()),MONTH(TODAY())+1,1),B$2:B$538,$B$541),"")</f>
        <v/>
      </c>
      <c r="F541" s="11">
        <f>IFERROR(SUMPRODUCT((YEAR(A$2:A$538)=YEAR(TODAY()))*(MONTH(A$2:A$538)=MONTH(TODAY()))*(B$2:B$538=$B$541)*(F$2:F$538),"")</f>
        <v/>
      </c>
    </row>
    <row r="542">
      <c r="B542" s="2" t="inlineStr">
        <is>
          <t>5系三元材料</t>
        </is>
      </c>
      <c r="C542" s="10">
        <f>IFERROR(AVERAGEIFS(C$2:C$538,A$2:A$538,"&gt;="&amp;DATE(YEAR(TODAY()),MONTH(TODAY()),1),A$2:A$538,"&lt;"&amp;DATE(YEAR(TODAY()),MONTH(TODAY())+1,1),B$2:B$538,$B$542),"")</f>
        <v/>
      </c>
      <c r="D542" s="10">
        <f>IFERROR(AVERAGEIFS(D$2:D$538,A$2:A$538,"&gt;="&amp;DATE(YEAR(TODAY()),MONTH(TODAY()),1),A$2:A$538,"&lt;"&amp;DATE(YEAR(TODAY()),MONTH(TODAY())+1,1),B$2:B$538,$B$542),"")</f>
        <v/>
      </c>
      <c r="E542" s="10">
        <f>IFERROR(AVERAGEIFS(E$2:E$538,A$2:A$538,"&gt;="&amp;DATE(YEAR(TODAY()),MONTH(TODAY()),1),A$2:A$538,"&lt;"&amp;DATE(YEAR(TODAY()),MONTH(TODAY())+1,1),B$2:B$538,$B$542),"")</f>
        <v/>
      </c>
      <c r="F542" s="11">
        <f>IFERROR(SUMPRODUCT((YEAR(A$2:A$538)=YEAR(TODAY()))*(MONTH(A$2:A$538)=MONTH(TODAY()))*(B$2:B$538=$B$542)*(F$2:F$538),"")</f>
        <v/>
      </c>
    </row>
    <row r="543">
      <c r="B543" s="2" t="inlineStr">
        <is>
          <t>6系三元前驱体（单晶/动力型）</t>
        </is>
      </c>
      <c r="C543" s="10">
        <f>IFERROR(AVERAGEIFS(C$2:C$538,A$2:A$538,"&gt;="&amp;DATE(YEAR(TODAY()),MONTH(TODAY()),1),A$2:A$538,"&lt;"&amp;DATE(YEAR(TODAY()),MONTH(TODAY())+1,1),B$2:B$538,$B$543),"")</f>
        <v/>
      </c>
      <c r="D543" s="10">
        <f>IFERROR(AVERAGEIFS(D$2:D$538,A$2:A$538,"&gt;="&amp;DATE(YEAR(TODAY()),MONTH(TODAY()),1),A$2:A$538,"&lt;"&amp;DATE(YEAR(TODAY()),MONTH(TODAY())+1,1),B$2:B$538,$B$543),"")</f>
        <v/>
      </c>
      <c r="E543" s="10">
        <f>IFERROR(AVERAGEIFS(E$2:E$538,A$2:A$538,"&gt;="&amp;DATE(YEAR(TODAY()),MONTH(TODAY()),1),A$2:A$538,"&lt;"&amp;DATE(YEAR(TODAY()),MONTH(TODAY())+1,1),B$2:B$538,$B$543),"")</f>
        <v/>
      </c>
      <c r="F543" s="11">
        <f>IFERROR(SUMPRODUCT((YEAR(A$2:A$538)=YEAR(TODAY()))*(MONTH(A$2:A$538)=MONTH(TODAY()))*(B$2:B$538=$B$543)*(F$2:F$538),"")</f>
        <v/>
      </c>
    </row>
    <row r="544">
      <c r="B544" s="2" t="inlineStr">
        <is>
          <t>6系三元材料（单晶/动力型）</t>
        </is>
      </c>
      <c r="C544" s="10">
        <f>IFERROR(AVERAGEIFS(C$2:C$538,A$2:A$538,"&gt;="&amp;DATE(YEAR(TODAY()),MONTH(TODAY()),1),A$2:A$538,"&lt;"&amp;DATE(YEAR(TODAY()),MONTH(TODAY())+1,1),B$2:B$538,$B$544),"")</f>
        <v/>
      </c>
      <c r="D544" s="10">
        <f>IFERROR(AVERAGEIFS(D$2:D$538,A$2:A$538,"&gt;="&amp;DATE(YEAR(TODAY()),MONTH(TODAY()),1),A$2:A$538,"&lt;"&amp;DATE(YEAR(TODAY()),MONTH(TODAY())+1,1),B$2:B$538,$B$544),"")</f>
        <v/>
      </c>
      <c r="E544" s="10">
        <f>IFERROR(AVERAGEIFS(E$2:E$538,A$2:A$538,"&gt;="&amp;DATE(YEAR(TODAY()),MONTH(TODAY()),1),A$2:A$538,"&lt;"&amp;DATE(YEAR(TODAY()),MONTH(TODAY())+1,1),B$2:B$538,$B$544),"")</f>
        <v/>
      </c>
      <c r="F544" s="11">
        <f>IFERROR(SUMPRODUCT((YEAR(A$2:A$538)=YEAR(TODAY()))*(MONTH(A$2:A$538)=MONTH(TODAY()))*(B$2:B$538=$B$544)*(F$2:F$538),"")</f>
        <v/>
      </c>
    </row>
    <row r="545">
      <c r="B545" s="2" t="inlineStr">
        <is>
          <t>8系三元前驱体（多晶/动力型）</t>
        </is>
      </c>
      <c r="C545" s="10">
        <f>IFERROR(AVERAGEIFS(C$2:C$538,A$2:A$538,"&gt;="&amp;DATE(YEAR(TODAY()),MONTH(TODAY()),1),A$2:A$538,"&lt;"&amp;DATE(YEAR(TODAY()),MONTH(TODAY())+1,1),B$2:B$538,$B$545),"")</f>
        <v/>
      </c>
      <c r="D545" s="10">
        <f>IFERROR(AVERAGEIFS(D$2:D$538,A$2:A$538,"&gt;="&amp;DATE(YEAR(TODAY()),MONTH(TODAY()),1),A$2:A$538,"&lt;"&amp;DATE(YEAR(TODAY()),MONTH(TODAY())+1,1),B$2:B$538,$B$545),"")</f>
        <v/>
      </c>
      <c r="E545" s="10">
        <f>IFERROR(AVERAGEIFS(E$2:E$538,A$2:A$538,"&gt;="&amp;DATE(YEAR(TODAY()),MONTH(TODAY()),1),A$2:A$538,"&lt;"&amp;DATE(YEAR(TODAY()),MONTH(TODAY())+1,1),B$2:B$538,$B$545),"")</f>
        <v/>
      </c>
      <c r="F545" s="11">
        <f>IFERROR(SUMPRODUCT((YEAR(A$2:A$538)=YEAR(TODAY()))*(MONTH(A$2:A$538)=MONTH(TODAY()))*(B$2:B$538=$B$545)*(F$2:F$538),"")</f>
        <v/>
      </c>
    </row>
    <row r="546">
      <c r="B546" s="2" t="inlineStr">
        <is>
          <t>8系三元材料</t>
        </is>
      </c>
      <c r="C546" s="10">
        <f>IFERROR(AVERAGEIFS(C$2:C$538,A$2:A$538,"&gt;="&amp;DATE(YEAR(TODAY()),MONTH(TODAY()),1),A$2:A$538,"&lt;"&amp;DATE(YEAR(TODAY()),MONTH(TODAY())+1,1),B$2:B$538,$B$546),"")</f>
        <v/>
      </c>
      <c r="D546" s="10">
        <f>IFERROR(AVERAGEIFS(D$2:D$538,A$2:A$538,"&gt;="&amp;DATE(YEAR(TODAY()),MONTH(TODAY()),1),A$2:A$538,"&lt;"&amp;DATE(YEAR(TODAY()),MONTH(TODAY())+1,1),B$2:B$538,$B$546),"")</f>
        <v/>
      </c>
      <c r="E546" s="10">
        <f>IFERROR(AVERAGEIFS(E$2:E$538,A$2:A$538,"&gt;="&amp;DATE(YEAR(TODAY()),MONTH(TODAY()),1),A$2:A$538,"&lt;"&amp;DATE(YEAR(TODAY()),MONTH(TODAY())+1,1),B$2:B$538,$B$546),"")</f>
        <v/>
      </c>
      <c r="F546" s="11">
        <f>IFERROR(SUMPRODUCT((YEAR(A$2:A$538)=YEAR(TODAY()))*(MONTH(A$2:A$538)=MONTH(TODAY()))*(B$2:B$538=$B$546)*(F$2:F$538),"")</f>
        <v/>
      </c>
    </row>
    <row r="547">
      <c r="B547" s="2" t="inlineStr">
        <is>
          <t>MHP系数（对SMM电池级硫酸镍指数）</t>
        </is>
      </c>
      <c r="C547" s="10">
        <f>IFERROR(AVERAGEIFS(C$2:C$538,A$2:A$538,"&gt;="&amp;DATE(YEAR(TODAY()),MONTH(TODAY()),1),A$2:A$538,"&lt;"&amp;DATE(YEAR(TODAY()),MONTH(TODAY())+1,1),B$2:B$538,$B$547),"")</f>
        <v/>
      </c>
      <c r="D547" s="10">
        <f>IFERROR(AVERAGEIFS(D$2:D$538,A$2:A$538,"&gt;="&amp;DATE(YEAR(TODAY()),MONTH(TODAY()),1),A$2:A$538,"&lt;"&amp;DATE(YEAR(TODAY()),MONTH(TODAY())+1,1),B$2:B$538,$B$547),"")</f>
        <v/>
      </c>
      <c r="E547" s="10">
        <f>IFERROR(AVERAGEIFS(E$2:E$538,A$2:A$538,"&gt;="&amp;DATE(YEAR(TODAY()),MONTH(TODAY()),1),A$2:A$538,"&lt;"&amp;DATE(YEAR(TODAY()),MONTH(TODAY())+1,1),B$2:B$538,$B$547),"")</f>
        <v/>
      </c>
      <c r="F547" s="11">
        <f>IFERROR(SUMPRODUCT((YEAR(A$2:A$538)=YEAR(TODAY()))*(MONTH(A$2:A$538)=MONTH(TODAY()))*(B$2:B$538=$B$547)*(F$2:F$538),"")</f>
        <v/>
      </c>
    </row>
    <row r="548">
      <c r="B548" s="2" t="inlineStr">
        <is>
          <t>MHP钴元素计价系数（对SMM硫酸钴均价）</t>
        </is>
      </c>
      <c r="C548" s="10">
        <f>IFERROR(AVERAGEIFS(C$2:C$538,A$2:A$538,"&gt;="&amp;DATE(YEAR(TODAY()),MONTH(TODAY()),1),A$2:A$538,"&lt;"&amp;DATE(YEAR(TODAY()),MONTH(TODAY())+1,1),B$2:B$538,$B$548),"")</f>
        <v/>
      </c>
      <c r="D548" s="10">
        <f>IFERROR(AVERAGEIFS(D$2:D$538,A$2:A$538,"&gt;="&amp;DATE(YEAR(TODAY()),MONTH(TODAY()),1),A$2:A$538,"&lt;"&amp;DATE(YEAR(TODAY()),MONTH(TODAY())+1,1),B$2:B$538,$B$548),"")</f>
        <v/>
      </c>
      <c r="E548" s="10">
        <f>IFERROR(AVERAGEIFS(E$2:E$538,A$2:A$538,"&gt;="&amp;DATE(YEAR(TODAY()),MONTH(TODAY()),1),A$2:A$538,"&lt;"&amp;DATE(YEAR(TODAY()),MONTH(TODAY())+1,1),B$2:B$538,$B$548),"")</f>
        <v/>
      </c>
      <c r="F548" s="11">
        <f>IFERROR(SUMPRODUCT((YEAR(A$2:A$538)=YEAR(TODAY()))*(MONTH(A$2:A$538)=MONTH(TODAY()))*(B$2:B$538=$B$548)*(F$2:F$538),"")</f>
        <v/>
      </c>
    </row>
    <row r="549">
      <c r="B549" s="2" t="inlineStr">
        <is>
          <t>NCA三元材料</t>
        </is>
      </c>
      <c r="C549" s="10">
        <f>IFERROR(AVERAGEIFS(C$2:C$538,A$2:A$538,"&gt;="&amp;DATE(YEAR(TODAY()),MONTH(TODAY()),1),A$2:A$538,"&lt;"&amp;DATE(YEAR(TODAY()),MONTH(TODAY())+1,1),B$2:B$538,$B$549),"")</f>
        <v/>
      </c>
      <c r="D549" s="10">
        <f>IFERROR(AVERAGEIFS(D$2:D$538,A$2:A$538,"&gt;="&amp;DATE(YEAR(TODAY()),MONTH(TODAY()),1),A$2:A$538,"&lt;"&amp;DATE(YEAR(TODAY()),MONTH(TODAY())+1,1),B$2:B$538,$B$549),"")</f>
        <v/>
      </c>
      <c r="E549" s="10">
        <f>IFERROR(AVERAGEIFS(E$2:E$538,A$2:A$538,"&gt;="&amp;DATE(YEAR(TODAY()),MONTH(TODAY()),1),A$2:A$538,"&lt;"&amp;DATE(YEAR(TODAY()),MONTH(TODAY())+1,1),B$2:B$538,$B$549),"")</f>
        <v/>
      </c>
      <c r="F549" s="11">
        <f>IFERROR(SUMPRODUCT((YEAR(A$2:A$538)=YEAR(TODAY()))*(MONTH(A$2:A$538)=MONTH(TODAY()))*(B$2:B$538=$B$549)*(F$2:F$538),"")</f>
        <v/>
      </c>
    </row>
    <row r="550">
      <c r="B550" s="2" t="inlineStr">
        <is>
          <t>SMM三元极片粉钴系数指数</t>
        </is>
      </c>
      <c r="C550" s="10">
        <f>IFERROR(AVERAGEIFS(C$2:C$538,A$2:A$538,"&gt;="&amp;DATE(YEAR(TODAY()),MONTH(TODAY()),1),A$2:A$538,"&lt;"&amp;DATE(YEAR(TODAY()),MONTH(TODAY())+1,1),B$2:B$538,$B$550),"")</f>
        <v/>
      </c>
      <c r="D550" s="10">
        <f>IFERROR(AVERAGEIFS(D$2:D$538,A$2:A$538,"&gt;="&amp;DATE(YEAR(TODAY()),MONTH(TODAY()),1),A$2:A$538,"&lt;"&amp;DATE(YEAR(TODAY()),MONTH(TODAY())+1,1),B$2:B$538,$B$550),"")</f>
        <v/>
      </c>
      <c r="E550" s="10">
        <f>IFERROR(AVERAGEIFS(E$2:E$538,A$2:A$538,"&gt;="&amp;DATE(YEAR(TODAY()),MONTH(TODAY()),1),A$2:A$538,"&lt;"&amp;DATE(YEAR(TODAY()),MONTH(TODAY())+1,1),B$2:B$538,$B$550),"")</f>
        <v/>
      </c>
      <c r="F550" s="11">
        <f>IFERROR(SUMPRODUCT((YEAR(A$2:A$538)=YEAR(TODAY()))*(MONTH(A$2:A$538)=MONTH(TODAY()))*(B$2:B$538=$B$550)*(F$2:F$538),"")</f>
        <v/>
      </c>
    </row>
    <row r="551">
      <c r="B551" s="2" t="inlineStr">
        <is>
          <t>SMM三元极片粉锂系数指数</t>
        </is>
      </c>
      <c r="C551" s="10">
        <f>IFERROR(AVERAGEIFS(C$2:C$538,A$2:A$538,"&gt;="&amp;DATE(YEAR(TODAY()),MONTH(TODAY()),1),A$2:A$538,"&lt;"&amp;DATE(YEAR(TODAY()),MONTH(TODAY())+1,1),B$2:B$538,$B$551),"")</f>
        <v/>
      </c>
      <c r="D551" s="10">
        <f>IFERROR(AVERAGEIFS(D$2:D$538,A$2:A$538,"&gt;="&amp;DATE(YEAR(TODAY()),MONTH(TODAY()),1),A$2:A$538,"&lt;"&amp;DATE(YEAR(TODAY()),MONTH(TODAY())+1,1),B$2:B$538,$B$551),"")</f>
        <v/>
      </c>
      <c r="E551" s="10">
        <f>IFERROR(AVERAGEIFS(E$2:E$538,A$2:A$538,"&gt;="&amp;DATE(YEAR(TODAY()),MONTH(TODAY()),1),A$2:A$538,"&lt;"&amp;DATE(YEAR(TODAY()),MONTH(TODAY())+1,1),B$2:B$538,$B$551),"")</f>
        <v/>
      </c>
      <c r="F551" s="11">
        <f>IFERROR(SUMPRODUCT((YEAR(A$2:A$538)=YEAR(TODAY()))*(MONTH(A$2:A$538)=MONTH(TODAY()))*(B$2:B$538=$B$551)*(F$2:F$538),"")</f>
        <v/>
      </c>
    </row>
    <row r="552">
      <c r="B552" s="2" t="inlineStr">
        <is>
          <t>SMM三元极片粉镍系数指数</t>
        </is>
      </c>
      <c r="C552" s="10">
        <f>IFERROR(AVERAGEIFS(C$2:C$538,A$2:A$538,"&gt;="&amp;DATE(YEAR(TODAY()),MONTH(TODAY()),1),A$2:A$538,"&lt;"&amp;DATE(YEAR(TODAY()),MONTH(TODAY())+1,1),B$2:B$538,$B$552),"")</f>
        <v/>
      </c>
      <c r="D552" s="10">
        <f>IFERROR(AVERAGEIFS(D$2:D$538,A$2:A$538,"&gt;="&amp;DATE(YEAR(TODAY()),MONTH(TODAY()),1),A$2:A$538,"&lt;"&amp;DATE(YEAR(TODAY()),MONTH(TODAY())+1,1),B$2:B$538,$B$552),"")</f>
        <v/>
      </c>
      <c r="E552" s="10">
        <f>IFERROR(AVERAGEIFS(E$2:E$538,A$2:A$538,"&gt;="&amp;DATE(YEAR(TODAY()),MONTH(TODAY()),1),A$2:A$538,"&lt;"&amp;DATE(YEAR(TODAY()),MONTH(TODAY())+1,1),B$2:B$538,$B$552),"")</f>
        <v/>
      </c>
      <c r="F552" s="11">
        <f>IFERROR(SUMPRODUCT((YEAR(A$2:A$538)=YEAR(TODAY()))*(MONTH(A$2:A$538)=MONTH(TODAY()))*(B$2:B$538=$B$552)*(F$2:F$538),"")</f>
        <v/>
      </c>
    </row>
    <row r="553">
      <c r="B553" s="2" t="inlineStr">
        <is>
          <t>SMM三元电池粉钴系数指数</t>
        </is>
      </c>
      <c r="C553" s="10">
        <f>IFERROR(AVERAGEIFS(C$2:C$538,A$2:A$538,"&gt;="&amp;DATE(YEAR(TODAY()),MONTH(TODAY()),1),A$2:A$538,"&lt;"&amp;DATE(YEAR(TODAY()),MONTH(TODAY())+1,1),B$2:B$538,$B$553),"")</f>
        <v/>
      </c>
      <c r="D553" s="10">
        <f>IFERROR(AVERAGEIFS(D$2:D$538,A$2:A$538,"&gt;="&amp;DATE(YEAR(TODAY()),MONTH(TODAY()),1),A$2:A$538,"&lt;"&amp;DATE(YEAR(TODAY()),MONTH(TODAY())+1,1),B$2:B$538,$B$553),"")</f>
        <v/>
      </c>
      <c r="E553" s="10">
        <f>IFERROR(AVERAGEIFS(E$2:E$538,A$2:A$538,"&gt;="&amp;DATE(YEAR(TODAY()),MONTH(TODAY()),1),A$2:A$538,"&lt;"&amp;DATE(YEAR(TODAY()),MONTH(TODAY())+1,1),B$2:B$538,$B$553),"")</f>
        <v/>
      </c>
      <c r="F553" s="11">
        <f>IFERROR(SUMPRODUCT((YEAR(A$2:A$538)=YEAR(TODAY()))*(MONTH(A$2:A$538)=MONTH(TODAY()))*(B$2:B$538=$B$553)*(F$2:F$538),"")</f>
        <v/>
      </c>
    </row>
    <row r="554">
      <c r="B554" s="2" t="inlineStr">
        <is>
          <t>SMM三元电池粉锂系数指数</t>
        </is>
      </c>
      <c r="C554" s="10">
        <f>IFERROR(AVERAGEIFS(C$2:C$538,A$2:A$538,"&gt;="&amp;DATE(YEAR(TODAY()),MONTH(TODAY()),1),A$2:A$538,"&lt;"&amp;DATE(YEAR(TODAY()),MONTH(TODAY())+1,1),B$2:B$538,$B$554),"")</f>
        <v/>
      </c>
      <c r="D554" s="10">
        <f>IFERROR(AVERAGEIFS(D$2:D$538,A$2:A$538,"&gt;="&amp;DATE(YEAR(TODAY()),MONTH(TODAY()),1),A$2:A$538,"&lt;"&amp;DATE(YEAR(TODAY()),MONTH(TODAY())+1,1),B$2:B$538,$B$554),"")</f>
        <v/>
      </c>
      <c r="E554" s="10">
        <f>IFERROR(AVERAGEIFS(E$2:E$538,A$2:A$538,"&gt;="&amp;DATE(YEAR(TODAY()),MONTH(TODAY()),1),A$2:A$538,"&lt;"&amp;DATE(YEAR(TODAY()),MONTH(TODAY())+1,1),B$2:B$538,$B$554),"")</f>
        <v/>
      </c>
      <c r="F554" s="11">
        <f>IFERROR(SUMPRODUCT((YEAR(A$2:A$538)=YEAR(TODAY()))*(MONTH(A$2:A$538)=MONTH(TODAY()))*(B$2:B$538=$B$554)*(F$2:F$538),"")</f>
        <v/>
      </c>
    </row>
    <row r="555">
      <c r="B555" s="2" t="inlineStr">
        <is>
          <t>SMM三元电池粉镍系数指数</t>
        </is>
      </c>
      <c r="C555" s="10">
        <f>IFERROR(AVERAGEIFS(C$2:C$538,A$2:A$538,"&gt;="&amp;DATE(YEAR(TODAY()),MONTH(TODAY()),1),A$2:A$538,"&lt;"&amp;DATE(YEAR(TODAY()),MONTH(TODAY())+1,1),B$2:B$538,$B$555),"")</f>
        <v/>
      </c>
      <c r="D555" s="10">
        <f>IFERROR(AVERAGEIFS(D$2:D$538,A$2:A$538,"&gt;="&amp;DATE(YEAR(TODAY()),MONTH(TODAY()),1),A$2:A$538,"&lt;"&amp;DATE(YEAR(TODAY()),MONTH(TODAY())+1,1),B$2:B$538,$B$555),"")</f>
        <v/>
      </c>
      <c r="E555" s="10">
        <f>IFERROR(AVERAGEIFS(E$2:E$538,A$2:A$538,"&gt;="&amp;DATE(YEAR(TODAY()),MONTH(TODAY()),1),A$2:A$538,"&lt;"&amp;DATE(YEAR(TODAY()),MONTH(TODAY())+1,1),B$2:B$538,$B$555),"")</f>
        <v/>
      </c>
      <c r="F555" s="11">
        <f>IFERROR(SUMPRODUCT((YEAR(A$2:A$538)=YEAR(TODAY()))*(MONTH(A$2:A$538)=MONTH(TODAY()))*(B$2:B$538=$B$555)*(F$2:F$538),"")</f>
        <v/>
      </c>
    </row>
    <row r="556">
      <c r="B556" s="2" t="inlineStr">
        <is>
          <t>SMM六氟磷酸锂指数</t>
        </is>
      </c>
      <c r="C556" s="10">
        <f>IFERROR(AVERAGEIFS(C$2:C$538,A$2:A$538,"&gt;="&amp;DATE(YEAR(TODAY()),MONTH(TODAY()),1),A$2:A$538,"&lt;"&amp;DATE(YEAR(TODAY()),MONTH(TODAY())+1,1),B$2:B$538,$B$556),"")</f>
        <v/>
      </c>
      <c r="D556" s="10">
        <f>IFERROR(AVERAGEIFS(D$2:D$538,A$2:A$538,"&gt;="&amp;DATE(YEAR(TODAY()),MONTH(TODAY()),1),A$2:A$538,"&lt;"&amp;DATE(YEAR(TODAY()),MONTH(TODAY())+1,1),B$2:B$538,$B$556),"")</f>
        <v/>
      </c>
      <c r="E556" s="10">
        <f>IFERROR(AVERAGEIFS(E$2:E$538,A$2:A$538,"&gt;="&amp;DATE(YEAR(TODAY()),MONTH(TODAY()),1),A$2:A$538,"&lt;"&amp;DATE(YEAR(TODAY()),MONTH(TODAY())+1,1),B$2:B$538,$B$556),"")</f>
        <v/>
      </c>
      <c r="F556" s="11">
        <f>IFERROR(SUMPRODUCT((YEAR(A$2:A$538)=YEAR(TODAY()))*(MONTH(A$2:A$538)=MONTH(TODAY()))*(B$2:B$538=$B$556)*(F$2:F$538),"")</f>
        <v/>
      </c>
    </row>
    <row r="557">
      <c r="B557" s="2" t="inlineStr">
        <is>
          <t>SMM电池级氢氧化锂指数</t>
        </is>
      </c>
      <c r="C557" s="10">
        <f>IFERROR(AVERAGEIFS(C$2:C$538,A$2:A$538,"&gt;="&amp;DATE(YEAR(TODAY()),MONTH(TODAY()),1),A$2:A$538,"&lt;"&amp;DATE(YEAR(TODAY()),MONTH(TODAY())+1,1),B$2:B$538,$B$557),"")</f>
        <v/>
      </c>
      <c r="D557" s="10">
        <f>IFERROR(AVERAGEIFS(D$2:D$538,A$2:A$538,"&gt;="&amp;DATE(YEAR(TODAY()),MONTH(TODAY()),1),A$2:A$538,"&lt;"&amp;DATE(YEAR(TODAY()),MONTH(TODAY())+1,1),B$2:B$538,$B$557),"")</f>
        <v/>
      </c>
      <c r="E557" s="10">
        <f>IFERROR(AVERAGEIFS(E$2:E$538,A$2:A$538,"&gt;="&amp;DATE(YEAR(TODAY()),MONTH(TODAY()),1),A$2:A$538,"&lt;"&amp;DATE(YEAR(TODAY()),MONTH(TODAY())+1,1),B$2:B$538,$B$557),"")</f>
        <v/>
      </c>
      <c r="F557" s="11">
        <f>IFERROR(SUMPRODUCT((YEAR(A$2:A$538)=YEAR(TODAY()))*(MONTH(A$2:A$538)=MONTH(TODAY()))*(B$2:B$538=$B$557)*(F$2:F$538),"")</f>
        <v/>
      </c>
    </row>
    <row r="558">
      <c r="B558" s="2" t="inlineStr">
        <is>
          <t>SMM电池级硫酸锰指数</t>
        </is>
      </c>
      <c r="C558" s="10">
        <f>IFERROR(AVERAGEIFS(C$2:C$538,A$2:A$538,"&gt;="&amp;DATE(YEAR(TODAY()),MONTH(TODAY()),1),A$2:A$538,"&lt;"&amp;DATE(YEAR(TODAY()),MONTH(TODAY())+1,1),B$2:B$538,$B$558),"")</f>
        <v/>
      </c>
      <c r="D558" s="10">
        <f>IFERROR(AVERAGEIFS(D$2:D$538,A$2:A$538,"&gt;="&amp;DATE(YEAR(TODAY()),MONTH(TODAY()),1),A$2:A$538,"&lt;"&amp;DATE(YEAR(TODAY()),MONTH(TODAY())+1,1),B$2:B$538,$B$558),"")</f>
        <v/>
      </c>
      <c r="E558" s="10">
        <f>IFERROR(AVERAGEIFS(E$2:E$538,A$2:A$538,"&gt;="&amp;DATE(YEAR(TODAY()),MONTH(TODAY()),1),A$2:A$538,"&lt;"&amp;DATE(YEAR(TODAY()),MONTH(TODAY())+1,1),B$2:B$538,$B$558),"")</f>
        <v/>
      </c>
      <c r="F558" s="11">
        <f>IFERROR(SUMPRODUCT((YEAR(A$2:A$538)=YEAR(TODAY()))*(MONTH(A$2:A$538)=MONTH(TODAY()))*(B$2:B$538=$B$558)*(F$2:F$538),"")</f>
        <v/>
      </c>
    </row>
    <row r="559">
      <c r="B559" s="2" t="inlineStr">
        <is>
          <t>SMM电池级硫酸镍指数</t>
        </is>
      </c>
      <c r="C559" s="10">
        <f>IFERROR(AVERAGEIFS(C$2:C$538,A$2:A$538,"&gt;="&amp;DATE(YEAR(TODAY()),MONTH(TODAY()),1),A$2:A$538,"&lt;"&amp;DATE(YEAR(TODAY()),MONTH(TODAY())+1,1),B$2:B$538,$B$559),"")</f>
        <v/>
      </c>
      <c r="D559" s="10">
        <f>IFERROR(AVERAGEIFS(D$2:D$538,A$2:A$538,"&gt;="&amp;DATE(YEAR(TODAY()),MONTH(TODAY()),1),A$2:A$538,"&lt;"&amp;DATE(YEAR(TODAY()),MONTH(TODAY())+1,1),B$2:B$538,$B$559),"")</f>
        <v/>
      </c>
      <c r="E559" s="10">
        <f>IFERROR(AVERAGEIFS(E$2:E$538,A$2:A$538,"&gt;="&amp;DATE(YEAR(TODAY()),MONTH(TODAY()),1),A$2:A$538,"&lt;"&amp;DATE(YEAR(TODAY()),MONTH(TODAY())+1,1),B$2:B$538,$B$559),"")</f>
        <v/>
      </c>
      <c r="F559" s="11">
        <f>IFERROR(SUMPRODUCT((YEAR(A$2:A$538)=YEAR(TODAY()))*(MONTH(A$2:A$538)=MONTH(TODAY()))*(B$2:B$538=$B$559)*(F$2:F$538),"")</f>
        <v/>
      </c>
    </row>
    <row r="560">
      <c r="B560" s="2" t="inlineStr">
        <is>
          <t>SMM电池级碳酸锂指数</t>
        </is>
      </c>
      <c r="C560" s="10">
        <f>IFERROR(AVERAGEIFS(C$2:C$538,A$2:A$538,"&gt;="&amp;DATE(YEAR(TODAY()),MONTH(TODAY()),1),A$2:A$538,"&lt;"&amp;DATE(YEAR(TODAY()),MONTH(TODAY())+1,1),B$2:B$538,$B$560),"")</f>
        <v/>
      </c>
      <c r="D560" s="10">
        <f>IFERROR(AVERAGEIFS(D$2:D$538,A$2:A$538,"&gt;="&amp;DATE(YEAR(TODAY()),MONTH(TODAY()),1),A$2:A$538,"&lt;"&amp;DATE(YEAR(TODAY()),MONTH(TODAY())+1,1),B$2:B$538,$B$560),"")</f>
        <v/>
      </c>
      <c r="E560" s="10">
        <f>IFERROR(AVERAGEIFS(E$2:E$538,A$2:A$538,"&gt;="&amp;DATE(YEAR(TODAY()),MONTH(TODAY()),1),A$2:A$538,"&lt;"&amp;DATE(YEAR(TODAY()),MONTH(TODAY())+1,1),B$2:B$538,$B$560),"")</f>
        <v/>
      </c>
      <c r="F560" s="11">
        <f>IFERROR(SUMPRODUCT((YEAR(A$2:A$538)=YEAR(TODAY()))*(MONTH(A$2:A$538)=MONTH(TODAY()))*(B$2:B$538=$B$560)*(F$2:F$538),"")</f>
        <v/>
      </c>
    </row>
    <row r="561">
      <c r="B561" s="2" t="inlineStr">
        <is>
          <t>SMM硫酸钴指数</t>
        </is>
      </c>
      <c r="C561" s="10">
        <f>IFERROR(AVERAGEIFS(C$2:C$538,A$2:A$538,"&gt;="&amp;DATE(YEAR(TODAY()),MONTH(TODAY()),1),A$2:A$538,"&lt;"&amp;DATE(YEAR(TODAY()),MONTH(TODAY())+1,1),B$2:B$538,$B$561),"")</f>
        <v/>
      </c>
      <c r="D561" s="10">
        <f>IFERROR(AVERAGEIFS(D$2:D$538,A$2:A$538,"&gt;="&amp;DATE(YEAR(TODAY()),MONTH(TODAY()),1),A$2:A$538,"&lt;"&amp;DATE(YEAR(TODAY()),MONTH(TODAY())+1,1),B$2:B$538,$B$561),"")</f>
        <v/>
      </c>
      <c r="E561" s="10">
        <f>IFERROR(AVERAGEIFS(E$2:E$538,A$2:A$538,"&gt;="&amp;DATE(YEAR(TODAY()),MONTH(TODAY()),1),A$2:A$538,"&lt;"&amp;DATE(YEAR(TODAY()),MONTH(TODAY())+1,1),B$2:B$538,$B$561),"")</f>
        <v/>
      </c>
      <c r="F561" s="11">
        <f>IFERROR(SUMPRODUCT((YEAR(A$2:A$538)=YEAR(TODAY()))*(MONTH(A$2:A$538)=MONTH(TODAY()))*(B$2:B$538=$B$561)*(F$2:F$538),"")</f>
        <v/>
      </c>
    </row>
    <row r="562">
      <c r="B562" s="2" t="inlineStr">
        <is>
          <t>SMM磷酸铁锂极片粉指数</t>
        </is>
      </c>
      <c r="C562" s="10">
        <f>IFERROR(AVERAGEIFS(C$2:C$538,A$2:A$538,"&gt;="&amp;DATE(YEAR(TODAY()),MONTH(TODAY()),1),A$2:A$538,"&lt;"&amp;DATE(YEAR(TODAY()),MONTH(TODAY())+1,1),B$2:B$538,$B$562),"")</f>
        <v/>
      </c>
      <c r="D562" s="10">
        <f>IFERROR(AVERAGEIFS(D$2:D$538,A$2:A$538,"&gt;="&amp;DATE(YEAR(TODAY()),MONTH(TODAY()),1),A$2:A$538,"&lt;"&amp;DATE(YEAR(TODAY()),MONTH(TODAY())+1,1),B$2:B$538,$B$562),"")</f>
        <v/>
      </c>
      <c r="E562" s="10">
        <f>IFERROR(AVERAGEIFS(E$2:E$538,A$2:A$538,"&gt;="&amp;DATE(YEAR(TODAY()),MONTH(TODAY()),1),A$2:A$538,"&lt;"&amp;DATE(YEAR(TODAY()),MONTH(TODAY())+1,1),B$2:B$538,$B$562),"")</f>
        <v/>
      </c>
      <c r="F562" s="11">
        <f>IFERROR(SUMPRODUCT((YEAR(A$2:A$538)=YEAR(TODAY()))*(MONTH(A$2:A$538)=MONTH(TODAY()))*(B$2:B$538=$B$562)*(F$2:F$538),"")</f>
        <v/>
      </c>
    </row>
    <row r="563">
      <c r="B563" s="2" t="inlineStr">
        <is>
          <t>SMM磷酸铁锂电池粉指数</t>
        </is>
      </c>
      <c r="C563" s="10">
        <f>IFERROR(AVERAGEIFS(C$2:C$538,A$2:A$538,"&gt;="&amp;DATE(YEAR(TODAY()),MONTH(TODAY()),1),A$2:A$538,"&lt;"&amp;DATE(YEAR(TODAY()),MONTH(TODAY())+1,1),B$2:B$538,$B$563),"")</f>
        <v/>
      </c>
      <c r="D563" s="10">
        <f>IFERROR(AVERAGEIFS(D$2:D$538,A$2:A$538,"&gt;="&amp;DATE(YEAR(TODAY()),MONTH(TODAY()),1),A$2:A$538,"&lt;"&amp;DATE(YEAR(TODAY()),MONTH(TODAY())+1,1),B$2:B$538,$B$563),"")</f>
        <v/>
      </c>
      <c r="E563" s="10">
        <f>IFERROR(AVERAGEIFS(E$2:E$538,A$2:A$538,"&gt;="&amp;DATE(YEAR(TODAY()),MONTH(TODAY()),1),A$2:A$538,"&lt;"&amp;DATE(YEAR(TODAY()),MONTH(TODAY())+1,1),B$2:B$538,$B$563),"")</f>
        <v/>
      </c>
      <c r="F563" s="11">
        <f>IFERROR(SUMPRODUCT((YEAR(A$2:A$538)=YEAR(TODAY()))*(MONTH(A$2:A$538)=MONTH(TODAY()))*(B$2:B$538=$B$563)*(F$2:F$538),"")</f>
        <v/>
      </c>
    </row>
    <row r="564">
      <c r="B564" s="2" t="inlineStr">
        <is>
          <t>SMM钴酸锂极片粉钴系数指数</t>
        </is>
      </c>
      <c r="C564" s="10">
        <f>IFERROR(AVERAGEIFS(C$2:C$538,A$2:A$538,"&gt;="&amp;DATE(YEAR(TODAY()),MONTH(TODAY()),1),A$2:A$538,"&lt;"&amp;DATE(YEAR(TODAY()),MONTH(TODAY())+1,1),B$2:B$538,$B$564),"")</f>
        <v/>
      </c>
      <c r="D564" s="10">
        <f>IFERROR(AVERAGEIFS(D$2:D$538,A$2:A$538,"&gt;="&amp;DATE(YEAR(TODAY()),MONTH(TODAY()),1),A$2:A$538,"&lt;"&amp;DATE(YEAR(TODAY()),MONTH(TODAY())+1,1),B$2:B$538,$B$564),"")</f>
        <v/>
      </c>
      <c r="E564" s="10">
        <f>IFERROR(AVERAGEIFS(E$2:E$538,A$2:A$538,"&gt;="&amp;DATE(YEAR(TODAY()),MONTH(TODAY()),1),A$2:A$538,"&lt;"&amp;DATE(YEAR(TODAY()),MONTH(TODAY())+1,1),B$2:B$538,$B$564),"")</f>
        <v/>
      </c>
      <c r="F564" s="11">
        <f>IFERROR(SUMPRODUCT((YEAR(A$2:A$538)=YEAR(TODAY()))*(MONTH(A$2:A$538)=MONTH(TODAY()))*(B$2:B$538=$B$564)*(F$2:F$538),"")</f>
        <v/>
      </c>
    </row>
    <row r="565">
      <c r="B565" s="2" t="inlineStr">
        <is>
          <t>SMM钴酸锂极片粉锂系数指数</t>
        </is>
      </c>
      <c r="C565" s="10">
        <f>IFERROR(AVERAGEIFS(C$2:C$538,A$2:A$538,"&gt;="&amp;DATE(YEAR(TODAY()),MONTH(TODAY()),1),A$2:A$538,"&lt;"&amp;DATE(YEAR(TODAY()),MONTH(TODAY())+1,1),B$2:B$538,$B$565),"")</f>
        <v/>
      </c>
      <c r="D565" s="10">
        <f>IFERROR(AVERAGEIFS(D$2:D$538,A$2:A$538,"&gt;="&amp;DATE(YEAR(TODAY()),MONTH(TODAY()),1),A$2:A$538,"&lt;"&amp;DATE(YEAR(TODAY()),MONTH(TODAY())+1,1),B$2:B$538,$B$565),"")</f>
        <v/>
      </c>
      <c r="E565" s="10">
        <f>IFERROR(AVERAGEIFS(E$2:E$538,A$2:A$538,"&gt;="&amp;DATE(YEAR(TODAY()),MONTH(TODAY()),1),A$2:A$538,"&lt;"&amp;DATE(YEAR(TODAY()),MONTH(TODAY())+1,1),B$2:B$538,$B$565),"")</f>
        <v/>
      </c>
      <c r="F565" s="11">
        <f>IFERROR(SUMPRODUCT((YEAR(A$2:A$538)=YEAR(TODAY()))*(MONTH(A$2:A$538)=MONTH(TODAY()))*(B$2:B$538=$B$565)*(F$2:F$538),"")</f>
        <v/>
      </c>
    </row>
    <row r="566">
      <c r="B566" s="2" t="inlineStr">
        <is>
          <t>SMM钴酸锂电池粉钴系数指数</t>
        </is>
      </c>
      <c r="C566" s="10">
        <f>IFERROR(AVERAGEIFS(C$2:C$538,A$2:A$538,"&gt;="&amp;DATE(YEAR(TODAY()),MONTH(TODAY()),1),A$2:A$538,"&lt;"&amp;DATE(YEAR(TODAY()),MONTH(TODAY())+1,1),B$2:B$538,$B$566),"")</f>
        <v/>
      </c>
      <c r="D566" s="10">
        <f>IFERROR(AVERAGEIFS(D$2:D$538,A$2:A$538,"&gt;="&amp;DATE(YEAR(TODAY()),MONTH(TODAY()),1),A$2:A$538,"&lt;"&amp;DATE(YEAR(TODAY()),MONTH(TODAY())+1,1),B$2:B$538,$B$566),"")</f>
        <v/>
      </c>
      <c r="E566" s="10">
        <f>IFERROR(AVERAGEIFS(E$2:E$538,A$2:A$538,"&gt;="&amp;DATE(YEAR(TODAY()),MONTH(TODAY()),1),A$2:A$538,"&lt;"&amp;DATE(YEAR(TODAY()),MONTH(TODAY())+1,1),B$2:B$538,$B$566),"")</f>
        <v/>
      </c>
      <c r="F566" s="11">
        <f>IFERROR(SUMPRODUCT((YEAR(A$2:A$538)=YEAR(TODAY()))*(MONTH(A$2:A$538)=MONTH(TODAY()))*(B$2:B$538=$B$566)*(F$2:F$538),"")</f>
        <v/>
      </c>
    </row>
    <row r="567">
      <c r="B567" s="2" t="inlineStr">
        <is>
          <t>SMM钴酸锂电池粉锂系数指数</t>
        </is>
      </c>
      <c r="C567" s="10">
        <f>IFERROR(AVERAGEIFS(C$2:C$538,A$2:A$538,"&gt;="&amp;DATE(YEAR(TODAY()),MONTH(TODAY()),1),A$2:A$538,"&lt;"&amp;DATE(YEAR(TODAY()),MONTH(TODAY())+1,1),B$2:B$538,$B$567),"")</f>
        <v/>
      </c>
      <c r="D567" s="10">
        <f>IFERROR(AVERAGEIFS(D$2:D$538,A$2:A$538,"&gt;="&amp;DATE(YEAR(TODAY()),MONTH(TODAY()),1),A$2:A$538,"&lt;"&amp;DATE(YEAR(TODAY()),MONTH(TODAY())+1,1),B$2:B$538,$B$567),"")</f>
        <v/>
      </c>
      <c r="E567" s="10">
        <f>IFERROR(AVERAGEIFS(E$2:E$538,A$2:A$538,"&gt;="&amp;DATE(YEAR(TODAY()),MONTH(TODAY()),1),A$2:A$538,"&lt;"&amp;DATE(YEAR(TODAY()),MONTH(TODAY())+1,1),B$2:B$538,$B$567),"")</f>
        <v/>
      </c>
      <c r="F567" s="11">
        <f>IFERROR(SUMPRODUCT((YEAR(A$2:A$538)=YEAR(TODAY()))*(MONTH(A$2:A$538)=MONTH(TODAY()))*(B$2:B$538=$B$567)*(F$2:F$538),"")</f>
        <v/>
      </c>
    </row>
    <row r="568">
      <c r="B568" s="2" t="inlineStr">
        <is>
          <t>三元方壳锂电B品</t>
        </is>
      </c>
      <c r="C568" s="10">
        <f>IFERROR(AVERAGEIFS(C$2:C$538,A$2:A$538,"&gt;="&amp;DATE(YEAR(TODAY()),MONTH(TODAY()),1),A$2:A$538,"&lt;"&amp;DATE(YEAR(TODAY()),MONTH(TODAY())+1,1),B$2:B$538,$B$568),"")</f>
        <v/>
      </c>
      <c r="D568" s="10">
        <f>IFERROR(AVERAGEIFS(D$2:D$538,A$2:A$538,"&gt;="&amp;DATE(YEAR(TODAY()),MONTH(TODAY()),1),A$2:A$538,"&lt;"&amp;DATE(YEAR(TODAY()),MONTH(TODAY())+1,1),B$2:B$538,$B$568),"")</f>
        <v/>
      </c>
      <c r="E568" s="10">
        <f>IFERROR(AVERAGEIFS(E$2:E$538,A$2:A$538,"&gt;="&amp;DATE(YEAR(TODAY()),MONTH(TODAY()),1),A$2:A$538,"&lt;"&amp;DATE(YEAR(TODAY()),MONTH(TODAY())+1,1),B$2:B$538,$B$568),"")</f>
        <v/>
      </c>
      <c r="F568" s="11">
        <f>IFERROR(SUMPRODUCT((YEAR(A$2:A$538)=YEAR(TODAY()))*(MONTH(A$2:A$538)=MONTH(TODAY()))*(B$2:B$538=$B$568)*(F$2:F$538),"")</f>
        <v/>
      </c>
    </row>
    <row r="569">
      <c r="B569" s="2" t="inlineStr">
        <is>
          <t>六氟磷酸锂（国产）</t>
        </is>
      </c>
      <c r="C569" s="10">
        <f>IFERROR(AVERAGEIFS(C$2:C$538,A$2:A$538,"&gt;="&amp;DATE(YEAR(TODAY()),MONTH(TODAY()),1),A$2:A$538,"&lt;"&amp;DATE(YEAR(TODAY()),MONTH(TODAY())+1,1),B$2:B$538,$B$569),"")</f>
        <v/>
      </c>
      <c r="D569" s="10">
        <f>IFERROR(AVERAGEIFS(D$2:D$538,A$2:A$538,"&gt;="&amp;DATE(YEAR(TODAY()),MONTH(TODAY()),1),A$2:A$538,"&lt;"&amp;DATE(YEAR(TODAY()),MONTH(TODAY())+1,1),B$2:B$538,$B$569),"")</f>
        <v/>
      </c>
      <c r="E569" s="10">
        <f>IFERROR(AVERAGEIFS(E$2:E$538,A$2:A$538,"&gt;="&amp;DATE(YEAR(TODAY()),MONTH(TODAY()),1),A$2:A$538,"&lt;"&amp;DATE(YEAR(TODAY()),MONTH(TODAY())+1,1),B$2:B$538,$B$569),"")</f>
        <v/>
      </c>
      <c r="F569" s="11">
        <f>IFERROR(SUMPRODUCT((YEAR(A$2:A$538)=YEAR(TODAY()))*(MONTH(A$2:A$538)=MONTH(TODAY()))*(B$2:B$538=$B$569)*(F$2:F$538),"")</f>
        <v/>
      </c>
    </row>
    <row r="570">
      <c r="B570" s="2" t="inlineStr">
        <is>
          <t>四氧化三钴</t>
        </is>
      </c>
      <c r="C570" s="10">
        <f>IFERROR(AVERAGEIFS(C$2:C$538,A$2:A$538,"&gt;="&amp;DATE(YEAR(TODAY()),MONTH(TODAY()),1),A$2:A$538,"&lt;"&amp;DATE(YEAR(TODAY()),MONTH(TODAY())+1,1),B$2:B$538,$B$570),"")</f>
        <v/>
      </c>
      <c r="D570" s="10">
        <f>IFERROR(AVERAGEIFS(D$2:D$538,A$2:A$538,"&gt;="&amp;DATE(YEAR(TODAY()),MONTH(TODAY()),1),A$2:A$538,"&lt;"&amp;DATE(YEAR(TODAY()),MONTH(TODAY())+1,1),B$2:B$538,$B$570),"")</f>
        <v/>
      </c>
      <c r="E570" s="10">
        <f>IFERROR(AVERAGEIFS(E$2:E$538,A$2:A$538,"&gt;="&amp;DATE(YEAR(TODAY()),MONTH(TODAY()),1),A$2:A$538,"&lt;"&amp;DATE(YEAR(TODAY()),MONTH(TODAY())+1,1),B$2:B$538,$B$570),"")</f>
        <v/>
      </c>
      <c r="F570" s="11">
        <f>IFERROR(SUMPRODUCT((YEAR(A$2:A$538)=YEAR(TODAY()))*(MONTH(A$2:A$538)=MONTH(TODAY()))*(B$2:B$538=$B$570)*(F$2:F$538),"")</f>
        <v/>
      </c>
    </row>
    <row r="571">
      <c r="B571" s="2" t="inlineStr">
        <is>
          <t>四氧化三锰（电池级）</t>
        </is>
      </c>
      <c r="C571" s="10">
        <f>IFERROR(AVERAGEIFS(C$2:C$538,A$2:A$538,"&gt;="&amp;DATE(YEAR(TODAY()),MONTH(TODAY()),1),A$2:A$538,"&lt;"&amp;DATE(YEAR(TODAY()),MONTH(TODAY())+1,1),B$2:B$538,$B$571),"")</f>
        <v/>
      </c>
      <c r="D571" s="10">
        <f>IFERROR(AVERAGEIFS(D$2:D$538,A$2:A$538,"&gt;="&amp;DATE(YEAR(TODAY()),MONTH(TODAY()),1),A$2:A$538,"&lt;"&amp;DATE(YEAR(TODAY()),MONTH(TODAY())+1,1),B$2:B$538,$B$571),"")</f>
        <v/>
      </c>
      <c r="E571" s="10">
        <f>IFERROR(AVERAGEIFS(E$2:E$538,A$2:A$538,"&gt;="&amp;DATE(YEAR(TODAY()),MONTH(TODAY()),1),A$2:A$538,"&lt;"&amp;DATE(YEAR(TODAY()),MONTH(TODAY())+1,1),B$2:B$538,$B$571),"")</f>
        <v/>
      </c>
      <c r="F571" s="11">
        <f>IFERROR(SUMPRODUCT((YEAR(A$2:A$538)=YEAR(TODAY()))*(MONTH(A$2:A$538)=MONTH(TODAY()))*(B$2:B$538=$B$571)*(F$2:F$538),"")</f>
        <v/>
      </c>
    </row>
    <row r="572">
      <c r="B572" s="2" t="inlineStr">
        <is>
          <t>工业级氢氧化锂</t>
        </is>
      </c>
      <c r="C572" s="10">
        <f>IFERROR(AVERAGEIFS(C$2:C$538,A$2:A$538,"&gt;="&amp;DATE(YEAR(TODAY()),MONTH(TODAY()),1),A$2:A$538,"&lt;"&amp;DATE(YEAR(TODAY()),MONTH(TODAY())+1,1),B$2:B$538,$B$572),"")</f>
        <v/>
      </c>
      <c r="D572" s="10">
        <f>IFERROR(AVERAGEIFS(D$2:D$538,A$2:A$538,"&gt;="&amp;DATE(YEAR(TODAY()),MONTH(TODAY()),1),A$2:A$538,"&lt;"&amp;DATE(YEAR(TODAY()),MONTH(TODAY())+1,1),B$2:B$538,$B$572),"")</f>
        <v/>
      </c>
      <c r="E572" s="10">
        <f>IFERROR(AVERAGEIFS(E$2:E$538,A$2:A$538,"&gt;="&amp;DATE(YEAR(TODAY()),MONTH(TODAY()),1),A$2:A$538,"&lt;"&amp;DATE(YEAR(TODAY()),MONTH(TODAY())+1,1),B$2:B$538,$B$572),"")</f>
        <v/>
      </c>
      <c r="F572" s="11">
        <f>IFERROR(SUMPRODUCT((YEAR(A$2:A$538)=YEAR(TODAY()))*(MONTH(A$2:A$538)=MONTH(TODAY()))*(B$2:B$538=$B$572)*(F$2:F$538),"")</f>
        <v/>
      </c>
    </row>
    <row r="573">
      <c r="B573" s="2" t="inlineStr">
        <is>
          <t>工业级碳酸锂</t>
        </is>
      </c>
      <c r="C573" s="10">
        <f>IFERROR(AVERAGEIFS(C$2:C$538,A$2:A$538,"&gt;="&amp;DATE(YEAR(TODAY()),MONTH(TODAY()),1),A$2:A$538,"&lt;"&amp;DATE(YEAR(TODAY()),MONTH(TODAY())+1,1),B$2:B$538,$B$573),"")</f>
        <v/>
      </c>
      <c r="D573" s="10">
        <f>IFERROR(AVERAGEIFS(D$2:D$538,A$2:A$538,"&gt;="&amp;DATE(YEAR(TODAY()),MONTH(TODAY()),1),A$2:A$538,"&lt;"&amp;DATE(YEAR(TODAY()),MONTH(TODAY())+1,1),B$2:B$538,$B$573),"")</f>
        <v/>
      </c>
      <c r="E573" s="10">
        <f>IFERROR(AVERAGEIFS(E$2:E$538,A$2:A$538,"&gt;="&amp;DATE(YEAR(TODAY()),MONTH(TODAY()),1),A$2:A$538,"&lt;"&amp;DATE(YEAR(TODAY()),MONTH(TODAY())+1,1),B$2:B$538,$B$573),"")</f>
        <v/>
      </c>
      <c r="F573" s="11">
        <f>IFERROR(SUMPRODUCT((YEAR(A$2:A$538)=YEAR(TODAY()))*(MONTH(A$2:A$538)=MONTH(TODAY()))*(B$2:B$538=$B$573)*(F$2:F$538),"")</f>
        <v/>
      </c>
    </row>
    <row r="574">
      <c r="B574" s="2" t="inlineStr">
        <is>
          <t>工业级金属锂</t>
        </is>
      </c>
      <c r="C574" s="10">
        <f>IFERROR(AVERAGEIFS(C$2:C$538,A$2:A$538,"&gt;="&amp;DATE(YEAR(TODAY()),MONTH(TODAY()),1),A$2:A$538,"&lt;"&amp;DATE(YEAR(TODAY()),MONTH(TODAY())+1,1),B$2:B$538,$B$574),"")</f>
        <v/>
      </c>
      <c r="D574" s="10">
        <f>IFERROR(AVERAGEIFS(D$2:D$538,A$2:A$538,"&gt;="&amp;DATE(YEAR(TODAY()),MONTH(TODAY()),1),A$2:A$538,"&lt;"&amp;DATE(YEAR(TODAY()),MONTH(TODAY())+1,1),B$2:B$538,$B$574),"")</f>
        <v/>
      </c>
      <c r="E574" s="10">
        <f>IFERROR(AVERAGEIFS(E$2:E$538,A$2:A$538,"&gt;="&amp;DATE(YEAR(TODAY()),MONTH(TODAY()),1),A$2:A$538,"&lt;"&amp;DATE(YEAR(TODAY()),MONTH(TODAY())+1,1),B$2:B$538,$B$574),"")</f>
        <v/>
      </c>
      <c r="F574" s="11">
        <f>IFERROR(SUMPRODUCT((YEAR(A$2:A$538)=YEAR(TODAY()))*(MONTH(A$2:A$538)=MONTH(TODAY()))*(B$2:B$538=$B$574)*(F$2:F$538),"")</f>
        <v/>
      </c>
    </row>
    <row r="575">
      <c r="B575" s="2" t="inlineStr">
        <is>
          <t>巴西锂辉石精矿（CIF中国）现货</t>
        </is>
      </c>
      <c r="C575" s="10">
        <f>IFERROR(AVERAGEIFS(C$2:C$538,A$2:A$538,"&gt;="&amp;DATE(YEAR(TODAY()),MONTH(TODAY()),1),A$2:A$538,"&lt;"&amp;DATE(YEAR(TODAY()),MONTH(TODAY())+1,1),B$2:B$538,$B$575),"")</f>
        <v/>
      </c>
      <c r="D575" s="10">
        <f>IFERROR(AVERAGEIFS(D$2:D$538,A$2:A$538,"&gt;="&amp;DATE(YEAR(TODAY()),MONTH(TODAY()),1),A$2:A$538,"&lt;"&amp;DATE(YEAR(TODAY()),MONTH(TODAY())+1,1),B$2:B$538,$B$575),"")</f>
        <v/>
      </c>
      <c r="E575" s="10">
        <f>IFERROR(AVERAGEIFS(E$2:E$538,A$2:A$538,"&gt;="&amp;DATE(YEAR(TODAY()),MONTH(TODAY()),1),A$2:A$538,"&lt;"&amp;DATE(YEAR(TODAY()),MONTH(TODAY())+1,1),B$2:B$538,$B$575),"")</f>
        <v/>
      </c>
      <c r="F575" s="11">
        <f>IFERROR(SUMPRODUCT((YEAR(A$2:A$538)=YEAR(TODAY()))*(MONTH(A$2:A$538)=MONTH(TODAY()))*(B$2:B$538=$B$575)*(F$2:F$538),"")</f>
        <v/>
      </c>
    </row>
    <row r="576">
      <c r="B576" s="2" t="inlineStr">
        <is>
          <t>废旧磷酸铁锂储能正极片</t>
        </is>
      </c>
      <c r="C576" s="10">
        <f>IFERROR(AVERAGEIFS(C$2:C$538,A$2:A$538,"&gt;="&amp;DATE(YEAR(TODAY()),MONTH(TODAY()),1),A$2:A$538,"&lt;"&amp;DATE(YEAR(TODAY()),MONTH(TODAY())+1,1),B$2:B$538,$B$576),"")</f>
        <v/>
      </c>
      <c r="D576" s="10">
        <f>IFERROR(AVERAGEIFS(D$2:D$538,A$2:A$538,"&gt;="&amp;DATE(YEAR(TODAY()),MONTH(TODAY()),1),A$2:A$538,"&lt;"&amp;DATE(YEAR(TODAY()),MONTH(TODAY())+1,1),B$2:B$538,$B$576),"")</f>
        <v/>
      </c>
      <c r="E576" s="10">
        <f>IFERROR(AVERAGEIFS(E$2:E$538,A$2:A$538,"&gt;="&amp;DATE(YEAR(TODAY()),MONTH(TODAY()),1),A$2:A$538,"&lt;"&amp;DATE(YEAR(TODAY()),MONTH(TODAY())+1,1),B$2:B$538,$B$576),"")</f>
        <v/>
      </c>
      <c r="F576" s="11">
        <f>IFERROR(SUMPRODUCT((YEAR(A$2:A$538)=YEAR(TODAY()))*(MONTH(A$2:A$538)=MONTH(TODAY()))*(B$2:B$538=$B$576)*(F$2:F$538),"")</f>
        <v/>
      </c>
    </row>
    <row r="577">
      <c r="B577" s="2" t="inlineStr">
        <is>
          <t>废旧磷酸铁锂动力正极片</t>
        </is>
      </c>
      <c r="C577" s="10">
        <f>IFERROR(AVERAGEIFS(C$2:C$538,A$2:A$538,"&gt;="&amp;DATE(YEAR(TODAY()),MONTH(TODAY()),1),A$2:A$538,"&lt;"&amp;DATE(YEAR(TODAY()),MONTH(TODAY())+1,1),B$2:B$538,$B$577),"")</f>
        <v/>
      </c>
      <c r="D577" s="10">
        <f>IFERROR(AVERAGEIFS(D$2:D$538,A$2:A$538,"&gt;="&amp;DATE(YEAR(TODAY()),MONTH(TODAY()),1),A$2:A$538,"&lt;"&amp;DATE(YEAR(TODAY()),MONTH(TODAY())+1,1),B$2:B$538,$B$577),"")</f>
        <v/>
      </c>
      <c r="E577" s="10">
        <f>IFERROR(AVERAGEIFS(E$2:E$538,A$2:A$538,"&gt;="&amp;DATE(YEAR(TODAY()),MONTH(TODAY()),1),A$2:A$538,"&lt;"&amp;DATE(YEAR(TODAY()),MONTH(TODAY())+1,1),B$2:B$538,$B$577),"")</f>
        <v/>
      </c>
      <c r="F577" s="11">
        <f>IFERROR(SUMPRODUCT((YEAR(A$2:A$538)=YEAR(TODAY()))*(MONTH(A$2:A$538)=MONTH(TODAY()))*(B$2:B$538=$B$577)*(F$2:F$538),"")</f>
        <v/>
      </c>
    </row>
    <row r="578">
      <c r="B578" s="2" t="inlineStr">
        <is>
          <t>废旧磷酸铁锂软包电池</t>
        </is>
      </c>
      <c r="C578" s="10">
        <f>IFERROR(AVERAGEIFS(C$2:C$538,A$2:A$538,"&gt;="&amp;DATE(YEAR(TODAY()),MONTH(TODAY()),1),A$2:A$538,"&lt;"&amp;DATE(YEAR(TODAY()),MONTH(TODAY())+1,1),B$2:B$538,$B$578),"")</f>
        <v/>
      </c>
      <c r="D578" s="10">
        <f>IFERROR(AVERAGEIFS(D$2:D$538,A$2:A$538,"&gt;="&amp;DATE(YEAR(TODAY()),MONTH(TODAY()),1),A$2:A$538,"&lt;"&amp;DATE(YEAR(TODAY()),MONTH(TODAY())+1,1),B$2:B$538,$B$578),"")</f>
        <v/>
      </c>
      <c r="E578" s="10">
        <f>IFERROR(AVERAGEIFS(E$2:E$538,A$2:A$538,"&gt;="&amp;DATE(YEAR(TODAY()),MONTH(TODAY()),1),A$2:A$538,"&lt;"&amp;DATE(YEAR(TODAY()),MONTH(TODAY())+1,1),B$2:B$538,$B$578),"")</f>
        <v/>
      </c>
      <c r="F578" s="11">
        <f>IFERROR(SUMPRODUCT((YEAR(A$2:A$538)=YEAR(TODAY()))*(MONTH(A$2:A$538)=MONTH(TODAY()))*(B$2:B$538=$B$578)*(F$2:F$538),"")</f>
        <v/>
      </c>
    </row>
    <row r="579">
      <c r="B579" s="2" t="inlineStr">
        <is>
          <t>废旧磷酸铁锂钢壳电池</t>
        </is>
      </c>
      <c r="C579" s="10">
        <f>IFERROR(AVERAGEIFS(C$2:C$538,A$2:A$538,"&gt;="&amp;DATE(YEAR(TODAY()),MONTH(TODAY()),1),A$2:A$538,"&lt;"&amp;DATE(YEAR(TODAY()),MONTH(TODAY())+1,1),B$2:B$538,$B$579),"")</f>
        <v/>
      </c>
      <c r="D579" s="10">
        <f>IFERROR(AVERAGEIFS(D$2:D$538,A$2:A$538,"&gt;="&amp;DATE(YEAR(TODAY()),MONTH(TODAY()),1),A$2:A$538,"&lt;"&amp;DATE(YEAR(TODAY()),MONTH(TODAY())+1,1),B$2:B$538,$B$579),"")</f>
        <v/>
      </c>
      <c r="E579" s="10">
        <f>IFERROR(AVERAGEIFS(E$2:E$538,A$2:A$538,"&gt;="&amp;DATE(YEAR(TODAY()),MONTH(TODAY()),1),A$2:A$538,"&lt;"&amp;DATE(YEAR(TODAY()),MONTH(TODAY())+1,1),B$2:B$538,$B$579),"")</f>
        <v/>
      </c>
      <c r="F579" s="11">
        <f>IFERROR(SUMPRODUCT((YEAR(A$2:A$538)=YEAR(TODAY()))*(MONTH(A$2:A$538)=MONTH(TODAY()))*(B$2:B$538=$B$579)*(F$2:F$538),"")</f>
        <v/>
      </c>
    </row>
    <row r="580">
      <c r="B580" s="2" t="inlineStr">
        <is>
          <t>废旧磷酸铁锂铝壳电池</t>
        </is>
      </c>
      <c r="C580" s="10">
        <f>IFERROR(AVERAGEIFS(C$2:C$538,A$2:A$538,"&gt;="&amp;DATE(YEAR(TODAY()),MONTH(TODAY()),1),A$2:A$538,"&lt;"&amp;DATE(YEAR(TODAY()),MONTH(TODAY())+1,1),B$2:B$538,$B$580),"")</f>
        <v/>
      </c>
      <c r="D580" s="10">
        <f>IFERROR(AVERAGEIFS(D$2:D$538,A$2:A$538,"&gt;="&amp;DATE(YEAR(TODAY()),MONTH(TODAY()),1),A$2:A$538,"&lt;"&amp;DATE(YEAR(TODAY()),MONTH(TODAY())+1,1),B$2:B$538,$B$580),"")</f>
        <v/>
      </c>
      <c r="E580" s="10">
        <f>IFERROR(AVERAGEIFS(E$2:E$538,A$2:A$538,"&gt;="&amp;DATE(YEAR(TODAY()),MONTH(TODAY()),1),A$2:A$538,"&lt;"&amp;DATE(YEAR(TODAY()),MONTH(TODAY())+1,1),B$2:B$538,$B$580),"")</f>
        <v/>
      </c>
      <c r="F580" s="11">
        <f>IFERROR(SUMPRODUCT((YEAR(A$2:A$538)=YEAR(TODAY()))*(MONTH(A$2:A$538)=MONTH(TODAY()))*(B$2:B$538=$B$580)*(F$2:F$538),"")</f>
        <v/>
      </c>
    </row>
    <row r="581">
      <c r="B581" s="2" t="inlineStr">
        <is>
          <t>方形磷酸铁锂电池B品</t>
        </is>
      </c>
      <c r="C581" s="10">
        <f>IFERROR(AVERAGEIFS(C$2:C$538,A$2:A$538,"&gt;="&amp;DATE(YEAR(TODAY()),MONTH(TODAY()),1),A$2:A$538,"&lt;"&amp;DATE(YEAR(TODAY()),MONTH(TODAY())+1,1),B$2:B$538,$B$581),"")</f>
        <v/>
      </c>
      <c r="D581" s="10">
        <f>IFERROR(AVERAGEIFS(D$2:D$538,A$2:A$538,"&gt;="&amp;DATE(YEAR(TODAY()),MONTH(TODAY()),1),A$2:A$538,"&lt;"&amp;DATE(YEAR(TODAY()),MONTH(TODAY())+1,1),B$2:B$538,$B$581),"")</f>
        <v/>
      </c>
      <c r="E581" s="10">
        <f>IFERROR(AVERAGEIFS(E$2:E$538,A$2:A$538,"&gt;="&amp;DATE(YEAR(TODAY()),MONTH(TODAY()),1),A$2:A$538,"&lt;"&amp;DATE(YEAR(TODAY()),MONTH(TODAY())+1,1),B$2:B$538,$B$581),"")</f>
        <v/>
      </c>
      <c r="F581" s="11">
        <f>IFERROR(SUMPRODUCT((YEAR(A$2:A$538)=YEAR(TODAY()))*(MONTH(A$2:A$538)=MONTH(TODAY()))*(B$2:B$538=$B$581)*(F$2:F$538),"")</f>
        <v/>
      </c>
    </row>
    <row r="582">
      <c r="B582" s="2" t="inlineStr">
        <is>
          <t>氧化亚镍</t>
        </is>
      </c>
      <c r="C582" s="10">
        <f>IFERROR(AVERAGEIFS(C$2:C$538,A$2:A$538,"&gt;="&amp;DATE(YEAR(TODAY()),MONTH(TODAY()),1),A$2:A$538,"&lt;"&amp;DATE(YEAR(TODAY()),MONTH(TODAY())+1,1),B$2:B$538,$B$582),"")</f>
        <v/>
      </c>
      <c r="D582" s="10">
        <f>IFERROR(AVERAGEIFS(D$2:D$538,A$2:A$538,"&gt;="&amp;DATE(YEAR(TODAY()),MONTH(TODAY()),1),A$2:A$538,"&lt;"&amp;DATE(YEAR(TODAY()),MONTH(TODAY())+1,1),B$2:B$538,$B$582),"")</f>
        <v/>
      </c>
      <c r="E582" s="10">
        <f>IFERROR(AVERAGEIFS(E$2:E$538,A$2:A$538,"&gt;="&amp;DATE(YEAR(TODAY()),MONTH(TODAY()),1),A$2:A$538,"&lt;"&amp;DATE(YEAR(TODAY()),MONTH(TODAY())+1,1),B$2:B$538,$B$582),"")</f>
        <v/>
      </c>
      <c r="F582" s="11">
        <f>IFERROR(SUMPRODUCT((YEAR(A$2:A$538)=YEAR(TODAY()))*(MONTH(A$2:A$538)=MONTH(TODAY()))*(B$2:B$538=$B$582)*(F$2:F$538),"")</f>
        <v/>
      </c>
    </row>
    <row r="583">
      <c r="B583" s="2" t="inlineStr">
        <is>
          <t>氧化钴</t>
        </is>
      </c>
      <c r="C583" s="10">
        <f>IFERROR(AVERAGEIFS(C$2:C$538,A$2:A$538,"&gt;="&amp;DATE(YEAR(TODAY()),MONTH(TODAY()),1),A$2:A$538,"&lt;"&amp;DATE(YEAR(TODAY()),MONTH(TODAY())+1,1),B$2:B$538,$B$583),"")</f>
        <v/>
      </c>
      <c r="D583" s="10">
        <f>IFERROR(AVERAGEIFS(D$2:D$538,A$2:A$538,"&gt;="&amp;DATE(YEAR(TODAY()),MONTH(TODAY()),1),A$2:A$538,"&lt;"&amp;DATE(YEAR(TODAY()),MONTH(TODAY())+1,1),B$2:B$538,$B$583),"")</f>
        <v/>
      </c>
      <c r="E583" s="10">
        <f>IFERROR(AVERAGEIFS(E$2:E$538,A$2:A$538,"&gt;="&amp;DATE(YEAR(TODAY()),MONTH(TODAY()),1),A$2:A$538,"&lt;"&amp;DATE(YEAR(TODAY()),MONTH(TODAY())+1,1),B$2:B$538,$B$583),"")</f>
        <v/>
      </c>
      <c r="F583" s="11">
        <f>IFERROR(SUMPRODUCT((YEAR(A$2:A$538)=YEAR(TODAY()))*(MONTH(A$2:A$538)=MONTH(TODAY()))*(B$2:B$538=$B$583)*(F$2:F$538),"")</f>
        <v/>
      </c>
    </row>
    <row r="584">
      <c r="B584" s="2" t="inlineStr">
        <is>
          <t>氯化钴</t>
        </is>
      </c>
      <c r="C584" s="10">
        <f>IFERROR(AVERAGEIFS(C$2:C$538,A$2:A$538,"&gt;="&amp;DATE(YEAR(TODAY()),MONTH(TODAY()),1),A$2:A$538,"&lt;"&amp;DATE(YEAR(TODAY()),MONTH(TODAY())+1,1),B$2:B$538,$B$584),"")</f>
        <v/>
      </c>
      <c r="D584" s="10">
        <f>IFERROR(AVERAGEIFS(D$2:D$538,A$2:A$538,"&gt;="&amp;DATE(YEAR(TODAY()),MONTH(TODAY()),1),A$2:A$538,"&lt;"&amp;DATE(YEAR(TODAY()),MONTH(TODAY())+1,1),B$2:B$538,$B$584),"")</f>
        <v/>
      </c>
      <c r="E584" s="10">
        <f>IFERROR(AVERAGEIFS(E$2:E$538,A$2:A$538,"&gt;="&amp;DATE(YEAR(TODAY()),MONTH(TODAY()),1),A$2:A$538,"&lt;"&amp;DATE(YEAR(TODAY()),MONTH(TODAY())+1,1),B$2:B$538,$B$584),"")</f>
        <v/>
      </c>
      <c r="F584" s="11">
        <f>IFERROR(SUMPRODUCT((YEAR(A$2:A$538)=YEAR(TODAY()))*(MONTH(A$2:A$538)=MONTH(TODAY()))*(B$2:B$538=$B$584)*(F$2:F$538),"")</f>
        <v/>
      </c>
    </row>
    <row r="585">
      <c r="B585" s="2" t="inlineStr">
        <is>
          <t>氯化镍NiCl₂·6H₂O</t>
        </is>
      </c>
      <c r="C585" s="10">
        <f>IFERROR(AVERAGEIFS(C$2:C$538,A$2:A$538,"&gt;="&amp;DATE(YEAR(TODAY()),MONTH(TODAY()),1),A$2:A$538,"&lt;"&amp;DATE(YEAR(TODAY()),MONTH(TODAY())+1,1),B$2:B$538,$B$585),"")</f>
        <v/>
      </c>
      <c r="D585" s="10">
        <f>IFERROR(AVERAGEIFS(D$2:D$538,A$2:A$538,"&gt;="&amp;DATE(YEAR(TODAY()),MONTH(TODAY()),1),A$2:A$538,"&lt;"&amp;DATE(YEAR(TODAY()),MONTH(TODAY())+1,1),B$2:B$538,$B$585),"")</f>
        <v/>
      </c>
      <c r="E585" s="10">
        <f>IFERROR(AVERAGEIFS(E$2:E$538,A$2:A$538,"&gt;="&amp;DATE(YEAR(TODAY()),MONTH(TODAY()),1),A$2:A$538,"&lt;"&amp;DATE(YEAR(TODAY()),MONTH(TODAY())+1,1),B$2:B$538,$B$585),"")</f>
        <v/>
      </c>
      <c r="F585" s="11">
        <f>IFERROR(SUMPRODUCT((YEAR(A$2:A$538)=YEAR(TODAY()))*(MONTH(A$2:A$538)=MONTH(TODAY()))*(B$2:B$538=$B$585)*(F$2:F$538),"")</f>
        <v/>
      </c>
    </row>
    <row r="586">
      <c r="B586" s="2" t="inlineStr">
        <is>
          <t>津巴布韦锂辉石精矿（CIF中国）现货</t>
        </is>
      </c>
      <c r="C586" s="10">
        <f>IFERROR(AVERAGEIFS(C$2:C$538,A$2:A$538,"&gt;="&amp;DATE(YEAR(TODAY()),MONTH(TODAY()),1),A$2:A$538,"&lt;"&amp;DATE(YEAR(TODAY()),MONTH(TODAY())+1,1),B$2:B$538,$B$586),"")</f>
        <v/>
      </c>
      <c r="D586" s="10">
        <f>IFERROR(AVERAGEIFS(D$2:D$538,A$2:A$538,"&gt;="&amp;DATE(YEAR(TODAY()),MONTH(TODAY()),1),A$2:A$538,"&lt;"&amp;DATE(YEAR(TODAY()),MONTH(TODAY())+1,1),B$2:B$538,$B$586),"")</f>
        <v/>
      </c>
      <c r="E586" s="10">
        <f>IFERROR(AVERAGEIFS(E$2:E$538,A$2:A$538,"&gt;="&amp;DATE(YEAR(TODAY()),MONTH(TODAY()),1),A$2:A$538,"&lt;"&amp;DATE(YEAR(TODAY()),MONTH(TODAY())+1,1),B$2:B$538,$B$586),"")</f>
        <v/>
      </c>
      <c r="F586" s="11">
        <f>IFERROR(SUMPRODUCT((YEAR(A$2:A$538)=YEAR(TODAY()))*(MONTH(A$2:A$538)=MONTH(TODAY()))*(B$2:B$538=$B$586)*(F$2:F$538),"")</f>
        <v/>
      </c>
    </row>
    <row r="587">
      <c r="B587" s="2" t="inlineStr">
        <is>
          <t>澳大利亚锂辉石精矿（CIF中国）现货</t>
        </is>
      </c>
      <c r="C587" s="10">
        <f>IFERROR(AVERAGEIFS(C$2:C$538,A$2:A$538,"&gt;="&amp;DATE(YEAR(TODAY()),MONTH(TODAY()),1),A$2:A$538,"&lt;"&amp;DATE(YEAR(TODAY()),MONTH(TODAY())+1,1),B$2:B$538,$B$587),"")</f>
        <v/>
      </c>
      <c r="D587" s="10">
        <f>IFERROR(AVERAGEIFS(D$2:D$538,A$2:A$538,"&gt;="&amp;DATE(YEAR(TODAY()),MONTH(TODAY()),1),A$2:A$538,"&lt;"&amp;DATE(YEAR(TODAY()),MONTH(TODAY())+1,1),B$2:B$538,$B$587),"")</f>
        <v/>
      </c>
      <c r="E587" s="10">
        <f>IFERROR(AVERAGEIFS(E$2:E$538,A$2:A$538,"&gt;="&amp;DATE(YEAR(TODAY()),MONTH(TODAY()),1),A$2:A$538,"&lt;"&amp;DATE(YEAR(TODAY()),MONTH(TODAY())+1,1),B$2:B$538,$B$587),"")</f>
        <v/>
      </c>
      <c r="F587" s="11">
        <f>IFERROR(SUMPRODUCT((YEAR(A$2:A$538)=YEAR(TODAY()))*(MONTH(A$2:A$538)=MONTH(TODAY()))*(B$2:B$538=$B$587)*(F$2:F$538),"")</f>
        <v/>
      </c>
    </row>
    <row r="588">
      <c r="B588" s="2" t="inlineStr">
        <is>
          <t>电池级无水氯化锂</t>
        </is>
      </c>
      <c r="C588" s="10">
        <f>IFERROR(AVERAGEIFS(C$2:C$538,A$2:A$538,"&gt;="&amp;DATE(YEAR(TODAY()),MONTH(TODAY()),1),A$2:A$538,"&lt;"&amp;DATE(YEAR(TODAY()),MONTH(TODAY())+1,1),B$2:B$538,$B$588),"")</f>
        <v/>
      </c>
      <c r="D588" s="10">
        <f>IFERROR(AVERAGEIFS(D$2:D$538,A$2:A$538,"&gt;="&amp;DATE(YEAR(TODAY()),MONTH(TODAY()),1),A$2:A$538,"&lt;"&amp;DATE(YEAR(TODAY()),MONTH(TODAY())+1,1),B$2:B$538,$B$588),"")</f>
        <v/>
      </c>
      <c r="E588" s="10">
        <f>IFERROR(AVERAGEIFS(E$2:E$538,A$2:A$538,"&gt;="&amp;DATE(YEAR(TODAY()),MONTH(TODAY()),1),A$2:A$538,"&lt;"&amp;DATE(YEAR(TODAY()),MONTH(TODAY())+1,1),B$2:B$538,$B$588),"")</f>
        <v/>
      </c>
      <c r="F588" s="11">
        <f>IFERROR(SUMPRODUCT((YEAR(A$2:A$538)=YEAR(TODAY()))*(MONTH(A$2:A$538)=MONTH(TODAY()))*(B$2:B$538=$B$588)*(F$2:F$538),"")</f>
        <v/>
      </c>
    </row>
    <row r="589">
      <c r="B589" s="2" t="inlineStr">
        <is>
          <t>电池级氟化锂</t>
        </is>
      </c>
      <c r="C589" s="10">
        <f>IFERROR(AVERAGEIFS(C$2:C$538,A$2:A$538,"&gt;="&amp;DATE(YEAR(TODAY()),MONTH(TODAY()),1),A$2:A$538,"&lt;"&amp;DATE(YEAR(TODAY()),MONTH(TODAY())+1,1),B$2:B$538,$B$589),"")</f>
        <v/>
      </c>
      <c r="D589" s="10">
        <f>IFERROR(AVERAGEIFS(D$2:D$538,A$2:A$538,"&gt;="&amp;DATE(YEAR(TODAY()),MONTH(TODAY()),1),A$2:A$538,"&lt;"&amp;DATE(YEAR(TODAY()),MONTH(TODAY())+1,1),B$2:B$538,$B$589),"")</f>
        <v/>
      </c>
      <c r="E589" s="10">
        <f>IFERROR(AVERAGEIFS(E$2:E$538,A$2:A$538,"&gt;="&amp;DATE(YEAR(TODAY()),MONTH(TODAY()),1),A$2:A$538,"&lt;"&amp;DATE(YEAR(TODAY()),MONTH(TODAY())+1,1),B$2:B$538,$B$589),"")</f>
        <v/>
      </c>
      <c r="F589" s="11">
        <f>IFERROR(SUMPRODUCT((YEAR(A$2:A$538)=YEAR(TODAY()))*(MONTH(A$2:A$538)=MONTH(TODAY()))*(B$2:B$538=$B$589)*(F$2:F$538),"")</f>
        <v/>
      </c>
    </row>
    <row r="590">
      <c r="B590" s="2" t="inlineStr">
        <is>
          <t>电池级氢氧化锂(CIF中日韩)</t>
        </is>
      </c>
      <c r="C590" s="10">
        <f>IFERROR(AVERAGEIFS(C$2:C$538,A$2:A$538,"&gt;="&amp;DATE(YEAR(TODAY()),MONTH(TODAY()),1),A$2:A$538,"&lt;"&amp;DATE(YEAR(TODAY()),MONTH(TODAY())+1,1),B$2:B$538,$B$590),"")</f>
        <v/>
      </c>
      <c r="D590" s="10">
        <f>IFERROR(AVERAGEIFS(D$2:D$538,A$2:A$538,"&gt;="&amp;DATE(YEAR(TODAY()),MONTH(TODAY()),1),A$2:A$538,"&lt;"&amp;DATE(YEAR(TODAY()),MONTH(TODAY())+1,1),B$2:B$538,$B$590),"")</f>
        <v/>
      </c>
      <c r="E590" s="10">
        <f>IFERROR(AVERAGEIFS(E$2:E$538,A$2:A$538,"&gt;="&amp;DATE(YEAR(TODAY()),MONTH(TODAY()),1),A$2:A$538,"&lt;"&amp;DATE(YEAR(TODAY()),MONTH(TODAY())+1,1),B$2:B$538,$B$590),"")</f>
        <v/>
      </c>
      <c r="F590" s="11">
        <f>IFERROR(SUMPRODUCT((YEAR(A$2:A$538)=YEAR(TODAY()))*(MONTH(A$2:A$538)=MONTH(TODAY()))*(B$2:B$538=$B$590)*(F$2:F$538),"")</f>
        <v/>
      </c>
    </row>
    <row r="591">
      <c r="B591" s="2" t="inlineStr">
        <is>
          <t>电池级氢氧化锂(CIF韩国)</t>
        </is>
      </c>
      <c r="C591" s="10">
        <f>IFERROR(AVERAGEIFS(C$2:C$538,A$2:A$538,"&gt;="&amp;DATE(YEAR(TODAY()),MONTH(TODAY()),1),A$2:A$538,"&lt;"&amp;DATE(YEAR(TODAY()),MONTH(TODAY())+1,1),B$2:B$538,$B$591),"")</f>
        <v/>
      </c>
      <c r="D591" s="10">
        <f>IFERROR(AVERAGEIFS(D$2:D$538,A$2:A$538,"&gt;="&amp;DATE(YEAR(TODAY()),MONTH(TODAY()),1),A$2:A$538,"&lt;"&amp;DATE(YEAR(TODAY()),MONTH(TODAY())+1,1),B$2:B$538,$B$591),"")</f>
        <v/>
      </c>
      <c r="E591" s="10">
        <f>IFERROR(AVERAGEIFS(E$2:E$538,A$2:A$538,"&gt;="&amp;DATE(YEAR(TODAY()),MONTH(TODAY()),1),A$2:A$538,"&lt;"&amp;DATE(YEAR(TODAY()),MONTH(TODAY())+1,1),B$2:B$538,$B$591),"")</f>
        <v/>
      </c>
      <c r="F591" s="11">
        <f>IFERROR(SUMPRODUCT((YEAR(A$2:A$538)=YEAR(TODAY()))*(MONTH(A$2:A$538)=MONTH(TODAY()))*(B$2:B$538=$B$591)*(F$2:F$538),"")</f>
        <v/>
      </c>
    </row>
    <row r="592">
      <c r="B592" s="2" t="inlineStr">
        <is>
          <t>电池级氢氧化锂(微粉）</t>
        </is>
      </c>
      <c r="C592" s="10">
        <f>IFERROR(AVERAGEIFS(C$2:C$538,A$2:A$538,"&gt;="&amp;DATE(YEAR(TODAY()),MONTH(TODAY()),1),A$2:A$538,"&lt;"&amp;DATE(YEAR(TODAY()),MONTH(TODAY())+1,1),B$2:B$538,$B$592),"")</f>
        <v/>
      </c>
      <c r="D592" s="10">
        <f>IFERROR(AVERAGEIFS(D$2:D$538,A$2:A$538,"&gt;="&amp;DATE(YEAR(TODAY()),MONTH(TODAY()),1),A$2:A$538,"&lt;"&amp;DATE(YEAR(TODAY()),MONTH(TODAY())+1,1),B$2:B$538,$B$592),"")</f>
        <v/>
      </c>
      <c r="E592" s="10">
        <f>IFERROR(AVERAGEIFS(E$2:E$538,A$2:A$538,"&gt;="&amp;DATE(YEAR(TODAY()),MONTH(TODAY()),1),A$2:A$538,"&lt;"&amp;DATE(YEAR(TODAY()),MONTH(TODAY())+1,1),B$2:B$538,$B$592),"")</f>
        <v/>
      </c>
      <c r="F592" s="11">
        <f>IFERROR(SUMPRODUCT((YEAR(A$2:A$538)=YEAR(TODAY()))*(MONTH(A$2:A$538)=MONTH(TODAY()))*(B$2:B$538=$B$592)*(F$2:F$538),"")</f>
        <v/>
      </c>
    </row>
    <row r="593">
      <c r="B593" s="2" t="inlineStr">
        <is>
          <t>电池级氢氧化锂（粗颗粒）</t>
        </is>
      </c>
      <c r="C593" s="10">
        <f>IFERROR(AVERAGEIFS(C$2:C$538,A$2:A$538,"&gt;="&amp;DATE(YEAR(TODAY()),MONTH(TODAY()),1),A$2:A$538,"&lt;"&amp;DATE(YEAR(TODAY()),MONTH(TODAY())+1,1),B$2:B$538,$B$593),"")</f>
        <v/>
      </c>
      <c r="D593" s="10">
        <f>IFERROR(AVERAGEIFS(D$2:D$538,A$2:A$538,"&gt;="&amp;DATE(YEAR(TODAY()),MONTH(TODAY()),1),A$2:A$538,"&lt;"&amp;DATE(YEAR(TODAY()),MONTH(TODAY())+1,1),B$2:B$538,$B$593),"")</f>
        <v/>
      </c>
      <c r="E593" s="10">
        <f>IFERROR(AVERAGEIFS(E$2:E$538,A$2:A$538,"&gt;="&amp;DATE(YEAR(TODAY()),MONTH(TODAY()),1),A$2:A$538,"&lt;"&amp;DATE(YEAR(TODAY()),MONTH(TODAY())+1,1),B$2:B$538,$B$593),"")</f>
        <v/>
      </c>
      <c r="F593" s="11">
        <f>IFERROR(SUMPRODUCT((YEAR(A$2:A$538)=YEAR(TODAY()))*(MONTH(A$2:A$538)=MONTH(TODAY()))*(B$2:B$538=$B$593)*(F$2:F$538),"")</f>
        <v/>
      </c>
    </row>
    <row r="594">
      <c r="B594" s="2" t="inlineStr">
        <is>
          <t>电池级硫酸锰（出厂价）</t>
        </is>
      </c>
      <c r="C594" s="10">
        <f>IFERROR(AVERAGEIFS(C$2:C$538,A$2:A$538,"&gt;="&amp;DATE(YEAR(TODAY()),MONTH(TODAY()),1),A$2:A$538,"&lt;"&amp;DATE(YEAR(TODAY()),MONTH(TODAY())+1,1),B$2:B$538,$B$594),"")</f>
        <v/>
      </c>
      <c r="D594" s="10">
        <f>IFERROR(AVERAGEIFS(D$2:D$538,A$2:A$538,"&gt;="&amp;DATE(YEAR(TODAY()),MONTH(TODAY()),1),A$2:A$538,"&lt;"&amp;DATE(YEAR(TODAY()),MONTH(TODAY())+1,1),B$2:B$538,$B$594),"")</f>
        <v/>
      </c>
      <c r="E594" s="10">
        <f>IFERROR(AVERAGEIFS(E$2:E$538,A$2:A$538,"&gt;="&amp;DATE(YEAR(TODAY()),MONTH(TODAY()),1),A$2:A$538,"&lt;"&amp;DATE(YEAR(TODAY()),MONTH(TODAY())+1,1),B$2:B$538,$B$594),"")</f>
        <v/>
      </c>
      <c r="F594" s="11">
        <f>IFERROR(SUMPRODUCT((YEAR(A$2:A$538)=YEAR(TODAY()))*(MONTH(A$2:A$538)=MONTH(TODAY()))*(B$2:B$538=$B$594)*(F$2:F$538),"")</f>
        <v/>
      </c>
    </row>
    <row r="595">
      <c r="B595" s="2" t="inlineStr">
        <is>
          <t>电池级硫酸镍</t>
        </is>
      </c>
      <c r="C595" s="10">
        <f>IFERROR(AVERAGEIFS(C$2:C$538,A$2:A$538,"&gt;="&amp;DATE(YEAR(TODAY()),MONTH(TODAY()),1),A$2:A$538,"&lt;"&amp;DATE(YEAR(TODAY()),MONTH(TODAY())+1,1),B$2:B$538,$B$595),"")</f>
        <v/>
      </c>
      <c r="D595" s="10">
        <f>IFERROR(AVERAGEIFS(D$2:D$538,A$2:A$538,"&gt;="&amp;DATE(YEAR(TODAY()),MONTH(TODAY()),1),A$2:A$538,"&lt;"&amp;DATE(YEAR(TODAY()),MONTH(TODAY())+1,1),B$2:B$538,$B$595),"")</f>
        <v/>
      </c>
      <c r="E595" s="10">
        <f>IFERROR(AVERAGEIFS(E$2:E$538,A$2:A$538,"&gt;="&amp;DATE(YEAR(TODAY()),MONTH(TODAY()),1),A$2:A$538,"&lt;"&amp;DATE(YEAR(TODAY()),MONTH(TODAY())+1,1),B$2:B$538,$B$595),"")</f>
        <v/>
      </c>
      <c r="F595" s="11">
        <f>IFERROR(SUMPRODUCT((YEAR(A$2:A$538)=YEAR(TODAY()))*(MONTH(A$2:A$538)=MONTH(TODAY()))*(B$2:B$538=$B$595)*(F$2:F$538),"")</f>
        <v/>
      </c>
    </row>
    <row r="596">
      <c r="B596" s="2" t="inlineStr">
        <is>
          <t>电池级碳酸锂</t>
        </is>
      </c>
      <c r="C596" s="10">
        <f>IFERROR(AVERAGEIFS(C$2:C$538,A$2:A$538,"&gt;="&amp;DATE(YEAR(TODAY()),MONTH(TODAY()),1),A$2:A$538,"&lt;"&amp;DATE(YEAR(TODAY()),MONTH(TODAY())+1,1),B$2:B$538,$B$596),"")</f>
        <v/>
      </c>
      <c r="D596" s="10">
        <f>IFERROR(AVERAGEIFS(D$2:D$538,A$2:A$538,"&gt;="&amp;DATE(YEAR(TODAY()),MONTH(TODAY()),1),A$2:A$538,"&lt;"&amp;DATE(YEAR(TODAY()),MONTH(TODAY())+1,1),B$2:B$538,$B$596),"")</f>
        <v/>
      </c>
      <c r="E596" s="10">
        <f>IFERROR(AVERAGEIFS(E$2:E$538,A$2:A$538,"&gt;="&amp;DATE(YEAR(TODAY()),MONTH(TODAY()),1),A$2:A$538,"&lt;"&amp;DATE(YEAR(TODAY()),MONTH(TODAY())+1,1),B$2:B$538,$B$596),"")</f>
        <v/>
      </c>
      <c r="F596" s="11">
        <f>IFERROR(SUMPRODUCT((YEAR(A$2:A$538)=YEAR(TODAY()))*(MONTH(A$2:A$538)=MONTH(TODAY()))*(B$2:B$538=$B$596)*(F$2:F$538),"")</f>
        <v/>
      </c>
    </row>
    <row r="597">
      <c r="B597" s="2" t="inlineStr">
        <is>
          <t>电池级碳酸锂(CIF韩国)</t>
        </is>
      </c>
      <c r="C597" s="10">
        <f>IFERROR(AVERAGEIFS(C$2:C$538,A$2:A$538,"&gt;="&amp;DATE(YEAR(TODAY()),MONTH(TODAY()),1),A$2:A$538,"&lt;"&amp;DATE(YEAR(TODAY()),MONTH(TODAY())+1,1),B$2:B$538,$B$597),"")</f>
        <v/>
      </c>
      <c r="D597" s="10">
        <f>IFERROR(AVERAGEIFS(D$2:D$538,A$2:A$538,"&gt;="&amp;DATE(YEAR(TODAY()),MONTH(TODAY()),1),A$2:A$538,"&lt;"&amp;DATE(YEAR(TODAY()),MONTH(TODAY())+1,1),B$2:B$538,$B$597),"")</f>
        <v/>
      </c>
      <c r="E597" s="10">
        <f>IFERROR(AVERAGEIFS(E$2:E$538,A$2:A$538,"&gt;="&amp;DATE(YEAR(TODAY()),MONTH(TODAY()),1),A$2:A$538,"&lt;"&amp;DATE(YEAR(TODAY()),MONTH(TODAY())+1,1),B$2:B$538,$B$597),"")</f>
        <v/>
      </c>
      <c r="F597" s="11">
        <f>IFERROR(SUMPRODUCT((YEAR(A$2:A$538)=YEAR(TODAY()))*(MONTH(A$2:A$538)=MONTH(TODAY()))*(B$2:B$538=$B$597)*(F$2:F$538),"")</f>
        <v/>
      </c>
    </row>
    <row r="598">
      <c r="B598" s="2" t="inlineStr">
        <is>
          <t>电池级碳酸锂（CIF中日韩）</t>
        </is>
      </c>
      <c r="C598" s="10">
        <f>IFERROR(AVERAGEIFS(C$2:C$538,A$2:A$538,"&gt;="&amp;DATE(YEAR(TODAY()),MONTH(TODAY()),1),A$2:A$538,"&lt;"&amp;DATE(YEAR(TODAY()),MONTH(TODAY())+1,1),B$2:B$538,$B$598),"")</f>
        <v/>
      </c>
      <c r="D598" s="10">
        <f>IFERROR(AVERAGEIFS(D$2:D$538,A$2:A$538,"&gt;="&amp;DATE(YEAR(TODAY()),MONTH(TODAY()),1),A$2:A$538,"&lt;"&amp;DATE(YEAR(TODAY()),MONTH(TODAY())+1,1),B$2:B$538,$B$598),"")</f>
        <v/>
      </c>
      <c r="E598" s="10">
        <f>IFERROR(AVERAGEIFS(E$2:E$538,A$2:A$538,"&gt;="&amp;DATE(YEAR(TODAY()),MONTH(TODAY()),1),A$2:A$538,"&lt;"&amp;DATE(YEAR(TODAY()),MONTH(TODAY())+1,1),B$2:B$538,$B$598),"")</f>
        <v/>
      </c>
      <c r="F598" s="11">
        <f>IFERROR(SUMPRODUCT((YEAR(A$2:A$538)=YEAR(TODAY()))*(MONTH(A$2:A$538)=MONTH(TODAY()))*(B$2:B$538=$B$598)*(F$2:F$538),"")</f>
        <v/>
      </c>
    </row>
    <row r="599">
      <c r="B599" s="2" t="inlineStr">
        <is>
          <t>电池级金属锂</t>
        </is>
      </c>
      <c r="C599" s="10">
        <f>IFERROR(AVERAGEIFS(C$2:C$538,A$2:A$538,"&gt;="&amp;DATE(YEAR(TODAY()),MONTH(TODAY()),1),A$2:A$538,"&lt;"&amp;DATE(YEAR(TODAY()),MONTH(TODAY())+1,1),B$2:B$538,$B$599),"")</f>
        <v/>
      </c>
      <c r="D599" s="10">
        <f>IFERROR(AVERAGEIFS(D$2:D$538,A$2:A$538,"&gt;="&amp;DATE(YEAR(TODAY()),MONTH(TODAY()),1),A$2:A$538,"&lt;"&amp;DATE(YEAR(TODAY()),MONTH(TODAY())+1,1),B$2:B$538,$B$599),"")</f>
        <v/>
      </c>
      <c r="E599" s="10">
        <f>IFERROR(AVERAGEIFS(E$2:E$538,A$2:A$538,"&gt;="&amp;DATE(YEAR(TODAY()),MONTH(TODAY()),1),A$2:A$538,"&lt;"&amp;DATE(YEAR(TODAY()),MONTH(TODAY())+1,1),B$2:B$538,$B$599),"")</f>
        <v/>
      </c>
      <c r="F599" s="11">
        <f>IFERROR(SUMPRODUCT((YEAR(A$2:A$538)=YEAR(TODAY()))*(MONTH(A$2:A$538)=MONTH(TODAY()))*(B$2:B$538=$B$599)*(F$2:F$538),"")</f>
        <v/>
      </c>
    </row>
    <row r="600">
      <c r="B600" s="2" t="inlineStr">
        <is>
          <t>电解钴</t>
        </is>
      </c>
      <c r="C600" s="10">
        <f>IFERROR(AVERAGEIFS(C$2:C$538,A$2:A$538,"&gt;="&amp;DATE(YEAR(TODAY()),MONTH(TODAY()),1),A$2:A$538,"&lt;"&amp;DATE(YEAR(TODAY()),MONTH(TODAY())+1,1),B$2:B$538,$B$600),"")</f>
        <v/>
      </c>
      <c r="D600" s="10">
        <f>IFERROR(AVERAGEIFS(D$2:D$538,A$2:A$538,"&gt;="&amp;DATE(YEAR(TODAY()),MONTH(TODAY()),1),A$2:A$538,"&lt;"&amp;DATE(YEAR(TODAY()),MONTH(TODAY())+1,1),B$2:B$538,$B$600),"")</f>
        <v/>
      </c>
      <c r="E600" s="10">
        <f>IFERROR(AVERAGEIFS(E$2:E$538,A$2:A$538,"&gt;="&amp;DATE(YEAR(TODAY()),MONTH(TODAY()),1),A$2:A$538,"&lt;"&amp;DATE(YEAR(TODAY()),MONTH(TODAY())+1,1),B$2:B$538,$B$600),"")</f>
        <v/>
      </c>
      <c r="F600" s="11">
        <f>IFERROR(SUMPRODUCT((YEAR(A$2:A$538)=YEAR(TODAY()))*(MONTH(A$2:A$538)=MONTH(TODAY()))*(B$2:B$538=$B$600)*(F$2:F$538),"")</f>
        <v/>
      </c>
    </row>
    <row r="601">
      <c r="B601" s="2" t="inlineStr">
        <is>
          <t>电解钴（鹿特丹仓库）</t>
        </is>
      </c>
      <c r="C601" s="10">
        <f>IFERROR(AVERAGEIFS(C$2:C$538,A$2:A$538,"&gt;="&amp;DATE(YEAR(TODAY()),MONTH(TODAY()),1),A$2:A$538,"&lt;"&amp;DATE(YEAR(TODAY()),MONTH(TODAY())+1,1),B$2:B$538,$B$601),"")</f>
        <v/>
      </c>
      <c r="D601" s="10">
        <f>IFERROR(AVERAGEIFS(D$2:D$538,A$2:A$538,"&gt;="&amp;DATE(YEAR(TODAY()),MONTH(TODAY()),1),A$2:A$538,"&lt;"&amp;DATE(YEAR(TODAY()),MONTH(TODAY())+1,1),B$2:B$538,$B$601),"")</f>
        <v/>
      </c>
      <c r="E601" s="10">
        <f>IFERROR(AVERAGEIFS(E$2:E$538,A$2:A$538,"&gt;="&amp;DATE(YEAR(TODAY()),MONTH(TODAY()),1),A$2:A$538,"&lt;"&amp;DATE(YEAR(TODAY()),MONTH(TODAY())+1,1),B$2:B$538,$B$601),"")</f>
        <v/>
      </c>
      <c r="F601" s="11">
        <f>IFERROR(SUMPRODUCT((YEAR(A$2:A$538)=YEAR(TODAY()))*(MONTH(A$2:A$538)=MONTH(TODAY()))*(B$2:B$538=$B$601)*(F$2:F$538),"")</f>
        <v/>
      </c>
    </row>
    <row r="602">
      <c r="B602" s="2" t="inlineStr">
        <is>
          <t>电镀级硫酸镍</t>
        </is>
      </c>
      <c r="C602" s="10">
        <f>IFERROR(AVERAGEIFS(C$2:C$538,A$2:A$538,"&gt;="&amp;DATE(YEAR(TODAY()),MONTH(TODAY()),1),A$2:A$538,"&lt;"&amp;DATE(YEAR(TODAY()),MONTH(TODAY())+1,1),B$2:B$538,$B$602),"")</f>
        <v/>
      </c>
      <c r="D602" s="10">
        <f>IFERROR(AVERAGEIFS(D$2:D$538,A$2:A$538,"&gt;="&amp;DATE(YEAR(TODAY()),MONTH(TODAY()),1),A$2:A$538,"&lt;"&amp;DATE(YEAR(TODAY()),MONTH(TODAY())+1,1),B$2:B$538,$B$602),"")</f>
        <v/>
      </c>
      <c r="E602" s="10">
        <f>IFERROR(AVERAGEIFS(E$2:E$538,A$2:A$538,"&gt;="&amp;DATE(YEAR(TODAY()),MONTH(TODAY()),1),A$2:A$538,"&lt;"&amp;DATE(YEAR(TODAY()),MONTH(TODAY())+1,1),B$2:B$538,$B$602),"")</f>
        <v/>
      </c>
      <c r="F602" s="11">
        <f>IFERROR(SUMPRODUCT((YEAR(A$2:A$538)=YEAR(TODAY()))*(MONTH(A$2:A$538)=MONTH(TODAY()))*(B$2:B$538=$B$602)*(F$2:F$538),"")</f>
        <v/>
      </c>
    </row>
    <row r="603">
      <c r="B603" s="2" t="inlineStr">
        <is>
          <t>硫酸钴</t>
        </is>
      </c>
      <c r="C603" s="10">
        <f>IFERROR(AVERAGEIFS(C$2:C$538,A$2:A$538,"&gt;="&amp;DATE(YEAR(TODAY()),MONTH(TODAY()),1),A$2:A$538,"&lt;"&amp;DATE(YEAR(TODAY()),MONTH(TODAY())+1,1),B$2:B$538,$B$603),"")</f>
        <v/>
      </c>
      <c r="D603" s="10">
        <f>IFERROR(AVERAGEIFS(D$2:D$538,A$2:A$538,"&gt;="&amp;DATE(YEAR(TODAY()),MONTH(TODAY()),1),A$2:A$538,"&lt;"&amp;DATE(YEAR(TODAY()),MONTH(TODAY())+1,1),B$2:B$538,$B$603),"")</f>
        <v/>
      </c>
      <c r="E603" s="10">
        <f>IFERROR(AVERAGEIFS(E$2:E$538,A$2:A$538,"&gt;="&amp;DATE(YEAR(TODAY()),MONTH(TODAY()),1),A$2:A$538,"&lt;"&amp;DATE(YEAR(TODAY()),MONTH(TODAY())+1,1),B$2:B$538,$B$603),"")</f>
        <v/>
      </c>
      <c r="F603" s="11">
        <f>IFERROR(SUMPRODUCT((YEAR(A$2:A$538)=YEAR(TODAY()))*(MONTH(A$2:A$538)=MONTH(TODAY()))*(B$2:B$538=$B$603)*(F$2:F$538),"")</f>
        <v/>
      </c>
    </row>
    <row r="604">
      <c r="B604" s="2" t="inlineStr">
        <is>
          <t>碳酸钴</t>
        </is>
      </c>
      <c r="C604" s="10">
        <f>IFERROR(AVERAGEIFS(C$2:C$538,A$2:A$538,"&gt;="&amp;DATE(YEAR(TODAY()),MONTH(TODAY()),1),A$2:A$538,"&lt;"&amp;DATE(YEAR(TODAY()),MONTH(TODAY())+1,1),B$2:B$538,$B$604),"")</f>
        <v/>
      </c>
      <c r="D604" s="10">
        <f>IFERROR(AVERAGEIFS(D$2:D$538,A$2:A$538,"&gt;="&amp;DATE(YEAR(TODAY()),MONTH(TODAY()),1),A$2:A$538,"&lt;"&amp;DATE(YEAR(TODAY()),MONTH(TODAY())+1,1),B$2:B$538,$B$604),"")</f>
        <v/>
      </c>
      <c r="E604" s="10">
        <f>IFERROR(AVERAGEIFS(E$2:E$538,A$2:A$538,"&gt;="&amp;DATE(YEAR(TODAY()),MONTH(TODAY()),1),A$2:A$538,"&lt;"&amp;DATE(YEAR(TODAY()),MONTH(TODAY())+1,1),B$2:B$538,$B$604),"")</f>
        <v/>
      </c>
      <c r="F604" s="11">
        <f>IFERROR(SUMPRODUCT((YEAR(A$2:A$538)=YEAR(TODAY()))*(MONTH(A$2:A$538)=MONTH(TODAY()))*(B$2:B$538=$B$604)*(F$2:F$538),"")</f>
        <v/>
      </c>
    </row>
    <row r="605">
      <c r="B605" s="2" t="inlineStr">
        <is>
          <t>磷酸铁锂</t>
        </is>
      </c>
      <c r="C605" s="10">
        <f>IFERROR(AVERAGEIFS(C$2:C$538,A$2:A$538,"&gt;="&amp;DATE(YEAR(TODAY()),MONTH(TODAY()),1),A$2:A$538,"&lt;"&amp;DATE(YEAR(TODAY()),MONTH(TODAY())+1,1),B$2:B$538,$B$605),"")</f>
        <v/>
      </c>
      <c r="D605" s="10">
        <f>IFERROR(AVERAGEIFS(D$2:D$538,A$2:A$538,"&gt;="&amp;DATE(YEAR(TODAY()),MONTH(TODAY()),1),A$2:A$538,"&lt;"&amp;DATE(YEAR(TODAY()),MONTH(TODAY())+1,1),B$2:B$538,$B$605),"")</f>
        <v/>
      </c>
      <c r="E605" s="10">
        <f>IFERROR(AVERAGEIFS(E$2:E$538,A$2:A$538,"&gt;="&amp;DATE(YEAR(TODAY()),MONTH(TODAY()),1),A$2:A$538,"&lt;"&amp;DATE(YEAR(TODAY()),MONTH(TODAY())+1,1),B$2:B$538,$B$605),"")</f>
        <v/>
      </c>
      <c r="F605" s="11">
        <f>IFERROR(SUMPRODUCT((YEAR(A$2:A$538)=YEAR(TODAY()))*(MONTH(A$2:A$538)=MONTH(TODAY()))*(B$2:B$538=$B$605)*(F$2:F$538),"")</f>
        <v/>
      </c>
    </row>
    <row r="606">
      <c r="B606" s="2" t="inlineStr">
        <is>
          <t>磷酸锰铁锂</t>
        </is>
      </c>
      <c r="C606" s="10">
        <f>IFERROR(AVERAGEIFS(C$2:C$538,A$2:A$538,"&gt;="&amp;DATE(YEAR(TODAY()),MONTH(TODAY()),1),A$2:A$538,"&lt;"&amp;DATE(YEAR(TODAY()),MONTH(TODAY())+1,1),B$2:B$538,$B$606),"")</f>
        <v/>
      </c>
      <c r="D606" s="10">
        <f>IFERROR(AVERAGEIFS(D$2:D$538,A$2:A$538,"&gt;="&amp;DATE(YEAR(TODAY()),MONTH(TODAY()),1),A$2:A$538,"&lt;"&amp;DATE(YEAR(TODAY()),MONTH(TODAY())+1,1),B$2:B$538,$B$606),"")</f>
        <v/>
      </c>
      <c r="E606" s="10">
        <f>IFERROR(AVERAGEIFS(E$2:E$538,A$2:A$538,"&gt;="&amp;DATE(YEAR(TODAY()),MONTH(TODAY()),1),A$2:A$538,"&lt;"&amp;DATE(YEAR(TODAY()),MONTH(TODAY())+1,1),B$2:B$538,$B$606),"")</f>
        <v/>
      </c>
      <c r="F606" s="11">
        <f>IFERROR(SUMPRODUCT((YEAR(A$2:A$538)=YEAR(TODAY()))*(MONTH(A$2:A$538)=MONTH(TODAY()))*(B$2:B$538=$B$606)*(F$2:F$538),"")</f>
        <v/>
      </c>
    </row>
    <row r="607">
      <c r="B607" s="2" t="inlineStr">
        <is>
          <t>金属钴FOB</t>
        </is>
      </c>
      <c r="C607" s="10">
        <f>IFERROR(AVERAGEIFS(C$2:C$538,A$2:A$538,"&gt;="&amp;DATE(YEAR(TODAY()),MONTH(TODAY()),1),A$2:A$538,"&lt;"&amp;DATE(YEAR(TODAY()),MONTH(TODAY())+1,1),B$2:B$538,$B$607),"")</f>
        <v/>
      </c>
      <c r="D607" s="10">
        <f>IFERROR(AVERAGEIFS(D$2:D$538,A$2:A$538,"&gt;="&amp;DATE(YEAR(TODAY()),MONTH(TODAY()),1),A$2:A$538,"&lt;"&amp;DATE(YEAR(TODAY()),MONTH(TODAY())+1,1),B$2:B$538,$B$607),"")</f>
        <v/>
      </c>
      <c r="E607" s="10">
        <f>IFERROR(AVERAGEIFS(E$2:E$538,A$2:A$538,"&gt;="&amp;DATE(YEAR(TODAY()),MONTH(TODAY()),1),A$2:A$538,"&lt;"&amp;DATE(YEAR(TODAY()),MONTH(TODAY())+1,1),B$2:B$538,$B$607),"")</f>
        <v/>
      </c>
      <c r="F607" s="11">
        <f>IFERROR(SUMPRODUCT((YEAR(A$2:A$538)=YEAR(TODAY()))*(MONTH(A$2:A$538)=MONTH(TODAY()))*(B$2:B$538=$B$607)*(F$2:F$538),"")</f>
        <v/>
      </c>
    </row>
    <row r="608">
      <c r="B608" s="2" t="inlineStr">
        <is>
          <t>钴中间品中钴含量≥30%</t>
        </is>
      </c>
      <c r="C608" s="10">
        <f>IFERROR(AVERAGEIFS(C$2:C$538,A$2:A$538,"&gt;="&amp;DATE(YEAR(TODAY()),MONTH(TODAY()),1),A$2:A$538,"&lt;"&amp;DATE(YEAR(TODAY()),MONTH(TODAY())+1,1),B$2:B$538,$B$608),"")</f>
        <v/>
      </c>
      <c r="D608" s="10">
        <f>IFERROR(AVERAGEIFS(D$2:D$538,A$2:A$538,"&gt;="&amp;DATE(YEAR(TODAY()),MONTH(TODAY()),1),A$2:A$538,"&lt;"&amp;DATE(YEAR(TODAY()),MONTH(TODAY())+1,1),B$2:B$538,$B$608),"")</f>
        <v/>
      </c>
      <c r="E608" s="10">
        <f>IFERROR(AVERAGEIFS(E$2:E$538,A$2:A$538,"&gt;="&amp;DATE(YEAR(TODAY()),MONTH(TODAY()),1),A$2:A$538,"&lt;"&amp;DATE(YEAR(TODAY()),MONTH(TODAY())+1,1),B$2:B$538,$B$608),"")</f>
        <v/>
      </c>
      <c r="F608" s="11">
        <f>IFERROR(SUMPRODUCT((YEAR(A$2:A$538)=YEAR(TODAY()))*(MONTH(A$2:A$538)=MONTH(TODAY()))*(B$2:B$538=$B$608)*(F$2:F$538),"")</f>
        <v/>
      </c>
    </row>
    <row r="609">
      <c r="B609" s="2" t="inlineStr">
        <is>
          <t>钴中间品原料计价系数（对SMM硫酸钴均价）</t>
        </is>
      </c>
      <c r="C609" s="10">
        <f>IFERROR(AVERAGEIFS(C$2:C$538,A$2:A$538,"&gt;="&amp;DATE(YEAR(TODAY()),MONTH(TODAY()),1),A$2:A$538,"&lt;"&amp;DATE(YEAR(TODAY()),MONTH(TODAY())+1,1),B$2:B$538,$B$609),"")</f>
        <v/>
      </c>
      <c r="D609" s="10">
        <f>IFERROR(AVERAGEIFS(D$2:D$538,A$2:A$538,"&gt;="&amp;DATE(YEAR(TODAY()),MONTH(TODAY()),1),A$2:A$538,"&lt;"&amp;DATE(YEAR(TODAY()),MONTH(TODAY())+1,1),B$2:B$538,$B$609),"")</f>
        <v/>
      </c>
      <c r="E609" s="10">
        <f>IFERROR(AVERAGEIFS(E$2:E$538,A$2:A$538,"&gt;="&amp;DATE(YEAR(TODAY()),MONTH(TODAY()),1),A$2:A$538,"&lt;"&amp;DATE(YEAR(TODAY()),MONTH(TODAY())+1,1),B$2:B$538,$B$609),"")</f>
        <v/>
      </c>
      <c r="F609" s="11">
        <f>IFERROR(SUMPRODUCT((YEAR(A$2:A$538)=YEAR(TODAY()))*(MONTH(A$2:A$538)=MONTH(TODAY()))*(B$2:B$538=$B$609)*(F$2:F$538),"")</f>
        <v/>
      </c>
    </row>
    <row r="610">
      <c r="B610" s="2" t="inlineStr">
        <is>
          <t>钴酸锂</t>
        </is>
      </c>
      <c r="C610" s="10">
        <f>IFERROR(AVERAGEIFS(C$2:C$538,A$2:A$538,"&gt;="&amp;DATE(YEAR(TODAY()),MONTH(TODAY()),1),A$2:A$538,"&lt;"&amp;DATE(YEAR(TODAY()),MONTH(TODAY())+1,1),B$2:B$538,$B$610),"")</f>
        <v/>
      </c>
      <c r="D610" s="10">
        <f>IFERROR(AVERAGEIFS(D$2:D$538,A$2:A$538,"&gt;="&amp;DATE(YEAR(TODAY()),MONTH(TODAY()),1),A$2:A$538,"&lt;"&amp;DATE(YEAR(TODAY()),MONTH(TODAY())+1,1),B$2:B$538,$B$610),"")</f>
        <v/>
      </c>
      <c r="E610" s="10">
        <f>IFERROR(AVERAGEIFS(E$2:E$538,A$2:A$538,"&gt;="&amp;DATE(YEAR(TODAY()),MONTH(TODAY()),1),A$2:A$538,"&lt;"&amp;DATE(YEAR(TODAY()),MONTH(TODAY())+1,1),B$2:B$538,$B$610),"")</f>
        <v/>
      </c>
      <c r="F610" s="11">
        <f>IFERROR(SUMPRODUCT((YEAR(A$2:A$538)=YEAR(TODAY()))*(MONTH(A$2:A$538)=MONTH(TODAY()))*(B$2:B$538=$B$610)*(F$2:F$538),"")</f>
        <v/>
      </c>
    </row>
    <row r="611">
      <c r="B611" s="2" t="inlineStr">
        <is>
          <t>钴酸锂聚合物软包</t>
        </is>
      </c>
      <c r="C611" s="10">
        <f>IFERROR(AVERAGEIFS(C$2:C$538,A$2:A$538,"&gt;="&amp;DATE(YEAR(TODAY()),MONTH(TODAY()),1),A$2:A$538,"&lt;"&amp;DATE(YEAR(TODAY()),MONTH(TODAY())+1,1),B$2:B$538,$B$611),"")</f>
        <v/>
      </c>
      <c r="D611" s="10">
        <f>IFERROR(AVERAGEIFS(D$2:D$538,A$2:A$538,"&gt;="&amp;DATE(YEAR(TODAY()),MONTH(TODAY()),1),A$2:A$538,"&lt;"&amp;DATE(YEAR(TODAY()),MONTH(TODAY())+1,1),B$2:B$538,$B$611),"")</f>
        <v/>
      </c>
      <c r="E611" s="10">
        <f>IFERROR(AVERAGEIFS(E$2:E$538,A$2:A$538,"&gt;="&amp;DATE(YEAR(TODAY()),MONTH(TODAY()),1),A$2:A$538,"&lt;"&amp;DATE(YEAR(TODAY()),MONTH(TODAY())+1,1),B$2:B$538,$B$611),"")</f>
        <v/>
      </c>
      <c r="F611" s="11">
        <f>IFERROR(SUMPRODUCT((YEAR(A$2:A$538)=YEAR(TODAY()))*(MONTH(A$2:A$538)=MONTH(TODAY()))*(B$2:B$538=$B$611)*(F$2:F$538),"")</f>
        <v/>
      </c>
    </row>
    <row r="612">
      <c r="B612" s="2" t="inlineStr">
        <is>
          <t>钴酸锂铝壳</t>
        </is>
      </c>
      <c r="C612" s="10">
        <f>IFERROR(AVERAGEIFS(C$2:C$538,A$2:A$538,"&gt;="&amp;DATE(YEAR(TODAY()),MONTH(TODAY()),1),A$2:A$538,"&lt;"&amp;DATE(YEAR(TODAY()),MONTH(TODAY())+1,1),B$2:B$538,$B$612),"")</f>
        <v/>
      </c>
      <c r="D612" s="10">
        <f>IFERROR(AVERAGEIFS(D$2:D$538,A$2:A$538,"&gt;="&amp;DATE(YEAR(TODAY()),MONTH(TODAY()),1),A$2:A$538,"&lt;"&amp;DATE(YEAR(TODAY()),MONTH(TODAY())+1,1),B$2:B$538,$B$612),"")</f>
        <v/>
      </c>
      <c r="E612" s="10">
        <f>IFERROR(AVERAGEIFS(E$2:E$538,A$2:A$538,"&gt;="&amp;DATE(YEAR(TODAY()),MONTH(TODAY()),1),A$2:A$538,"&lt;"&amp;DATE(YEAR(TODAY()),MONTH(TODAY())+1,1),B$2:B$538,$B$612),"")</f>
        <v/>
      </c>
      <c r="F612" s="11">
        <f>IFERROR(SUMPRODUCT((YEAR(A$2:A$538)=YEAR(TODAY()))*(MONTH(A$2:A$538)=MONTH(TODAY()))*(B$2:B$538=$B$612)*(F$2:F$538),"")</f>
        <v/>
      </c>
    </row>
    <row r="613">
      <c r="B613" s="2" t="inlineStr">
        <is>
          <t>锰酸锂圆柱钢壳</t>
        </is>
      </c>
      <c r="C613" s="10">
        <f>IFERROR(AVERAGEIFS(C$2:C$538,A$2:A$538,"&gt;="&amp;DATE(YEAR(TODAY()),MONTH(TODAY()),1),A$2:A$538,"&lt;"&amp;DATE(YEAR(TODAY()),MONTH(TODAY())+1,1),B$2:B$538,$B$613),"")</f>
        <v/>
      </c>
      <c r="D613" s="10">
        <f>IFERROR(AVERAGEIFS(D$2:D$538,A$2:A$538,"&gt;="&amp;DATE(YEAR(TODAY()),MONTH(TODAY()),1),A$2:A$538,"&lt;"&amp;DATE(YEAR(TODAY()),MONTH(TODAY())+1,1),B$2:B$538,$B$613),"")</f>
        <v/>
      </c>
      <c r="E613" s="10">
        <f>IFERROR(AVERAGEIFS(E$2:E$538,A$2:A$538,"&gt;="&amp;DATE(YEAR(TODAY()),MONTH(TODAY()),1),A$2:A$538,"&lt;"&amp;DATE(YEAR(TODAY()),MONTH(TODAY())+1,1),B$2:B$538,$B$613),"")</f>
        <v/>
      </c>
      <c r="F613" s="11">
        <f>IFERROR(SUMPRODUCT((YEAR(A$2:A$538)=YEAR(TODAY()))*(MONTH(A$2:A$538)=MONTH(TODAY()))*(B$2:B$538=$B$613)*(F$2:F$538),"")</f>
        <v/>
      </c>
    </row>
    <row r="614">
      <c r="B614" s="2" t="inlineStr">
        <is>
          <t>非洲硫酸锂(CIF中国)</t>
        </is>
      </c>
      <c r="C614" s="10">
        <f>IFERROR(AVERAGEIFS(C$2:C$538,A$2:A$538,"&gt;="&amp;DATE(YEAR(TODAY()),MONTH(TODAY()),1),A$2:A$538,"&lt;"&amp;DATE(YEAR(TODAY()),MONTH(TODAY())+1,1),B$2:B$538,$B$614),"")</f>
        <v/>
      </c>
      <c r="D614" s="10">
        <f>IFERROR(AVERAGEIFS(D$2:D$538,A$2:A$538,"&gt;="&amp;DATE(YEAR(TODAY()),MONTH(TODAY()),1),A$2:A$538,"&lt;"&amp;DATE(YEAR(TODAY()),MONTH(TODAY())+1,1),B$2:B$538,$B$614),"")</f>
        <v/>
      </c>
      <c r="E614" s="10">
        <f>IFERROR(AVERAGEIFS(E$2:E$538,A$2:A$538,"&gt;="&amp;DATE(YEAR(TODAY()),MONTH(TODAY()),1),A$2:A$538,"&lt;"&amp;DATE(YEAR(TODAY()),MONTH(TODAY())+1,1),B$2:B$538,$B$614),"")</f>
        <v/>
      </c>
      <c r="F614" s="11">
        <f>IFERROR(SUMPRODUCT((YEAR(A$2:A$538)=YEAR(TODAY()))*(MONTH(A$2:A$538)=MONTH(TODAY()))*(B$2:B$538=$B$614)*(F$2:F$538),"")</f>
        <v/>
      </c>
    </row>
    <row r="615">
      <c r="B615" s="2" t="inlineStr">
        <is>
          <t>非洲锂辉石精矿（CIF中国）指数</t>
        </is>
      </c>
      <c r="C615" s="10">
        <f>IFERROR(AVERAGEIFS(C$2:C$538,A$2:A$538,"&gt;="&amp;DATE(YEAR(TODAY()),MONTH(TODAY()),1),A$2:A$538,"&lt;"&amp;DATE(YEAR(TODAY()),MONTH(TODAY())+1,1),B$2:B$538,$B$615),"")</f>
        <v/>
      </c>
      <c r="D615" s="10">
        <f>IFERROR(AVERAGEIFS(D$2:D$538,A$2:A$538,"&gt;="&amp;DATE(YEAR(TODAY()),MONTH(TODAY()),1),A$2:A$538,"&lt;"&amp;DATE(YEAR(TODAY()),MONTH(TODAY())+1,1),B$2:B$538,$B$615),"")</f>
        <v/>
      </c>
      <c r="E615" s="10">
        <f>IFERROR(AVERAGEIFS(E$2:E$538,A$2:A$538,"&gt;="&amp;DATE(YEAR(TODAY()),MONTH(TODAY()),1),A$2:A$538,"&lt;"&amp;DATE(YEAR(TODAY()),MONTH(TODAY())+1,1),B$2:B$538,$B$615),"")</f>
        <v/>
      </c>
      <c r="F615" s="11">
        <f>IFERROR(SUMPRODUCT((YEAR(A$2:A$538)=YEAR(TODAY()))*(MONTH(A$2:A$538)=MONTH(TODAY()))*(B$2:B$538=$B$615)*(F$2:F$538),"")</f>
        <v/>
      </c>
    </row>
  </sheetData>
  <autoFilter ref="A1:H538"/>
  <mergeCells count="1">
    <mergeCell ref="A540:H5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160100</v>
      </c>
      <c r="E16" s="4" t="n">
        <v>171800</v>
      </c>
      <c r="F16" s="4" t="n">
        <v>160500</v>
      </c>
      <c r="G16" s="4" t="n">
        <v>160560</v>
      </c>
      <c r="H16" s="4" t="n">
        <v>-12400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6.7609</v>
      </c>
      <c r="E17" s="5" t="n"/>
      <c r="F17" s="6" t="n">
        <v>6.7572</v>
      </c>
      <c r="G17" s="6" t="n">
        <v>6.7564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21.1</v>
      </c>
      <c r="E18" s="5" t="n"/>
      <c r="F18" s="5" t="n"/>
      <c r="G18" s="5" t="n"/>
      <c r="H18" s="6" t="n">
        <v>0.38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0">
      <c r="A20" s="2" t="inlineStr">
        <is>
          <t>2026/06/19</t>
        </is>
      </c>
      <c r="B20" s="2" t="inlineStr">
        <is>
          <t>国内期货</t>
        </is>
      </c>
      <c r="C20" s="2" t="inlineStr">
        <is>
          <t>沪镍(NI)连续</t>
        </is>
      </c>
      <c r="D20" s="4" t="n">
        <v>131640</v>
      </c>
      <c r="E20" s="4" t="n">
        <v>133550</v>
      </c>
      <c r="F20" s="4" t="n">
        <v>133980</v>
      </c>
      <c r="G20" s="4" t="n">
        <v>131780</v>
      </c>
      <c r="H20" s="4" t="n">
        <v>-1850</v>
      </c>
      <c r="I20" s="5" t="inlineStr">
        <is>
          <t>元/吨</t>
        </is>
      </c>
      <c r="J20" s="5" t="inlineStr">
        <is>
          <t>上期所</t>
        </is>
      </c>
    </row>
    <row r="21">
      <c r="A21" s="2" t="inlineStr">
        <is>
          <t>2026/06/19</t>
        </is>
      </c>
      <c r="B21" s="2" t="inlineStr">
        <is>
          <t>国内期货</t>
        </is>
      </c>
      <c r="C21" s="2" t="inlineStr">
        <is>
          <t>碳酸锂(LC)连续</t>
        </is>
      </c>
      <c r="D21" s="4" t="n">
        <v>160100</v>
      </c>
      <c r="E21" s="4" t="n">
        <v>171800</v>
      </c>
      <c r="F21" s="4" t="n">
        <v>160500</v>
      </c>
      <c r="G21" s="4" t="n">
        <v>160560</v>
      </c>
      <c r="H21" s="4" t="n">
        <v>-12400</v>
      </c>
      <c r="I21" s="5" t="inlineStr">
        <is>
          <t>元/吨</t>
        </is>
      </c>
      <c r="J21" s="5" t="inlineStr">
        <is>
          <t>广期所</t>
        </is>
      </c>
    </row>
    <row r="22">
      <c r="A22" s="2" t="inlineStr">
        <is>
          <t>2026/06/19</t>
        </is>
      </c>
      <c r="B22" s="2" t="inlineStr">
        <is>
          <t>国内期货</t>
        </is>
      </c>
      <c r="C22" s="2" t="inlineStr">
        <is>
          <t>美元/人民币(USDCNY)</t>
        </is>
      </c>
      <c r="D22" s="6" t="n">
        <v>6.7682</v>
      </c>
      <c r="E22" s="5" t="n"/>
      <c r="F22" s="6" t="n">
        <v>6.7681</v>
      </c>
      <c r="G22" s="6" t="n">
        <v>6.7598</v>
      </c>
      <c r="H22" s="5" t="n"/>
      <c r="I22" s="5" t="inlineStr">
        <is>
          <t>人民币</t>
        </is>
      </c>
      <c r="J22" s="5" t="inlineStr">
        <is>
          <t>新浪财经</t>
        </is>
      </c>
    </row>
    <row r="23">
      <c r="A23" s="2" t="inlineStr">
        <is>
          <t>2026/06/19</t>
        </is>
      </c>
      <c r="B23" s="2" t="inlineStr">
        <is>
          <t>国际期货</t>
        </is>
      </c>
      <c r="C23" s="2" t="inlineStr">
        <is>
          <t>CME氢氧化锂</t>
        </is>
      </c>
      <c r="D23" s="6" t="n">
        <v>21.1</v>
      </c>
      <c r="E23" s="5" t="n"/>
      <c r="F23" s="5" t="n"/>
      <c r="G23" s="5" t="n"/>
      <c r="H23" s="6" t="n">
        <v>1.03</v>
      </c>
      <c r="I23" s="5" t="inlineStr">
        <is>
          <t>USD</t>
        </is>
      </c>
      <c r="J23" s="5" t="inlineStr">
        <is>
          <t>Yahoo Finance</t>
        </is>
      </c>
    </row>
    <row r="24">
      <c r="A24" s="2" t="inlineStr">
        <is>
          <t>2026/06/19</t>
        </is>
      </c>
      <c r="B24" s="2" t="inlineStr">
        <is>
          <t>国际期货</t>
        </is>
      </c>
      <c r="C24" s="2" t="inlineStr">
        <is>
          <t>CME钴</t>
        </is>
      </c>
      <c r="D24" s="6" t="n">
        <v>25.1</v>
      </c>
      <c r="E24" s="5" t="n"/>
      <c r="F24" s="5" t="n"/>
      <c r="G24" s="5" t="n"/>
      <c r="H24" s="4" t="n">
        <v>0</v>
      </c>
      <c r="I24" s="5" t="inlineStr">
        <is>
          <t>USD</t>
        </is>
      </c>
      <c r="J24" s="5" t="inlineStr">
        <is>
          <t>Yahoo Finance</t>
        </is>
      </c>
    </row>
    <row r="25">
      <c r="A25" s="2" t="inlineStr">
        <is>
          <t>2026/06/22</t>
        </is>
      </c>
      <c r="B25" s="2" t="inlineStr">
        <is>
          <t>国内期货</t>
        </is>
      </c>
      <c r="C25" s="2" t="inlineStr">
        <is>
          <t>沪镍(NI)连续</t>
        </is>
      </c>
      <c r="D25" s="4" t="n">
        <v>131640</v>
      </c>
      <c r="E25" s="4" t="n">
        <v>133550</v>
      </c>
      <c r="F25" s="4" t="n">
        <v>133980</v>
      </c>
      <c r="G25" s="4" t="n">
        <v>131780</v>
      </c>
      <c r="H25" s="4" t="n">
        <v>-1850</v>
      </c>
      <c r="I25" s="5" t="inlineStr">
        <is>
          <t>元/吨</t>
        </is>
      </c>
      <c r="J25" s="5" t="inlineStr">
        <is>
          <t>上期所</t>
        </is>
      </c>
    </row>
    <row r="26">
      <c r="A26" s="2" t="inlineStr">
        <is>
          <t>2026/06/22</t>
        </is>
      </c>
      <c r="B26" s="2" t="inlineStr">
        <is>
          <t>国内期货</t>
        </is>
      </c>
      <c r="C26" s="2" t="inlineStr">
        <is>
          <t>碳酸锂(LC)连续</t>
        </is>
      </c>
      <c r="D26" s="4" t="n">
        <v>150860</v>
      </c>
      <c r="E26" s="4" t="n">
        <v>165680</v>
      </c>
      <c r="F26" s="4" t="n">
        <v>161740</v>
      </c>
      <c r="G26" s="4" t="n">
        <v>161700</v>
      </c>
      <c r="H26" s="4" t="n">
        <v>-10940</v>
      </c>
      <c r="I26" s="5" t="inlineStr">
        <is>
          <t>元/吨</t>
        </is>
      </c>
      <c r="J26" s="5" t="inlineStr">
        <is>
          <t>广期所</t>
        </is>
      </c>
    </row>
    <row r="27">
      <c r="A27" s="2" t="inlineStr">
        <is>
          <t>2026/06/22</t>
        </is>
      </c>
      <c r="B27" s="2" t="inlineStr">
        <is>
          <t>国内期货</t>
        </is>
      </c>
      <c r="C27" s="2" t="inlineStr">
        <is>
          <t>美元/人民币(USDCNY)</t>
        </is>
      </c>
      <c r="D27" s="6" t="n">
        <v>6.7743</v>
      </c>
      <c r="E27" s="5" t="n"/>
      <c r="F27" s="6" t="n">
        <v>6.7681</v>
      </c>
      <c r="G27" s="6" t="n">
        <v>6.759</v>
      </c>
      <c r="H27" s="5" t="n"/>
      <c r="I27" s="5" t="inlineStr">
        <is>
          <t>人民币</t>
        </is>
      </c>
      <c r="J27" s="5" t="inlineStr">
        <is>
          <t>新浪财经</t>
        </is>
      </c>
    </row>
    <row r="28">
      <c r="A28" s="2" t="inlineStr">
        <is>
          <t>2026/06/22</t>
        </is>
      </c>
      <c r="B28" s="2" t="inlineStr">
        <is>
          <t>国际期货</t>
        </is>
      </c>
      <c r="C28" s="2" t="inlineStr">
        <is>
          <t>CME氢氧化锂</t>
        </is>
      </c>
      <c r="D28" s="6" t="n">
        <v>21.1</v>
      </c>
      <c r="E28" s="5" t="n"/>
      <c r="F28" s="5" t="n"/>
      <c r="G28" s="5" t="n"/>
      <c r="H28" s="6" t="n">
        <v>1.03</v>
      </c>
      <c r="I28" s="5" t="inlineStr">
        <is>
          <t>USD</t>
        </is>
      </c>
      <c r="J28" s="5" t="inlineStr">
        <is>
          <t>Yahoo Finance</t>
        </is>
      </c>
    </row>
    <row r="29">
      <c r="A29" s="2" t="inlineStr">
        <is>
          <t>2026/06/22</t>
        </is>
      </c>
      <c r="B29" s="2" t="inlineStr">
        <is>
          <t>国际期货</t>
        </is>
      </c>
      <c r="C29" s="2" t="inlineStr">
        <is>
          <t>CME钴</t>
        </is>
      </c>
      <c r="D29" s="6" t="n">
        <v>25.1</v>
      </c>
      <c r="E29" s="5" t="n"/>
      <c r="F29" s="5" t="n"/>
      <c r="G29" s="5" t="n"/>
      <c r="H29" s="4" t="n">
        <v>0</v>
      </c>
      <c r="I29" s="5" t="inlineStr">
        <is>
          <t>USD</t>
        </is>
      </c>
      <c r="J29" s="5" t="inlineStr">
        <is>
          <t>Yahoo Finance</t>
        </is>
      </c>
    </row>
    <row r="30">
      <c r="A30" s="2" t="inlineStr">
        <is>
          <t>2026/06/24</t>
        </is>
      </c>
      <c r="B30" s="2" t="inlineStr">
        <is>
          <t>国内期货</t>
        </is>
      </c>
      <c r="C30" s="2" t="inlineStr">
        <is>
          <t>沪镍(NI)连续</t>
        </is>
      </c>
      <c r="D30" s="4" t="n">
        <v>130690</v>
      </c>
      <c r="E30" s="4" t="n">
        <v>134980</v>
      </c>
      <c r="F30" s="4" t="n">
        <v>130700</v>
      </c>
      <c r="G30" s="4" t="n">
        <v>130670</v>
      </c>
      <c r="H30" s="4" t="n">
        <v>-1420</v>
      </c>
      <c r="I30" s="5" t="inlineStr">
        <is>
          <t>元/吨</t>
        </is>
      </c>
      <c r="J30" s="5" t="inlineStr">
        <is>
          <t>上期所</t>
        </is>
      </c>
    </row>
    <row r="31">
      <c r="A31" s="2" t="inlineStr">
        <is>
          <t>2026/06/24</t>
        </is>
      </c>
      <c r="B31" s="2" t="inlineStr">
        <is>
          <t>国内期货</t>
        </is>
      </c>
      <c r="C31" s="2" t="inlineStr">
        <is>
          <t>碳酸锂(LC)连续</t>
        </is>
      </c>
      <c r="D31" s="4" t="n">
        <v>162740</v>
      </c>
      <c r="E31" s="4" t="n">
        <v>156580</v>
      </c>
      <c r="F31" s="4" t="n">
        <v>162740</v>
      </c>
      <c r="G31" s="4" t="n">
        <v>154600</v>
      </c>
      <c r="H31" s="4" t="n">
        <v>6740</v>
      </c>
      <c r="I31" s="5" t="inlineStr">
        <is>
          <t>元/吨</t>
        </is>
      </c>
      <c r="J31" s="5" t="inlineStr">
        <is>
          <t>广期所</t>
        </is>
      </c>
    </row>
    <row r="32">
      <c r="A32" s="2" t="inlineStr">
        <is>
          <t>2026/06/24</t>
        </is>
      </c>
      <c r="B32" s="2" t="inlineStr">
        <is>
          <t>国内期货</t>
        </is>
      </c>
      <c r="C32" s="2" t="inlineStr">
        <is>
          <t>美元/人民币(USDCNY)</t>
        </is>
      </c>
      <c r="D32" s="6" t="n">
        <v>6.8004</v>
      </c>
      <c r="E32" s="5" t="n"/>
      <c r="F32" s="6" t="n">
        <v>6.7844</v>
      </c>
      <c r="G32" s="6" t="n">
        <v>6.7757</v>
      </c>
      <c r="H32" s="5" t="n"/>
      <c r="I32" s="5" t="inlineStr">
        <is>
          <t>人民币</t>
        </is>
      </c>
      <c r="J32" s="5" t="inlineStr">
        <is>
          <t>新浪财经</t>
        </is>
      </c>
    </row>
    <row r="33">
      <c r="A33" s="2" t="inlineStr">
        <is>
          <t>2026/06/24</t>
        </is>
      </c>
      <c r="B33" s="2" t="inlineStr">
        <is>
          <t>国际期货</t>
        </is>
      </c>
      <c r="C33" s="2" t="inlineStr">
        <is>
          <t>CME氢氧化锂</t>
        </is>
      </c>
      <c r="D33" s="6" t="n">
        <v>21.1</v>
      </c>
      <c r="E33" s="5" t="n"/>
      <c r="F33" s="5" t="n"/>
      <c r="G33" s="5" t="n"/>
      <c r="H33" s="6" t="n">
        <v>1.48</v>
      </c>
      <c r="I33" s="5" t="inlineStr">
        <is>
          <t>USD</t>
        </is>
      </c>
      <c r="J33" s="5" t="inlineStr">
        <is>
          <t>Yahoo Finance</t>
        </is>
      </c>
    </row>
    <row r="34">
      <c r="A34" s="2" t="inlineStr">
        <is>
          <t>2026/06/24</t>
        </is>
      </c>
      <c r="B34" s="2" t="inlineStr">
        <is>
          <t>国际期货</t>
        </is>
      </c>
      <c r="C34" s="2" t="inlineStr">
        <is>
          <t>CME钴</t>
        </is>
      </c>
      <c r="D34" s="6" t="n">
        <v>25.1</v>
      </c>
      <c r="E34" s="5" t="n"/>
      <c r="F34" s="5" t="n"/>
      <c r="G34" s="5" t="n"/>
      <c r="H34" s="4" t="n">
        <v>0</v>
      </c>
      <c r="I34" s="5" t="inlineStr">
        <is>
          <t>USD</t>
        </is>
      </c>
      <c r="J34" s="5" t="inlineStr">
        <is>
          <t>Yahoo Finance</t>
        </is>
      </c>
    </row>
    <row r="35">
      <c r="A35" s="2" t="inlineStr">
        <is>
          <t>2026/06/25</t>
        </is>
      </c>
      <c r="B35" s="2" t="inlineStr">
        <is>
          <t>国内期货</t>
        </is>
      </c>
      <c r="C35" s="2" t="inlineStr">
        <is>
          <t>沪镍(NI)连续</t>
        </is>
      </c>
      <c r="D35" s="4" t="n">
        <v>130840</v>
      </c>
      <c r="E35" s="4" t="n">
        <v>132020</v>
      </c>
      <c r="F35" s="4" t="n">
        <v>130860</v>
      </c>
      <c r="G35" s="4" t="n">
        <v>127960</v>
      </c>
      <c r="H35" s="4" t="n">
        <v>1090</v>
      </c>
      <c r="I35" s="5" t="inlineStr">
        <is>
          <t>元/吨</t>
        </is>
      </c>
      <c r="J35" s="5" t="inlineStr">
        <is>
          <t>上期所</t>
        </is>
      </c>
    </row>
    <row r="36">
      <c r="A36" s="2" t="inlineStr">
        <is>
          <t>2026/06/25</t>
        </is>
      </c>
      <c r="B36" s="2" t="inlineStr">
        <is>
          <t>国内期货</t>
        </is>
      </c>
      <c r="C36" s="2" t="inlineStr">
        <is>
          <t>碳酸锂(LC)连续</t>
        </is>
      </c>
      <c r="D36" s="4" t="n">
        <v>150820</v>
      </c>
      <c r="E36" s="4" t="n">
        <v>159680</v>
      </c>
      <c r="F36" s="4" t="n">
        <v>150840</v>
      </c>
      <c r="G36" s="4" t="n">
        <v>150320</v>
      </c>
      <c r="H36" s="4" t="n">
        <v>-9180</v>
      </c>
      <c r="I36" s="5" t="inlineStr">
        <is>
          <t>元/吨</t>
        </is>
      </c>
      <c r="J36" s="5" t="inlineStr">
        <is>
          <t>广期所</t>
        </is>
      </c>
    </row>
    <row r="37">
      <c r="A37" s="2" t="inlineStr">
        <is>
          <t>2026/06/25</t>
        </is>
      </c>
      <c r="B37" s="2" t="inlineStr">
        <is>
          <t>国内期货</t>
        </is>
      </c>
      <c r="C37" s="2" t="inlineStr">
        <is>
          <t>美元/人民币(USDCNY)</t>
        </is>
      </c>
      <c r="D37" s="6" t="n">
        <v>6.7973</v>
      </c>
      <c r="E37" s="5" t="n"/>
      <c r="F37" s="6" t="n">
        <v>6.8101</v>
      </c>
      <c r="G37" s="6" t="n">
        <v>6.7878</v>
      </c>
      <c r="H37" s="5" t="n"/>
      <c r="I37" s="5" t="inlineStr">
        <is>
          <t>人民币</t>
        </is>
      </c>
      <c r="J37" s="5" t="inlineStr">
        <is>
          <t>新浪财经</t>
        </is>
      </c>
    </row>
    <row r="38">
      <c r="A38" s="2" t="inlineStr">
        <is>
          <t>2026/06/25</t>
        </is>
      </c>
      <c r="B38" s="2" t="inlineStr">
        <is>
          <t>国际期货</t>
        </is>
      </c>
      <c r="C38" s="2" t="inlineStr">
        <is>
          <t>CME氢氧化锂</t>
        </is>
      </c>
      <c r="D38" s="6" t="n">
        <v>21.1</v>
      </c>
      <c r="E38" s="5" t="n"/>
      <c r="F38" s="5" t="n"/>
      <c r="G38" s="5" t="n"/>
      <c r="H38" s="6" t="n">
        <v>1.28</v>
      </c>
      <c r="I38" s="5" t="inlineStr">
        <is>
          <t>USD</t>
        </is>
      </c>
      <c r="J38" s="5" t="inlineStr">
        <is>
          <t>Yahoo Finance</t>
        </is>
      </c>
    </row>
    <row r="39">
      <c r="A39" s="2" t="inlineStr">
        <is>
          <t>2026/06/25</t>
        </is>
      </c>
      <c r="B39" s="2" t="inlineStr">
        <is>
          <t>国际期货</t>
        </is>
      </c>
      <c r="C39" s="2" t="inlineStr">
        <is>
          <t>CME钴</t>
        </is>
      </c>
      <c r="D39" s="6" t="n">
        <v>25.1</v>
      </c>
      <c r="E39" s="5" t="n"/>
      <c r="F39" s="5" t="n"/>
      <c r="G39" s="5" t="n"/>
      <c r="H39" s="4" t="n">
        <v>0</v>
      </c>
      <c r="I39" s="5" t="inlineStr">
        <is>
          <t>USD</t>
        </is>
      </c>
      <c r="J39" s="5" t="inlineStr">
        <is>
          <t>Yahoo Finance</t>
        </is>
      </c>
    </row>
    <row r="41">
      <c r="A41" s="8" t="inlineStr">
        <is>
          <t>当月均价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</row>
    <row r="42">
      <c r="C42" s="2" t="inlineStr">
        <is>
          <t>CME氢氧化锂</t>
        </is>
      </c>
      <c r="D42" s="10">
        <f>IFERROR(AVERAGEIFS(D$2:D$39,A$2:A$39,"&gt;="&amp;DATE(YEAR(TODAY()),MONTH(TODAY()),1),A$2:A$39,"&lt;"&amp;DATE(YEAR(TODAY()),MONTH(TODAY())+1,1),C$2:C$39,$C$42),"")</f>
        <v/>
      </c>
      <c r="E42" s="10">
        <f>IFERROR(AVERAGEIFS(E$2:E$39,A$2:A$39,"&gt;="&amp;DATE(YEAR(TODAY()),MONTH(TODAY()),1),A$2:A$39,"&lt;"&amp;DATE(YEAR(TODAY()),MONTH(TODAY())+1,1),C$2:C$39,$C$42),"")</f>
        <v/>
      </c>
      <c r="F42" s="10">
        <f>IFERROR(AVERAGEIFS(F$2:F$39,A$2:A$39,"&gt;="&amp;DATE(YEAR(TODAY()),MONTH(TODAY()),1),A$2:A$39,"&lt;"&amp;DATE(YEAR(TODAY()),MONTH(TODAY())+1,1),C$2:C$39,$C$42),"")</f>
        <v/>
      </c>
      <c r="G42" s="10">
        <f>IFERROR(AVERAGEIFS(G$2:G$39,A$2:A$39,"&gt;="&amp;DATE(YEAR(TODAY()),MONTH(TODAY()),1),A$2:A$39,"&lt;"&amp;DATE(YEAR(TODAY()),MONTH(TODAY())+1,1),C$2:C$39,$C$42),"")</f>
        <v/>
      </c>
      <c r="H42" s="11">
        <f>IFERROR(SUMPRODUCT((YEAR(A$2:A$39)=YEAR(TODAY()))*(MONTH(A$2:A$39)=MONTH(TODAY()))*(C$2:C$39=$C$42)*(H$2:H$39),"")</f>
        <v/>
      </c>
    </row>
    <row r="43">
      <c r="C43" s="2" t="inlineStr">
        <is>
          <t>CME钴</t>
        </is>
      </c>
      <c r="D43" s="10">
        <f>IFERROR(AVERAGEIFS(D$2:D$39,A$2:A$39,"&gt;="&amp;DATE(YEAR(TODAY()),MONTH(TODAY()),1),A$2:A$39,"&lt;"&amp;DATE(YEAR(TODAY()),MONTH(TODAY())+1,1),C$2:C$39,$C$43),"")</f>
        <v/>
      </c>
      <c r="E43" s="10">
        <f>IFERROR(AVERAGEIFS(E$2:E$39,A$2:A$39,"&gt;="&amp;DATE(YEAR(TODAY()),MONTH(TODAY()),1),A$2:A$39,"&lt;"&amp;DATE(YEAR(TODAY()),MONTH(TODAY())+1,1),C$2:C$39,$C$43),"")</f>
        <v/>
      </c>
      <c r="F43" s="10">
        <f>IFERROR(AVERAGEIFS(F$2:F$39,A$2:A$39,"&gt;="&amp;DATE(YEAR(TODAY()),MONTH(TODAY()),1),A$2:A$39,"&lt;"&amp;DATE(YEAR(TODAY()),MONTH(TODAY())+1,1),C$2:C$39,$C$43),"")</f>
        <v/>
      </c>
      <c r="G43" s="10">
        <f>IFERROR(AVERAGEIFS(G$2:G$39,A$2:A$39,"&gt;="&amp;DATE(YEAR(TODAY()),MONTH(TODAY()),1),A$2:A$39,"&lt;"&amp;DATE(YEAR(TODAY()),MONTH(TODAY())+1,1),C$2:C$39,$C$43),"")</f>
        <v/>
      </c>
      <c r="H43" s="11">
        <f>IFERROR(SUMPRODUCT((YEAR(A$2:A$39)=YEAR(TODAY()))*(MONTH(A$2:A$39)=MONTH(TODAY()))*(C$2:C$39=$C$43)*(H$2:H$39),"")</f>
        <v/>
      </c>
    </row>
    <row r="44">
      <c r="C44" s="2" t="inlineStr">
        <is>
          <t>沪镍(NI)连续</t>
        </is>
      </c>
      <c r="D44" s="10">
        <f>IFERROR(AVERAGEIFS(D$2:D$39,A$2:A$39,"&gt;="&amp;DATE(YEAR(TODAY()),MONTH(TODAY()),1),A$2:A$39,"&lt;"&amp;DATE(YEAR(TODAY()),MONTH(TODAY())+1,1),C$2:C$39,$C$44),"")</f>
        <v/>
      </c>
      <c r="E44" s="10">
        <f>IFERROR(AVERAGEIFS(E$2:E$39,A$2:A$39,"&gt;="&amp;DATE(YEAR(TODAY()),MONTH(TODAY()),1),A$2:A$39,"&lt;"&amp;DATE(YEAR(TODAY()),MONTH(TODAY())+1,1),C$2:C$39,$C$44),"")</f>
        <v/>
      </c>
      <c r="F44" s="10">
        <f>IFERROR(AVERAGEIFS(F$2:F$39,A$2:A$39,"&gt;="&amp;DATE(YEAR(TODAY()),MONTH(TODAY()),1),A$2:A$39,"&lt;"&amp;DATE(YEAR(TODAY()),MONTH(TODAY())+1,1),C$2:C$39,$C$44),"")</f>
        <v/>
      </c>
      <c r="G44" s="10">
        <f>IFERROR(AVERAGEIFS(G$2:G$39,A$2:A$39,"&gt;="&amp;DATE(YEAR(TODAY()),MONTH(TODAY()),1),A$2:A$39,"&lt;"&amp;DATE(YEAR(TODAY()),MONTH(TODAY())+1,1),C$2:C$39,$C$44),"")</f>
        <v/>
      </c>
      <c r="H44" s="11">
        <f>IFERROR(SUMPRODUCT((YEAR(A$2:A$39)=YEAR(TODAY()))*(MONTH(A$2:A$39)=MONTH(TODAY()))*(C$2:C$39=$C$44)*(H$2:H$39),"")</f>
        <v/>
      </c>
    </row>
    <row r="45">
      <c r="C45" s="2" t="inlineStr">
        <is>
          <t>碳酸锂(LC)连续</t>
        </is>
      </c>
      <c r="D45" s="10">
        <f>IFERROR(AVERAGEIFS(D$2:D$39,A$2:A$39,"&gt;="&amp;DATE(YEAR(TODAY()),MONTH(TODAY()),1),A$2:A$39,"&lt;"&amp;DATE(YEAR(TODAY()),MONTH(TODAY())+1,1),C$2:C$39,$C$45),"")</f>
        <v/>
      </c>
      <c r="E45" s="10">
        <f>IFERROR(AVERAGEIFS(E$2:E$39,A$2:A$39,"&gt;="&amp;DATE(YEAR(TODAY()),MONTH(TODAY()),1),A$2:A$39,"&lt;"&amp;DATE(YEAR(TODAY()),MONTH(TODAY())+1,1),C$2:C$39,$C$45),"")</f>
        <v/>
      </c>
      <c r="F45" s="10">
        <f>IFERROR(AVERAGEIFS(F$2:F$39,A$2:A$39,"&gt;="&amp;DATE(YEAR(TODAY()),MONTH(TODAY()),1),A$2:A$39,"&lt;"&amp;DATE(YEAR(TODAY()),MONTH(TODAY())+1,1),C$2:C$39,$C$45),"")</f>
        <v/>
      </c>
      <c r="G45" s="10">
        <f>IFERROR(AVERAGEIFS(G$2:G$39,A$2:A$39,"&gt;="&amp;DATE(YEAR(TODAY()),MONTH(TODAY()),1),A$2:A$39,"&lt;"&amp;DATE(YEAR(TODAY()),MONTH(TODAY())+1,1),C$2:C$39,$C$45),"")</f>
        <v/>
      </c>
      <c r="H45" s="11">
        <f>IFERROR(SUMPRODUCT((YEAR(A$2:A$39)=YEAR(TODAY()))*(MONTH(A$2:A$39)=MONTH(TODAY()))*(C$2:C$39=$C$45)*(H$2:H$39),"")</f>
        <v/>
      </c>
    </row>
    <row r="46">
      <c r="C46" s="2" t="inlineStr">
        <is>
          <t>美元/人民币(USDCNY)</t>
        </is>
      </c>
      <c r="D46" s="10">
        <f>IFERROR(AVERAGEIFS(D$2:D$39,A$2:A$39,"&gt;="&amp;DATE(YEAR(TODAY()),MONTH(TODAY()),1),A$2:A$39,"&lt;"&amp;DATE(YEAR(TODAY()),MONTH(TODAY())+1,1),C$2:C$39,$C$46),"")</f>
        <v/>
      </c>
      <c r="E46" s="10">
        <f>IFERROR(AVERAGEIFS(E$2:E$39,A$2:A$39,"&gt;="&amp;DATE(YEAR(TODAY()),MONTH(TODAY()),1),A$2:A$39,"&lt;"&amp;DATE(YEAR(TODAY()),MONTH(TODAY())+1,1),C$2:C$39,$C$46),"")</f>
        <v/>
      </c>
      <c r="F46" s="10">
        <f>IFERROR(AVERAGEIFS(F$2:F$39,A$2:A$39,"&gt;="&amp;DATE(YEAR(TODAY()),MONTH(TODAY()),1),A$2:A$39,"&lt;"&amp;DATE(YEAR(TODAY()),MONTH(TODAY())+1,1),C$2:C$39,$C$46),"")</f>
        <v/>
      </c>
      <c r="G46" s="10">
        <f>IFERROR(AVERAGEIFS(G$2:G$39,A$2:A$39,"&gt;="&amp;DATE(YEAR(TODAY()),MONTH(TODAY()),1),A$2:A$39,"&lt;"&amp;DATE(YEAR(TODAY()),MONTH(TODAY())+1,1),C$2:C$39,$C$46),"")</f>
        <v/>
      </c>
      <c r="H46" s="11">
        <f>IFERROR(SUMPRODUCT((YEAR(A$2:A$39)=YEAR(TODAY()))*(MONTH(A$2:A$39)=MONTH(TODAY()))*(C$2:C$39=$C$46)*(H$2:H$39),"")</f>
        <v/>
      </c>
    </row>
  </sheetData>
  <autoFilter ref="A1:J39"/>
  <mergeCells count="1">
    <mergeCell ref="A41:J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2026-06-25T08:30:21Z</dcterms:created>
  <dcterms:modified xmlns:dcterms="http://purl.org/dc/terms/" xmlns:xsi="http://www.w3.org/2001/XMLSchema-instance" xsi:type="dcterms:W3CDTF">2026-06-25T08:30:22Z</dcterms:modified>
</cp:coreProperties>
</file>