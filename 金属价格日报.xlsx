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'现货'!$A$1:$H$163</definedName>
    <definedName name="_xlnm._FilterDatabase" localSheetId="1" hidden="1">'期货'!$A$1:$J$14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101450</v>
      </c>
      <c r="D89" s="4" t="n">
        <v>106650</v>
      </c>
      <c r="E89" s="4" t="n">
        <v>104050</v>
      </c>
      <c r="F89" s="4" t="n">
        <v>-200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186900</v>
      </c>
      <c r="D90" s="4" t="n">
        <v>195800</v>
      </c>
      <c r="E90" s="4" t="n">
        <v>191350</v>
      </c>
      <c r="F90" s="4" t="n">
        <v>-400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94200</v>
      </c>
      <c r="D91" s="4" t="n">
        <v>98900</v>
      </c>
      <c r="E91" s="4" t="n">
        <v>96550</v>
      </c>
      <c r="F91" s="4" t="n">
        <v>-100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191000</v>
      </c>
      <c r="D92" s="4" t="n">
        <v>200500</v>
      </c>
      <c r="E92" s="4" t="n">
        <v>195750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116650</v>
      </c>
      <c r="D93" s="4" t="n">
        <v>122450</v>
      </c>
      <c r="E93" s="4" t="n">
        <v>119550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214300</v>
      </c>
      <c r="D94" s="4" t="n">
        <v>223900</v>
      </c>
      <c r="E94" s="4" t="n">
        <v>219100</v>
      </c>
      <c r="F94" s="4" t="n">
        <v>-400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</v>
      </c>
      <c r="D95" s="6" t="n">
        <v>86</v>
      </c>
      <c r="E95" s="6" t="n">
        <v>85.5</v>
      </c>
      <c r="F95" s="6" t="n">
        <v>0.5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211600</v>
      </c>
      <c r="D97" s="4" t="n">
        <v>219900</v>
      </c>
      <c r="E97" s="4" t="n">
        <v>215750</v>
      </c>
      <c r="F97" s="4" t="n">
        <v>-600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6" t="n">
        <v>-0.13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6" t="n">
        <v>-0.16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6" t="n">
        <v>-0.16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102407</v>
      </c>
      <c r="D104" s="4" t="n">
        <v>106587</v>
      </c>
      <c r="E104" s="4" t="n">
        <v>104497</v>
      </c>
      <c r="F104" s="6" t="n">
        <v>-76.5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155318</v>
      </c>
      <c r="D105" s="4" t="n">
        <v>155318</v>
      </c>
      <c r="E105" s="4" t="n">
        <v>155318</v>
      </c>
      <c r="F105" s="4" t="n">
        <v>-2320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7646</v>
      </c>
      <c r="D106" s="4" t="n">
        <v>7646</v>
      </c>
      <c r="E106" s="4" t="n">
        <v>7646</v>
      </c>
      <c r="F106" s="6" t="n">
        <v>6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33050</v>
      </c>
      <c r="D107" s="4" t="n">
        <v>33050</v>
      </c>
      <c r="E107" s="4" t="n">
        <v>33050</v>
      </c>
      <c r="F107" s="6" t="n">
        <v>12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170885</v>
      </c>
      <c r="D108" s="4" t="n">
        <v>170885</v>
      </c>
      <c r="E108" s="4" t="n">
        <v>170885</v>
      </c>
      <c r="F108" s="4" t="n">
        <v>264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89058</v>
      </c>
      <c r="D109" s="4" t="n">
        <v>89058</v>
      </c>
      <c r="E109" s="4" t="n">
        <v>89058</v>
      </c>
      <c r="F109" s="4" t="n">
        <v>-666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7494</v>
      </c>
      <c r="D110" s="4" t="n">
        <v>7494</v>
      </c>
      <c r="E110" s="4" t="n">
        <v>7494</v>
      </c>
      <c r="F110" s="6" t="n">
        <v>58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6" t="n">
        <v>1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6" t="n">
        <v>-0.78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6" t="n">
        <v>-0.26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6" t="n">
        <v>-0.92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6" t="n">
        <v>-0.31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339000</v>
      </c>
      <c r="D118" s="4" t="n">
        <v>350000</v>
      </c>
      <c r="E118" s="4" t="n">
        <v>344500</v>
      </c>
      <c r="F118" s="4" t="n">
        <v>-1000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139000</v>
      </c>
      <c r="D120" s="4" t="n">
        <v>146000</v>
      </c>
      <c r="E120" s="4" t="n">
        <v>142500</v>
      </c>
      <c r="F120" s="4" t="n">
        <v>-1500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171000</v>
      </c>
      <c r="E121" s="4" t="n">
        <v>166500</v>
      </c>
      <c r="F121" s="4" t="n">
        <v>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2430</v>
      </c>
      <c r="D123" s="4" t="n">
        <v>2550</v>
      </c>
      <c r="E123" s="4" t="n">
        <v>2490</v>
      </c>
      <c r="F123" s="6" t="n">
        <v>-5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22400</v>
      </c>
      <c r="D124" s="4" t="n">
        <v>25550</v>
      </c>
      <c r="E124" s="4" t="n">
        <v>23975</v>
      </c>
      <c r="F124" s="4" t="n">
        <v>325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26600</v>
      </c>
      <c r="D125" s="4" t="n">
        <v>30750</v>
      </c>
      <c r="E125" s="4" t="n">
        <v>28675</v>
      </c>
      <c r="F125" s="4" t="n">
        <v>425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16600</v>
      </c>
      <c r="D126" s="4" t="n">
        <v>18300</v>
      </c>
      <c r="E126" s="4" t="n">
        <v>17450</v>
      </c>
      <c r="F126" s="4" t="n">
        <v>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10800</v>
      </c>
      <c r="D127" s="4" t="n">
        <v>11800</v>
      </c>
      <c r="E127" s="4" t="n">
        <v>11300</v>
      </c>
      <c r="F127" s="4" t="n">
        <v>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19300</v>
      </c>
      <c r="E128" s="4" t="n">
        <v>18550</v>
      </c>
      <c r="F128" s="4" t="n">
        <v>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315000</v>
      </c>
      <c r="D131" s="4" t="n">
        <v>330000</v>
      </c>
      <c r="E131" s="4" t="n">
        <v>322500</v>
      </c>
      <c r="F131" s="4" t="n">
        <v>-5500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108000</v>
      </c>
      <c r="D132" s="4" t="n">
        <v>114000</v>
      </c>
      <c r="E132" s="4" t="n">
        <v>111000</v>
      </c>
      <c r="F132" s="4" t="n">
        <v>-1500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2450</v>
      </c>
      <c r="D135" s="4" t="n">
        <v>2560</v>
      </c>
      <c r="E135" s="4" t="n">
        <v>2505</v>
      </c>
      <c r="F135" s="6" t="n">
        <v>-5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295</v>
      </c>
      <c r="E136" s="4" t="n">
        <v>265</v>
      </c>
      <c r="F136" s="4" t="n">
        <v>0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18.25</v>
      </c>
      <c r="D138" s="6" t="n">
        <v>21.15</v>
      </c>
      <c r="E138" s="6" t="n">
        <v>19.7</v>
      </c>
      <c r="F138" s="6" t="n">
        <v>-0.125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18.1</v>
      </c>
      <c r="D139" s="6" t="n">
        <v>21.1</v>
      </c>
      <c r="E139" s="6" t="n">
        <v>19.6</v>
      </c>
      <c r="F139" s="6" t="n">
        <v>-0.13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154000</v>
      </c>
      <c r="D140" s="4" t="n">
        <v>168000</v>
      </c>
      <c r="E140" s="4" t="n">
        <v>161000</v>
      </c>
      <c r="F140" s="4" t="n">
        <v>-1500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148000</v>
      </c>
      <c r="D141" s="4" t="n">
        <v>162000</v>
      </c>
      <c r="E141" s="4" t="n">
        <v>155000</v>
      </c>
      <c r="F141" s="4" t="n">
        <v>-1500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6" t="n">
        <v>10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175000</v>
      </c>
      <c r="E144" s="4" t="n">
        <v>170500</v>
      </c>
      <c r="F144" s="4" t="n">
        <v>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22.25</v>
      </c>
      <c r="E145" s="6" t="n">
        <v>21.2</v>
      </c>
      <c r="F145" s="4" t="n">
        <v>0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22.3</v>
      </c>
      <c r="E146" s="6" t="n">
        <v>21.33</v>
      </c>
      <c r="F146" s="4" t="n">
        <v>0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385000</v>
      </c>
      <c r="D148" s="4" t="n">
        <v>410000</v>
      </c>
      <c r="E148" s="4" t="n">
        <v>397500</v>
      </c>
      <c r="F148" s="4" t="n">
        <v>-1000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88000</v>
      </c>
      <c r="D151" s="4" t="n">
        <v>90500</v>
      </c>
      <c r="E151" s="4" t="n">
        <v>89250</v>
      </c>
      <c r="F151" s="4" t="n">
        <v>-750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215000</v>
      </c>
      <c r="D152" s="4" t="n">
        <v>232000</v>
      </c>
      <c r="E152" s="4" t="n">
        <v>223500</v>
      </c>
      <c r="F152" s="4" t="n">
        <v>-4000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59570</v>
      </c>
      <c r="D153" s="4" t="n">
        <v>60570</v>
      </c>
      <c r="E153" s="4" t="n">
        <v>60070</v>
      </c>
      <c r="F153" s="4" t="n">
        <v>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382000</v>
      </c>
      <c r="D158" s="4" t="n">
        <v>385000</v>
      </c>
      <c r="E158" s="4" t="n">
        <v>383500</v>
      </c>
      <c r="F158" s="4" t="n">
        <v>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101600</v>
      </c>
      <c r="E159" s="4" t="n">
        <v>99800</v>
      </c>
      <c r="F159" s="4" t="n">
        <v>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8108</v>
      </c>
      <c r="D162" s="4" t="n">
        <v>8598</v>
      </c>
      <c r="E162" s="4" t="n">
        <v>8353</v>
      </c>
      <c r="F162" s="6" t="n">
        <v>9.5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5">
      <c r="A165" s="8" t="inlineStr">
        <is>
          <t>当月均价</t>
        </is>
      </c>
      <c r="B165" s="9" t="n"/>
      <c r="C165" s="9" t="n"/>
      <c r="D165" s="9" t="n"/>
      <c r="E165" s="9" t="n"/>
      <c r="F165" s="9" t="n"/>
      <c r="G165" s="9" t="n"/>
      <c r="H165" s="9" t="n"/>
    </row>
    <row r="166">
      <c r="B166" s="2" t="inlineStr">
        <is>
          <t>5系三元前驱体</t>
        </is>
      </c>
      <c r="C166" s="10">
        <f>IFERROR(AVERAGEIFS(C$2:C$163,A$2:A$163,"&gt;="&amp;DATE(YEAR(TODAY()),MONTH(TODAY()),1),A$2:A$163,"&lt;"&amp;DATE(YEAR(TODAY()),MONTH(TODAY())+1,1),B$2:B$163,$B$166),"")</f>
        <v/>
      </c>
      <c r="D166" s="10">
        <f>IFERROR(AVERAGEIFS(D$2:D$163,A$2:A$163,"&gt;="&amp;DATE(YEAR(TODAY()),MONTH(TODAY()),1),A$2:A$163,"&lt;"&amp;DATE(YEAR(TODAY()),MONTH(TODAY())+1,1),B$2:B$163,$B$166),"")</f>
        <v/>
      </c>
      <c r="E166" s="10">
        <f>IFERROR(AVERAGEIFS(E$2:E$163,A$2:A$163,"&gt;="&amp;DATE(YEAR(TODAY()),MONTH(TODAY()),1),A$2:A$163,"&lt;"&amp;DATE(YEAR(TODAY()),MONTH(TODAY())+1,1),B$2:B$163,$B$166),"")</f>
        <v/>
      </c>
      <c r="F166" s="11">
        <f>IFERROR(SUMPRODUCT((YEAR(A$2:A$163)=YEAR(TODAY()))*(MONTH(A$2:A$163)=MONTH(TODAY()))*(B$2:B$163=$B$166)*(F$2:F$163),"")</f>
        <v/>
      </c>
    </row>
    <row r="167">
      <c r="B167" s="2" t="inlineStr">
        <is>
          <t>5系三元材料</t>
        </is>
      </c>
      <c r="C167" s="10">
        <f>IFERROR(AVERAGEIFS(C$2:C$163,A$2:A$163,"&gt;="&amp;DATE(YEAR(TODAY()),MONTH(TODAY()),1),A$2:A$163,"&lt;"&amp;DATE(YEAR(TODAY()),MONTH(TODAY())+1,1),B$2:B$163,$B$167),"")</f>
        <v/>
      </c>
      <c r="D167" s="10">
        <f>IFERROR(AVERAGEIFS(D$2:D$163,A$2:A$163,"&gt;="&amp;DATE(YEAR(TODAY()),MONTH(TODAY()),1),A$2:A$163,"&lt;"&amp;DATE(YEAR(TODAY()),MONTH(TODAY())+1,1),B$2:B$163,$B$167),"")</f>
        <v/>
      </c>
      <c r="E167" s="10">
        <f>IFERROR(AVERAGEIFS(E$2:E$163,A$2:A$163,"&gt;="&amp;DATE(YEAR(TODAY()),MONTH(TODAY()),1),A$2:A$163,"&lt;"&amp;DATE(YEAR(TODAY()),MONTH(TODAY())+1,1),B$2:B$163,$B$167),"")</f>
        <v/>
      </c>
      <c r="F167" s="11">
        <f>IFERROR(SUMPRODUCT((YEAR(A$2:A$163)=YEAR(TODAY()))*(MONTH(A$2:A$163)=MONTH(TODAY()))*(B$2:B$163=$B$167)*(F$2:F$163),"")</f>
        <v/>
      </c>
    </row>
    <row r="168">
      <c r="B168" s="2" t="inlineStr">
        <is>
          <t>6系三元前驱体（单晶/动力型）</t>
        </is>
      </c>
      <c r="C168" s="10">
        <f>IFERROR(AVERAGEIFS(C$2:C$163,A$2:A$163,"&gt;="&amp;DATE(YEAR(TODAY()),MONTH(TODAY()),1),A$2:A$163,"&lt;"&amp;DATE(YEAR(TODAY()),MONTH(TODAY())+1,1),B$2:B$163,$B$168),"")</f>
        <v/>
      </c>
      <c r="D168" s="10">
        <f>IFERROR(AVERAGEIFS(D$2:D$163,A$2:A$163,"&gt;="&amp;DATE(YEAR(TODAY()),MONTH(TODAY()),1),A$2:A$163,"&lt;"&amp;DATE(YEAR(TODAY()),MONTH(TODAY())+1,1),B$2:B$163,$B$168),"")</f>
        <v/>
      </c>
      <c r="E168" s="10">
        <f>IFERROR(AVERAGEIFS(E$2:E$163,A$2:A$163,"&gt;="&amp;DATE(YEAR(TODAY()),MONTH(TODAY()),1),A$2:A$163,"&lt;"&amp;DATE(YEAR(TODAY()),MONTH(TODAY())+1,1),B$2:B$163,$B$168),"")</f>
        <v/>
      </c>
      <c r="F168" s="11">
        <f>IFERROR(SUMPRODUCT((YEAR(A$2:A$163)=YEAR(TODAY()))*(MONTH(A$2:A$163)=MONTH(TODAY()))*(B$2:B$163=$B$168)*(F$2:F$163),"")</f>
        <v/>
      </c>
    </row>
    <row r="169">
      <c r="B169" s="2" t="inlineStr">
        <is>
          <t>6系三元材料（单晶/动力型）</t>
        </is>
      </c>
      <c r="C169" s="10">
        <f>IFERROR(AVERAGEIFS(C$2:C$163,A$2:A$163,"&gt;="&amp;DATE(YEAR(TODAY()),MONTH(TODAY()),1),A$2:A$163,"&lt;"&amp;DATE(YEAR(TODAY()),MONTH(TODAY())+1,1),B$2:B$163,$B$169),"")</f>
        <v/>
      </c>
      <c r="D169" s="10">
        <f>IFERROR(AVERAGEIFS(D$2:D$163,A$2:A$163,"&gt;="&amp;DATE(YEAR(TODAY()),MONTH(TODAY()),1),A$2:A$163,"&lt;"&amp;DATE(YEAR(TODAY()),MONTH(TODAY())+1,1),B$2:B$163,$B$169),"")</f>
        <v/>
      </c>
      <c r="E169" s="10">
        <f>IFERROR(AVERAGEIFS(E$2:E$163,A$2:A$163,"&gt;="&amp;DATE(YEAR(TODAY()),MONTH(TODAY()),1),A$2:A$163,"&lt;"&amp;DATE(YEAR(TODAY()),MONTH(TODAY())+1,1),B$2:B$163,$B$169),"")</f>
        <v/>
      </c>
      <c r="F169" s="11">
        <f>IFERROR(SUMPRODUCT((YEAR(A$2:A$163)=YEAR(TODAY()))*(MONTH(A$2:A$163)=MONTH(TODAY()))*(B$2:B$163=$B$169)*(F$2:F$163),"")</f>
        <v/>
      </c>
    </row>
    <row r="170">
      <c r="B170" s="2" t="inlineStr">
        <is>
          <t>8系三元前驱体（多晶/动力型）</t>
        </is>
      </c>
      <c r="C170" s="10">
        <f>IFERROR(AVERAGEIFS(C$2:C$163,A$2:A$163,"&gt;="&amp;DATE(YEAR(TODAY()),MONTH(TODAY()),1),A$2:A$163,"&lt;"&amp;DATE(YEAR(TODAY()),MONTH(TODAY())+1,1),B$2:B$163,$B$170),"")</f>
        <v/>
      </c>
      <c r="D170" s="10">
        <f>IFERROR(AVERAGEIFS(D$2:D$163,A$2:A$163,"&gt;="&amp;DATE(YEAR(TODAY()),MONTH(TODAY()),1),A$2:A$163,"&lt;"&amp;DATE(YEAR(TODAY()),MONTH(TODAY())+1,1),B$2:B$163,$B$170),"")</f>
        <v/>
      </c>
      <c r="E170" s="10">
        <f>IFERROR(AVERAGEIFS(E$2:E$163,A$2:A$163,"&gt;="&amp;DATE(YEAR(TODAY()),MONTH(TODAY()),1),A$2:A$163,"&lt;"&amp;DATE(YEAR(TODAY()),MONTH(TODAY())+1,1),B$2:B$163,$B$170),"")</f>
        <v/>
      </c>
      <c r="F170" s="11">
        <f>IFERROR(SUMPRODUCT((YEAR(A$2:A$163)=YEAR(TODAY()))*(MONTH(A$2:A$163)=MONTH(TODAY()))*(B$2:B$163=$B$170)*(F$2:F$163),"")</f>
        <v/>
      </c>
    </row>
    <row r="171">
      <c r="B171" s="2" t="inlineStr">
        <is>
          <t>8系三元材料</t>
        </is>
      </c>
      <c r="C171" s="10">
        <f>IFERROR(AVERAGEIFS(C$2:C$163,A$2:A$163,"&gt;="&amp;DATE(YEAR(TODAY()),MONTH(TODAY()),1),A$2:A$163,"&lt;"&amp;DATE(YEAR(TODAY()),MONTH(TODAY())+1,1),B$2:B$163,$B$171),"")</f>
        <v/>
      </c>
      <c r="D171" s="10">
        <f>IFERROR(AVERAGEIFS(D$2:D$163,A$2:A$163,"&gt;="&amp;DATE(YEAR(TODAY()),MONTH(TODAY()),1),A$2:A$163,"&lt;"&amp;DATE(YEAR(TODAY()),MONTH(TODAY())+1,1),B$2:B$163,$B$171),"")</f>
        <v/>
      </c>
      <c r="E171" s="10">
        <f>IFERROR(AVERAGEIFS(E$2:E$163,A$2:A$163,"&gt;="&amp;DATE(YEAR(TODAY()),MONTH(TODAY()),1),A$2:A$163,"&lt;"&amp;DATE(YEAR(TODAY()),MONTH(TODAY())+1,1),B$2:B$163,$B$171),"")</f>
        <v/>
      </c>
      <c r="F171" s="11">
        <f>IFERROR(SUMPRODUCT((YEAR(A$2:A$163)=YEAR(TODAY()))*(MONTH(A$2:A$163)=MONTH(TODAY()))*(B$2:B$163=$B$171)*(F$2:F$163),"")</f>
        <v/>
      </c>
    </row>
    <row r="172">
      <c r="B172" s="2" t="inlineStr">
        <is>
          <t>MHP系数（对SMM电池级硫酸镍指数）</t>
        </is>
      </c>
      <c r="C172" s="10">
        <f>IFERROR(AVERAGEIFS(C$2:C$163,A$2:A$163,"&gt;="&amp;DATE(YEAR(TODAY()),MONTH(TODAY()),1),A$2:A$163,"&lt;"&amp;DATE(YEAR(TODAY()),MONTH(TODAY())+1,1),B$2:B$163,$B$172),"")</f>
        <v/>
      </c>
      <c r="D172" s="10">
        <f>IFERROR(AVERAGEIFS(D$2:D$163,A$2:A$163,"&gt;="&amp;DATE(YEAR(TODAY()),MONTH(TODAY()),1),A$2:A$163,"&lt;"&amp;DATE(YEAR(TODAY()),MONTH(TODAY())+1,1),B$2:B$163,$B$172),"")</f>
        <v/>
      </c>
      <c r="E172" s="10">
        <f>IFERROR(AVERAGEIFS(E$2:E$163,A$2:A$163,"&gt;="&amp;DATE(YEAR(TODAY()),MONTH(TODAY()),1),A$2:A$163,"&lt;"&amp;DATE(YEAR(TODAY()),MONTH(TODAY())+1,1),B$2:B$163,$B$172),"")</f>
        <v/>
      </c>
      <c r="F172" s="11">
        <f>IFERROR(SUMPRODUCT((YEAR(A$2:A$163)=YEAR(TODAY()))*(MONTH(A$2:A$163)=MONTH(TODAY()))*(B$2:B$163=$B$172)*(F$2:F$163),"")</f>
        <v/>
      </c>
    </row>
    <row r="173">
      <c r="B173" s="2" t="inlineStr">
        <is>
          <t>MHP钴元素计价系数（对SMM硫酸钴均价）</t>
        </is>
      </c>
      <c r="C173" s="10">
        <f>IFERROR(AVERAGEIFS(C$2:C$163,A$2:A$163,"&gt;="&amp;DATE(YEAR(TODAY()),MONTH(TODAY()),1),A$2:A$163,"&lt;"&amp;DATE(YEAR(TODAY()),MONTH(TODAY())+1,1),B$2:B$163,$B$173),"")</f>
        <v/>
      </c>
      <c r="D173" s="10">
        <f>IFERROR(AVERAGEIFS(D$2:D$163,A$2:A$163,"&gt;="&amp;DATE(YEAR(TODAY()),MONTH(TODAY()),1),A$2:A$163,"&lt;"&amp;DATE(YEAR(TODAY()),MONTH(TODAY())+1,1),B$2:B$163,$B$173),"")</f>
        <v/>
      </c>
      <c r="E173" s="10">
        <f>IFERROR(AVERAGEIFS(E$2:E$163,A$2:A$163,"&gt;="&amp;DATE(YEAR(TODAY()),MONTH(TODAY()),1),A$2:A$163,"&lt;"&amp;DATE(YEAR(TODAY()),MONTH(TODAY())+1,1),B$2:B$163,$B$173),"")</f>
        <v/>
      </c>
      <c r="F173" s="11">
        <f>IFERROR(SUMPRODUCT((YEAR(A$2:A$163)=YEAR(TODAY()))*(MONTH(A$2:A$163)=MONTH(TODAY()))*(B$2:B$163=$B$173)*(F$2:F$163),"")</f>
        <v/>
      </c>
    </row>
    <row r="174">
      <c r="B174" s="2" t="inlineStr">
        <is>
          <t>NCA三元材料</t>
        </is>
      </c>
      <c r="C174" s="10">
        <f>IFERROR(AVERAGEIFS(C$2:C$163,A$2:A$163,"&gt;="&amp;DATE(YEAR(TODAY()),MONTH(TODAY()),1),A$2:A$163,"&lt;"&amp;DATE(YEAR(TODAY()),MONTH(TODAY())+1,1),B$2:B$163,$B$174),"")</f>
        <v/>
      </c>
      <c r="D174" s="10">
        <f>IFERROR(AVERAGEIFS(D$2:D$163,A$2:A$163,"&gt;="&amp;DATE(YEAR(TODAY()),MONTH(TODAY()),1),A$2:A$163,"&lt;"&amp;DATE(YEAR(TODAY()),MONTH(TODAY())+1,1),B$2:B$163,$B$174),"")</f>
        <v/>
      </c>
      <c r="E174" s="10">
        <f>IFERROR(AVERAGEIFS(E$2:E$163,A$2:A$163,"&gt;="&amp;DATE(YEAR(TODAY()),MONTH(TODAY()),1),A$2:A$163,"&lt;"&amp;DATE(YEAR(TODAY()),MONTH(TODAY())+1,1),B$2:B$163,$B$174),"")</f>
        <v/>
      </c>
      <c r="F174" s="11">
        <f>IFERROR(SUMPRODUCT((YEAR(A$2:A$163)=YEAR(TODAY()))*(MONTH(A$2:A$163)=MONTH(TODAY()))*(B$2:B$163=$B$174)*(F$2:F$163),"")</f>
        <v/>
      </c>
    </row>
    <row r="175">
      <c r="B175" s="2" t="inlineStr">
        <is>
          <t>SMM三元极片粉钴系数指数</t>
        </is>
      </c>
      <c r="C175" s="10">
        <f>IFERROR(AVERAGEIFS(C$2:C$163,A$2:A$163,"&gt;="&amp;DATE(YEAR(TODAY()),MONTH(TODAY()),1),A$2:A$163,"&lt;"&amp;DATE(YEAR(TODAY()),MONTH(TODAY())+1,1),B$2:B$163,$B$175),"")</f>
        <v/>
      </c>
      <c r="D175" s="10">
        <f>IFERROR(AVERAGEIFS(D$2:D$163,A$2:A$163,"&gt;="&amp;DATE(YEAR(TODAY()),MONTH(TODAY()),1),A$2:A$163,"&lt;"&amp;DATE(YEAR(TODAY()),MONTH(TODAY())+1,1),B$2:B$163,$B$175),"")</f>
        <v/>
      </c>
      <c r="E175" s="10">
        <f>IFERROR(AVERAGEIFS(E$2:E$163,A$2:A$163,"&gt;="&amp;DATE(YEAR(TODAY()),MONTH(TODAY()),1),A$2:A$163,"&lt;"&amp;DATE(YEAR(TODAY()),MONTH(TODAY())+1,1),B$2:B$163,$B$175),"")</f>
        <v/>
      </c>
      <c r="F175" s="11">
        <f>IFERROR(SUMPRODUCT((YEAR(A$2:A$163)=YEAR(TODAY()))*(MONTH(A$2:A$163)=MONTH(TODAY()))*(B$2:B$163=$B$175)*(F$2:F$163),"")</f>
        <v/>
      </c>
    </row>
    <row r="176">
      <c r="B176" s="2" t="inlineStr">
        <is>
          <t>SMM三元极片粉锂系数指数</t>
        </is>
      </c>
      <c r="C176" s="10">
        <f>IFERROR(AVERAGEIFS(C$2:C$163,A$2:A$163,"&gt;="&amp;DATE(YEAR(TODAY()),MONTH(TODAY()),1),A$2:A$163,"&lt;"&amp;DATE(YEAR(TODAY()),MONTH(TODAY())+1,1),B$2:B$163,$B$176),"")</f>
        <v/>
      </c>
      <c r="D176" s="10">
        <f>IFERROR(AVERAGEIFS(D$2:D$163,A$2:A$163,"&gt;="&amp;DATE(YEAR(TODAY()),MONTH(TODAY()),1),A$2:A$163,"&lt;"&amp;DATE(YEAR(TODAY()),MONTH(TODAY())+1,1),B$2:B$163,$B$176),"")</f>
        <v/>
      </c>
      <c r="E176" s="10">
        <f>IFERROR(AVERAGEIFS(E$2:E$163,A$2:A$163,"&gt;="&amp;DATE(YEAR(TODAY()),MONTH(TODAY()),1),A$2:A$163,"&lt;"&amp;DATE(YEAR(TODAY()),MONTH(TODAY())+1,1),B$2:B$163,$B$176),"")</f>
        <v/>
      </c>
      <c r="F176" s="11">
        <f>IFERROR(SUMPRODUCT((YEAR(A$2:A$163)=YEAR(TODAY()))*(MONTH(A$2:A$163)=MONTH(TODAY()))*(B$2:B$163=$B$176)*(F$2:F$163),"")</f>
        <v/>
      </c>
    </row>
    <row r="177">
      <c r="B177" s="2" t="inlineStr">
        <is>
          <t>SMM三元极片粉镍系数指数</t>
        </is>
      </c>
      <c r="C177" s="10">
        <f>IFERROR(AVERAGEIFS(C$2:C$163,A$2:A$163,"&gt;="&amp;DATE(YEAR(TODAY()),MONTH(TODAY()),1),A$2:A$163,"&lt;"&amp;DATE(YEAR(TODAY()),MONTH(TODAY())+1,1),B$2:B$163,$B$177),"")</f>
        <v/>
      </c>
      <c r="D177" s="10">
        <f>IFERROR(AVERAGEIFS(D$2:D$163,A$2:A$163,"&gt;="&amp;DATE(YEAR(TODAY()),MONTH(TODAY()),1),A$2:A$163,"&lt;"&amp;DATE(YEAR(TODAY()),MONTH(TODAY())+1,1),B$2:B$163,$B$177),"")</f>
        <v/>
      </c>
      <c r="E177" s="10">
        <f>IFERROR(AVERAGEIFS(E$2:E$163,A$2:A$163,"&gt;="&amp;DATE(YEAR(TODAY()),MONTH(TODAY()),1),A$2:A$163,"&lt;"&amp;DATE(YEAR(TODAY()),MONTH(TODAY())+1,1),B$2:B$163,$B$177),"")</f>
        <v/>
      </c>
      <c r="F177" s="11">
        <f>IFERROR(SUMPRODUCT((YEAR(A$2:A$163)=YEAR(TODAY()))*(MONTH(A$2:A$163)=MONTH(TODAY()))*(B$2:B$163=$B$177)*(F$2:F$163),"")</f>
        <v/>
      </c>
    </row>
    <row r="178">
      <c r="B178" s="2" t="inlineStr">
        <is>
          <t>SMM三元电池粉钴系数指数</t>
        </is>
      </c>
      <c r="C178" s="10">
        <f>IFERROR(AVERAGEIFS(C$2:C$163,A$2:A$163,"&gt;="&amp;DATE(YEAR(TODAY()),MONTH(TODAY()),1),A$2:A$163,"&lt;"&amp;DATE(YEAR(TODAY()),MONTH(TODAY())+1,1),B$2:B$163,$B$178),"")</f>
        <v/>
      </c>
      <c r="D178" s="10">
        <f>IFERROR(AVERAGEIFS(D$2:D$163,A$2:A$163,"&gt;="&amp;DATE(YEAR(TODAY()),MONTH(TODAY()),1),A$2:A$163,"&lt;"&amp;DATE(YEAR(TODAY()),MONTH(TODAY())+1,1),B$2:B$163,$B$178),"")</f>
        <v/>
      </c>
      <c r="E178" s="10">
        <f>IFERROR(AVERAGEIFS(E$2:E$163,A$2:A$163,"&gt;="&amp;DATE(YEAR(TODAY()),MONTH(TODAY()),1),A$2:A$163,"&lt;"&amp;DATE(YEAR(TODAY()),MONTH(TODAY())+1,1),B$2:B$163,$B$178),"")</f>
        <v/>
      </c>
      <c r="F178" s="11">
        <f>IFERROR(SUMPRODUCT((YEAR(A$2:A$163)=YEAR(TODAY()))*(MONTH(A$2:A$163)=MONTH(TODAY()))*(B$2:B$163=$B$178)*(F$2:F$163),"")</f>
        <v/>
      </c>
    </row>
    <row r="179">
      <c r="B179" s="2" t="inlineStr">
        <is>
          <t>SMM三元电池粉锂系数指数</t>
        </is>
      </c>
      <c r="C179" s="10">
        <f>IFERROR(AVERAGEIFS(C$2:C$163,A$2:A$163,"&gt;="&amp;DATE(YEAR(TODAY()),MONTH(TODAY()),1),A$2:A$163,"&lt;"&amp;DATE(YEAR(TODAY()),MONTH(TODAY())+1,1),B$2:B$163,$B$179),"")</f>
        <v/>
      </c>
      <c r="D179" s="10">
        <f>IFERROR(AVERAGEIFS(D$2:D$163,A$2:A$163,"&gt;="&amp;DATE(YEAR(TODAY()),MONTH(TODAY()),1),A$2:A$163,"&lt;"&amp;DATE(YEAR(TODAY()),MONTH(TODAY())+1,1),B$2:B$163,$B$179),"")</f>
        <v/>
      </c>
      <c r="E179" s="10">
        <f>IFERROR(AVERAGEIFS(E$2:E$163,A$2:A$163,"&gt;="&amp;DATE(YEAR(TODAY()),MONTH(TODAY()),1),A$2:A$163,"&lt;"&amp;DATE(YEAR(TODAY()),MONTH(TODAY())+1,1),B$2:B$163,$B$179),"")</f>
        <v/>
      </c>
      <c r="F179" s="11">
        <f>IFERROR(SUMPRODUCT((YEAR(A$2:A$163)=YEAR(TODAY()))*(MONTH(A$2:A$163)=MONTH(TODAY()))*(B$2:B$163=$B$179)*(F$2:F$163),"")</f>
        <v/>
      </c>
    </row>
    <row r="180">
      <c r="B180" s="2" t="inlineStr">
        <is>
          <t>SMM三元电池粉镍系数指数</t>
        </is>
      </c>
      <c r="C180" s="10">
        <f>IFERROR(AVERAGEIFS(C$2:C$163,A$2:A$163,"&gt;="&amp;DATE(YEAR(TODAY()),MONTH(TODAY()),1),A$2:A$163,"&lt;"&amp;DATE(YEAR(TODAY()),MONTH(TODAY())+1,1),B$2:B$163,$B$180),"")</f>
        <v/>
      </c>
      <c r="D180" s="10">
        <f>IFERROR(AVERAGEIFS(D$2:D$163,A$2:A$163,"&gt;="&amp;DATE(YEAR(TODAY()),MONTH(TODAY()),1),A$2:A$163,"&lt;"&amp;DATE(YEAR(TODAY()),MONTH(TODAY())+1,1),B$2:B$163,$B$180),"")</f>
        <v/>
      </c>
      <c r="E180" s="10">
        <f>IFERROR(AVERAGEIFS(E$2:E$163,A$2:A$163,"&gt;="&amp;DATE(YEAR(TODAY()),MONTH(TODAY()),1),A$2:A$163,"&lt;"&amp;DATE(YEAR(TODAY()),MONTH(TODAY())+1,1),B$2:B$163,$B$180),"")</f>
        <v/>
      </c>
      <c r="F180" s="11">
        <f>IFERROR(SUMPRODUCT((YEAR(A$2:A$163)=YEAR(TODAY()))*(MONTH(A$2:A$163)=MONTH(TODAY()))*(B$2:B$163=$B$180)*(F$2:F$163),"")</f>
        <v/>
      </c>
    </row>
    <row r="181">
      <c r="B181" s="2" t="inlineStr">
        <is>
          <t>SMM六氟磷酸锂指数</t>
        </is>
      </c>
      <c r="C181" s="10">
        <f>IFERROR(AVERAGEIFS(C$2:C$163,A$2:A$163,"&gt;="&amp;DATE(YEAR(TODAY()),MONTH(TODAY()),1),A$2:A$163,"&lt;"&amp;DATE(YEAR(TODAY()),MONTH(TODAY())+1,1),B$2:B$163,$B$181),"")</f>
        <v/>
      </c>
      <c r="D181" s="10">
        <f>IFERROR(AVERAGEIFS(D$2:D$163,A$2:A$163,"&gt;="&amp;DATE(YEAR(TODAY()),MONTH(TODAY()),1),A$2:A$163,"&lt;"&amp;DATE(YEAR(TODAY()),MONTH(TODAY())+1,1),B$2:B$163,$B$181),"")</f>
        <v/>
      </c>
      <c r="E181" s="10">
        <f>IFERROR(AVERAGEIFS(E$2:E$163,A$2:A$163,"&gt;="&amp;DATE(YEAR(TODAY()),MONTH(TODAY()),1),A$2:A$163,"&lt;"&amp;DATE(YEAR(TODAY()),MONTH(TODAY())+1,1),B$2:B$163,$B$181),"")</f>
        <v/>
      </c>
      <c r="F181" s="11">
        <f>IFERROR(SUMPRODUCT((YEAR(A$2:A$163)=YEAR(TODAY()))*(MONTH(A$2:A$163)=MONTH(TODAY()))*(B$2:B$163=$B$181)*(F$2:F$163),"")</f>
        <v/>
      </c>
    </row>
    <row r="182">
      <c r="B182" s="2" t="inlineStr">
        <is>
          <t>SMM电池级氢氧化锂指数</t>
        </is>
      </c>
      <c r="C182" s="10">
        <f>IFERROR(AVERAGEIFS(C$2:C$163,A$2:A$163,"&gt;="&amp;DATE(YEAR(TODAY()),MONTH(TODAY()),1),A$2:A$163,"&lt;"&amp;DATE(YEAR(TODAY()),MONTH(TODAY())+1,1),B$2:B$163,$B$182),"")</f>
        <v/>
      </c>
      <c r="D182" s="10">
        <f>IFERROR(AVERAGEIFS(D$2:D$163,A$2:A$163,"&gt;="&amp;DATE(YEAR(TODAY()),MONTH(TODAY()),1),A$2:A$163,"&lt;"&amp;DATE(YEAR(TODAY()),MONTH(TODAY())+1,1),B$2:B$163,$B$182),"")</f>
        <v/>
      </c>
      <c r="E182" s="10">
        <f>IFERROR(AVERAGEIFS(E$2:E$163,A$2:A$163,"&gt;="&amp;DATE(YEAR(TODAY()),MONTH(TODAY()),1),A$2:A$163,"&lt;"&amp;DATE(YEAR(TODAY()),MONTH(TODAY())+1,1),B$2:B$163,$B$182),"")</f>
        <v/>
      </c>
      <c r="F182" s="11">
        <f>IFERROR(SUMPRODUCT((YEAR(A$2:A$163)=YEAR(TODAY()))*(MONTH(A$2:A$163)=MONTH(TODAY()))*(B$2:B$163=$B$182)*(F$2:F$163),"")</f>
        <v/>
      </c>
    </row>
    <row r="183">
      <c r="B183" s="2" t="inlineStr">
        <is>
          <t>SMM电池级硫酸锰指数</t>
        </is>
      </c>
      <c r="C183" s="10">
        <f>IFERROR(AVERAGEIFS(C$2:C$163,A$2:A$163,"&gt;="&amp;DATE(YEAR(TODAY()),MONTH(TODAY()),1),A$2:A$163,"&lt;"&amp;DATE(YEAR(TODAY()),MONTH(TODAY())+1,1),B$2:B$163,$B$183),"")</f>
        <v/>
      </c>
      <c r="D183" s="10">
        <f>IFERROR(AVERAGEIFS(D$2:D$163,A$2:A$163,"&gt;="&amp;DATE(YEAR(TODAY()),MONTH(TODAY()),1),A$2:A$163,"&lt;"&amp;DATE(YEAR(TODAY()),MONTH(TODAY())+1,1),B$2:B$163,$B$183),"")</f>
        <v/>
      </c>
      <c r="E183" s="10">
        <f>IFERROR(AVERAGEIFS(E$2:E$163,A$2:A$163,"&gt;="&amp;DATE(YEAR(TODAY()),MONTH(TODAY()),1),A$2:A$163,"&lt;"&amp;DATE(YEAR(TODAY()),MONTH(TODAY())+1,1),B$2:B$163,$B$183),"")</f>
        <v/>
      </c>
      <c r="F183" s="11">
        <f>IFERROR(SUMPRODUCT((YEAR(A$2:A$163)=YEAR(TODAY()))*(MONTH(A$2:A$163)=MONTH(TODAY()))*(B$2:B$163=$B$183)*(F$2:F$163),"")</f>
        <v/>
      </c>
    </row>
    <row r="184">
      <c r="B184" s="2" t="inlineStr">
        <is>
          <t>SMM电池级硫酸镍指数</t>
        </is>
      </c>
      <c r="C184" s="10">
        <f>IFERROR(AVERAGEIFS(C$2:C$163,A$2:A$163,"&gt;="&amp;DATE(YEAR(TODAY()),MONTH(TODAY()),1),A$2:A$163,"&lt;"&amp;DATE(YEAR(TODAY()),MONTH(TODAY())+1,1),B$2:B$163,$B$184),"")</f>
        <v/>
      </c>
      <c r="D184" s="10">
        <f>IFERROR(AVERAGEIFS(D$2:D$163,A$2:A$163,"&gt;="&amp;DATE(YEAR(TODAY()),MONTH(TODAY()),1),A$2:A$163,"&lt;"&amp;DATE(YEAR(TODAY()),MONTH(TODAY())+1,1),B$2:B$163,$B$184),"")</f>
        <v/>
      </c>
      <c r="E184" s="10">
        <f>IFERROR(AVERAGEIFS(E$2:E$163,A$2:A$163,"&gt;="&amp;DATE(YEAR(TODAY()),MONTH(TODAY()),1),A$2:A$163,"&lt;"&amp;DATE(YEAR(TODAY()),MONTH(TODAY())+1,1),B$2:B$163,$B$184),"")</f>
        <v/>
      </c>
      <c r="F184" s="11">
        <f>IFERROR(SUMPRODUCT((YEAR(A$2:A$163)=YEAR(TODAY()))*(MONTH(A$2:A$163)=MONTH(TODAY()))*(B$2:B$163=$B$184)*(F$2:F$163),"")</f>
        <v/>
      </c>
    </row>
    <row r="185">
      <c r="B185" s="2" t="inlineStr">
        <is>
          <t>SMM电池级碳酸锂指数</t>
        </is>
      </c>
      <c r="C185" s="10">
        <f>IFERROR(AVERAGEIFS(C$2:C$163,A$2:A$163,"&gt;="&amp;DATE(YEAR(TODAY()),MONTH(TODAY()),1),A$2:A$163,"&lt;"&amp;DATE(YEAR(TODAY()),MONTH(TODAY())+1,1),B$2:B$163,$B$185),"")</f>
        <v/>
      </c>
      <c r="D185" s="10">
        <f>IFERROR(AVERAGEIFS(D$2:D$163,A$2:A$163,"&gt;="&amp;DATE(YEAR(TODAY()),MONTH(TODAY()),1),A$2:A$163,"&lt;"&amp;DATE(YEAR(TODAY()),MONTH(TODAY())+1,1),B$2:B$163,$B$185),"")</f>
        <v/>
      </c>
      <c r="E185" s="10">
        <f>IFERROR(AVERAGEIFS(E$2:E$163,A$2:A$163,"&gt;="&amp;DATE(YEAR(TODAY()),MONTH(TODAY()),1),A$2:A$163,"&lt;"&amp;DATE(YEAR(TODAY()),MONTH(TODAY())+1,1),B$2:B$163,$B$185),"")</f>
        <v/>
      </c>
      <c r="F185" s="11">
        <f>IFERROR(SUMPRODUCT((YEAR(A$2:A$163)=YEAR(TODAY()))*(MONTH(A$2:A$163)=MONTH(TODAY()))*(B$2:B$163=$B$185)*(F$2:F$163),"")</f>
        <v/>
      </c>
    </row>
    <row r="186">
      <c r="B186" s="2" t="inlineStr">
        <is>
          <t>SMM硫酸钴指数</t>
        </is>
      </c>
      <c r="C186" s="10">
        <f>IFERROR(AVERAGEIFS(C$2:C$163,A$2:A$163,"&gt;="&amp;DATE(YEAR(TODAY()),MONTH(TODAY()),1),A$2:A$163,"&lt;"&amp;DATE(YEAR(TODAY()),MONTH(TODAY())+1,1),B$2:B$163,$B$186),"")</f>
        <v/>
      </c>
      <c r="D186" s="10">
        <f>IFERROR(AVERAGEIFS(D$2:D$163,A$2:A$163,"&gt;="&amp;DATE(YEAR(TODAY()),MONTH(TODAY()),1),A$2:A$163,"&lt;"&amp;DATE(YEAR(TODAY()),MONTH(TODAY())+1,1),B$2:B$163,$B$186),"")</f>
        <v/>
      </c>
      <c r="E186" s="10">
        <f>IFERROR(AVERAGEIFS(E$2:E$163,A$2:A$163,"&gt;="&amp;DATE(YEAR(TODAY()),MONTH(TODAY()),1),A$2:A$163,"&lt;"&amp;DATE(YEAR(TODAY()),MONTH(TODAY())+1,1),B$2:B$163,$B$186),"")</f>
        <v/>
      </c>
      <c r="F186" s="11">
        <f>IFERROR(SUMPRODUCT((YEAR(A$2:A$163)=YEAR(TODAY()))*(MONTH(A$2:A$163)=MONTH(TODAY()))*(B$2:B$163=$B$186)*(F$2:F$163),"")</f>
        <v/>
      </c>
    </row>
    <row r="187">
      <c r="B187" s="2" t="inlineStr">
        <is>
          <t>SMM磷酸铁锂极片粉指数</t>
        </is>
      </c>
      <c r="C187" s="10">
        <f>IFERROR(AVERAGEIFS(C$2:C$163,A$2:A$163,"&gt;="&amp;DATE(YEAR(TODAY()),MONTH(TODAY()),1),A$2:A$163,"&lt;"&amp;DATE(YEAR(TODAY()),MONTH(TODAY())+1,1),B$2:B$163,$B$187),"")</f>
        <v/>
      </c>
      <c r="D187" s="10">
        <f>IFERROR(AVERAGEIFS(D$2:D$163,A$2:A$163,"&gt;="&amp;DATE(YEAR(TODAY()),MONTH(TODAY()),1),A$2:A$163,"&lt;"&amp;DATE(YEAR(TODAY()),MONTH(TODAY())+1,1),B$2:B$163,$B$187),"")</f>
        <v/>
      </c>
      <c r="E187" s="10">
        <f>IFERROR(AVERAGEIFS(E$2:E$163,A$2:A$163,"&gt;="&amp;DATE(YEAR(TODAY()),MONTH(TODAY()),1),A$2:A$163,"&lt;"&amp;DATE(YEAR(TODAY()),MONTH(TODAY())+1,1),B$2:B$163,$B$187),"")</f>
        <v/>
      </c>
      <c r="F187" s="11">
        <f>IFERROR(SUMPRODUCT((YEAR(A$2:A$163)=YEAR(TODAY()))*(MONTH(A$2:A$163)=MONTH(TODAY()))*(B$2:B$163=$B$187)*(F$2:F$163),"")</f>
        <v/>
      </c>
    </row>
    <row r="188">
      <c r="B188" s="2" t="inlineStr">
        <is>
          <t>SMM磷酸铁锂电池粉指数</t>
        </is>
      </c>
      <c r="C188" s="10">
        <f>IFERROR(AVERAGEIFS(C$2:C$163,A$2:A$163,"&gt;="&amp;DATE(YEAR(TODAY()),MONTH(TODAY()),1),A$2:A$163,"&lt;"&amp;DATE(YEAR(TODAY()),MONTH(TODAY())+1,1),B$2:B$163,$B$188),"")</f>
        <v/>
      </c>
      <c r="D188" s="10">
        <f>IFERROR(AVERAGEIFS(D$2:D$163,A$2:A$163,"&gt;="&amp;DATE(YEAR(TODAY()),MONTH(TODAY()),1),A$2:A$163,"&lt;"&amp;DATE(YEAR(TODAY()),MONTH(TODAY())+1,1),B$2:B$163,$B$188),"")</f>
        <v/>
      </c>
      <c r="E188" s="10">
        <f>IFERROR(AVERAGEIFS(E$2:E$163,A$2:A$163,"&gt;="&amp;DATE(YEAR(TODAY()),MONTH(TODAY()),1),A$2:A$163,"&lt;"&amp;DATE(YEAR(TODAY()),MONTH(TODAY())+1,1),B$2:B$163,$B$188),"")</f>
        <v/>
      </c>
      <c r="F188" s="11">
        <f>IFERROR(SUMPRODUCT((YEAR(A$2:A$163)=YEAR(TODAY()))*(MONTH(A$2:A$163)=MONTH(TODAY()))*(B$2:B$163=$B$188)*(F$2:F$163),"")</f>
        <v/>
      </c>
    </row>
    <row r="189">
      <c r="B189" s="2" t="inlineStr">
        <is>
          <t>SMM钴酸锂极片粉钴系数指数</t>
        </is>
      </c>
      <c r="C189" s="10">
        <f>IFERROR(AVERAGEIFS(C$2:C$163,A$2:A$163,"&gt;="&amp;DATE(YEAR(TODAY()),MONTH(TODAY()),1),A$2:A$163,"&lt;"&amp;DATE(YEAR(TODAY()),MONTH(TODAY())+1,1),B$2:B$163,$B$189),"")</f>
        <v/>
      </c>
      <c r="D189" s="10">
        <f>IFERROR(AVERAGEIFS(D$2:D$163,A$2:A$163,"&gt;="&amp;DATE(YEAR(TODAY()),MONTH(TODAY()),1),A$2:A$163,"&lt;"&amp;DATE(YEAR(TODAY()),MONTH(TODAY())+1,1),B$2:B$163,$B$189),"")</f>
        <v/>
      </c>
      <c r="E189" s="10">
        <f>IFERROR(AVERAGEIFS(E$2:E$163,A$2:A$163,"&gt;="&amp;DATE(YEAR(TODAY()),MONTH(TODAY()),1),A$2:A$163,"&lt;"&amp;DATE(YEAR(TODAY()),MONTH(TODAY())+1,1),B$2:B$163,$B$189),"")</f>
        <v/>
      </c>
      <c r="F189" s="11">
        <f>IFERROR(SUMPRODUCT((YEAR(A$2:A$163)=YEAR(TODAY()))*(MONTH(A$2:A$163)=MONTH(TODAY()))*(B$2:B$163=$B$189)*(F$2:F$163),"")</f>
        <v/>
      </c>
    </row>
    <row r="190">
      <c r="B190" s="2" t="inlineStr">
        <is>
          <t>SMM钴酸锂极片粉锂系数指数</t>
        </is>
      </c>
      <c r="C190" s="10">
        <f>IFERROR(AVERAGEIFS(C$2:C$163,A$2:A$163,"&gt;="&amp;DATE(YEAR(TODAY()),MONTH(TODAY()),1),A$2:A$163,"&lt;"&amp;DATE(YEAR(TODAY()),MONTH(TODAY())+1,1),B$2:B$163,$B$190),"")</f>
        <v/>
      </c>
      <c r="D190" s="10">
        <f>IFERROR(AVERAGEIFS(D$2:D$163,A$2:A$163,"&gt;="&amp;DATE(YEAR(TODAY()),MONTH(TODAY()),1),A$2:A$163,"&lt;"&amp;DATE(YEAR(TODAY()),MONTH(TODAY())+1,1),B$2:B$163,$B$190),"")</f>
        <v/>
      </c>
      <c r="E190" s="10">
        <f>IFERROR(AVERAGEIFS(E$2:E$163,A$2:A$163,"&gt;="&amp;DATE(YEAR(TODAY()),MONTH(TODAY()),1),A$2:A$163,"&lt;"&amp;DATE(YEAR(TODAY()),MONTH(TODAY())+1,1),B$2:B$163,$B$190),"")</f>
        <v/>
      </c>
      <c r="F190" s="11">
        <f>IFERROR(SUMPRODUCT((YEAR(A$2:A$163)=YEAR(TODAY()))*(MONTH(A$2:A$163)=MONTH(TODAY()))*(B$2:B$163=$B$190)*(F$2:F$163),"")</f>
        <v/>
      </c>
    </row>
    <row r="191">
      <c r="B191" s="2" t="inlineStr">
        <is>
          <t>SMM钴酸锂电池粉钴系数指数</t>
        </is>
      </c>
      <c r="C191" s="10">
        <f>IFERROR(AVERAGEIFS(C$2:C$163,A$2:A$163,"&gt;="&amp;DATE(YEAR(TODAY()),MONTH(TODAY()),1),A$2:A$163,"&lt;"&amp;DATE(YEAR(TODAY()),MONTH(TODAY())+1,1),B$2:B$163,$B$191),"")</f>
        <v/>
      </c>
      <c r="D191" s="10">
        <f>IFERROR(AVERAGEIFS(D$2:D$163,A$2:A$163,"&gt;="&amp;DATE(YEAR(TODAY()),MONTH(TODAY()),1),A$2:A$163,"&lt;"&amp;DATE(YEAR(TODAY()),MONTH(TODAY())+1,1),B$2:B$163,$B$191),"")</f>
        <v/>
      </c>
      <c r="E191" s="10">
        <f>IFERROR(AVERAGEIFS(E$2:E$163,A$2:A$163,"&gt;="&amp;DATE(YEAR(TODAY()),MONTH(TODAY()),1),A$2:A$163,"&lt;"&amp;DATE(YEAR(TODAY()),MONTH(TODAY())+1,1),B$2:B$163,$B$191),"")</f>
        <v/>
      </c>
      <c r="F191" s="11">
        <f>IFERROR(SUMPRODUCT((YEAR(A$2:A$163)=YEAR(TODAY()))*(MONTH(A$2:A$163)=MONTH(TODAY()))*(B$2:B$163=$B$191)*(F$2:F$163),"")</f>
        <v/>
      </c>
    </row>
    <row r="192">
      <c r="B192" s="2" t="inlineStr">
        <is>
          <t>SMM钴酸锂电池粉锂系数指数</t>
        </is>
      </c>
      <c r="C192" s="10">
        <f>IFERROR(AVERAGEIFS(C$2:C$163,A$2:A$163,"&gt;="&amp;DATE(YEAR(TODAY()),MONTH(TODAY()),1),A$2:A$163,"&lt;"&amp;DATE(YEAR(TODAY()),MONTH(TODAY())+1,1),B$2:B$163,$B$192),"")</f>
        <v/>
      </c>
      <c r="D192" s="10">
        <f>IFERROR(AVERAGEIFS(D$2:D$163,A$2:A$163,"&gt;="&amp;DATE(YEAR(TODAY()),MONTH(TODAY()),1),A$2:A$163,"&lt;"&amp;DATE(YEAR(TODAY()),MONTH(TODAY())+1,1),B$2:B$163,$B$192),"")</f>
        <v/>
      </c>
      <c r="E192" s="10">
        <f>IFERROR(AVERAGEIFS(E$2:E$163,A$2:A$163,"&gt;="&amp;DATE(YEAR(TODAY()),MONTH(TODAY()),1),A$2:A$163,"&lt;"&amp;DATE(YEAR(TODAY()),MONTH(TODAY())+1,1),B$2:B$163,$B$192),"")</f>
        <v/>
      </c>
      <c r="F192" s="11">
        <f>IFERROR(SUMPRODUCT((YEAR(A$2:A$163)=YEAR(TODAY()))*(MONTH(A$2:A$163)=MONTH(TODAY()))*(B$2:B$163=$B$192)*(F$2:F$163),"")</f>
        <v/>
      </c>
    </row>
    <row r="193">
      <c r="B193" s="2" t="inlineStr">
        <is>
          <t>三元方壳锂电B品</t>
        </is>
      </c>
      <c r="C193" s="10">
        <f>IFERROR(AVERAGEIFS(C$2:C$163,A$2:A$163,"&gt;="&amp;DATE(YEAR(TODAY()),MONTH(TODAY()),1),A$2:A$163,"&lt;"&amp;DATE(YEAR(TODAY()),MONTH(TODAY())+1,1),B$2:B$163,$B$193),"")</f>
        <v/>
      </c>
      <c r="D193" s="10">
        <f>IFERROR(AVERAGEIFS(D$2:D$163,A$2:A$163,"&gt;="&amp;DATE(YEAR(TODAY()),MONTH(TODAY()),1),A$2:A$163,"&lt;"&amp;DATE(YEAR(TODAY()),MONTH(TODAY())+1,1),B$2:B$163,$B$193),"")</f>
        <v/>
      </c>
      <c r="E193" s="10">
        <f>IFERROR(AVERAGEIFS(E$2:E$163,A$2:A$163,"&gt;="&amp;DATE(YEAR(TODAY()),MONTH(TODAY()),1),A$2:A$163,"&lt;"&amp;DATE(YEAR(TODAY()),MONTH(TODAY())+1,1),B$2:B$163,$B$193),"")</f>
        <v/>
      </c>
      <c r="F193" s="11">
        <f>IFERROR(SUMPRODUCT((YEAR(A$2:A$163)=YEAR(TODAY()))*(MONTH(A$2:A$163)=MONTH(TODAY()))*(B$2:B$163=$B$193)*(F$2:F$163),"")</f>
        <v/>
      </c>
    </row>
    <row r="194">
      <c r="B194" s="2" t="inlineStr">
        <is>
          <t>六氟磷酸锂（国产）</t>
        </is>
      </c>
      <c r="C194" s="10">
        <f>IFERROR(AVERAGEIFS(C$2:C$163,A$2:A$163,"&gt;="&amp;DATE(YEAR(TODAY()),MONTH(TODAY()),1),A$2:A$163,"&lt;"&amp;DATE(YEAR(TODAY()),MONTH(TODAY())+1,1),B$2:B$163,$B$194),"")</f>
        <v/>
      </c>
      <c r="D194" s="10">
        <f>IFERROR(AVERAGEIFS(D$2:D$163,A$2:A$163,"&gt;="&amp;DATE(YEAR(TODAY()),MONTH(TODAY()),1),A$2:A$163,"&lt;"&amp;DATE(YEAR(TODAY()),MONTH(TODAY())+1,1),B$2:B$163,$B$194),"")</f>
        <v/>
      </c>
      <c r="E194" s="10">
        <f>IFERROR(AVERAGEIFS(E$2:E$163,A$2:A$163,"&gt;="&amp;DATE(YEAR(TODAY()),MONTH(TODAY()),1),A$2:A$163,"&lt;"&amp;DATE(YEAR(TODAY()),MONTH(TODAY())+1,1),B$2:B$163,$B$194),"")</f>
        <v/>
      </c>
      <c r="F194" s="11">
        <f>IFERROR(SUMPRODUCT((YEAR(A$2:A$163)=YEAR(TODAY()))*(MONTH(A$2:A$163)=MONTH(TODAY()))*(B$2:B$163=$B$194)*(F$2:F$163),"")</f>
        <v/>
      </c>
    </row>
    <row r="195">
      <c r="B195" s="2" t="inlineStr">
        <is>
          <t>四氧化三钴</t>
        </is>
      </c>
      <c r="C195" s="10">
        <f>IFERROR(AVERAGEIFS(C$2:C$163,A$2:A$163,"&gt;="&amp;DATE(YEAR(TODAY()),MONTH(TODAY()),1),A$2:A$163,"&lt;"&amp;DATE(YEAR(TODAY()),MONTH(TODAY())+1,1),B$2:B$163,$B$195),"")</f>
        <v/>
      </c>
      <c r="D195" s="10">
        <f>IFERROR(AVERAGEIFS(D$2:D$163,A$2:A$163,"&gt;="&amp;DATE(YEAR(TODAY()),MONTH(TODAY()),1),A$2:A$163,"&lt;"&amp;DATE(YEAR(TODAY()),MONTH(TODAY())+1,1),B$2:B$163,$B$195),"")</f>
        <v/>
      </c>
      <c r="E195" s="10">
        <f>IFERROR(AVERAGEIFS(E$2:E$163,A$2:A$163,"&gt;="&amp;DATE(YEAR(TODAY()),MONTH(TODAY()),1),A$2:A$163,"&lt;"&amp;DATE(YEAR(TODAY()),MONTH(TODAY())+1,1),B$2:B$163,$B$195),"")</f>
        <v/>
      </c>
      <c r="F195" s="11">
        <f>IFERROR(SUMPRODUCT((YEAR(A$2:A$163)=YEAR(TODAY()))*(MONTH(A$2:A$163)=MONTH(TODAY()))*(B$2:B$163=$B$195)*(F$2:F$163),"")</f>
        <v/>
      </c>
    </row>
    <row r="196">
      <c r="B196" s="2" t="inlineStr">
        <is>
          <t>四氧化三锰（电池级）</t>
        </is>
      </c>
      <c r="C196" s="10">
        <f>IFERROR(AVERAGEIFS(C$2:C$163,A$2:A$163,"&gt;="&amp;DATE(YEAR(TODAY()),MONTH(TODAY()),1),A$2:A$163,"&lt;"&amp;DATE(YEAR(TODAY()),MONTH(TODAY())+1,1),B$2:B$163,$B$196),"")</f>
        <v/>
      </c>
      <c r="D196" s="10">
        <f>IFERROR(AVERAGEIFS(D$2:D$163,A$2:A$163,"&gt;="&amp;DATE(YEAR(TODAY()),MONTH(TODAY()),1),A$2:A$163,"&lt;"&amp;DATE(YEAR(TODAY()),MONTH(TODAY())+1,1),B$2:B$163,$B$196),"")</f>
        <v/>
      </c>
      <c r="E196" s="10">
        <f>IFERROR(AVERAGEIFS(E$2:E$163,A$2:A$163,"&gt;="&amp;DATE(YEAR(TODAY()),MONTH(TODAY()),1),A$2:A$163,"&lt;"&amp;DATE(YEAR(TODAY()),MONTH(TODAY())+1,1),B$2:B$163,$B$196),"")</f>
        <v/>
      </c>
      <c r="F196" s="11">
        <f>IFERROR(SUMPRODUCT((YEAR(A$2:A$163)=YEAR(TODAY()))*(MONTH(A$2:A$163)=MONTH(TODAY()))*(B$2:B$163=$B$196)*(F$2:F$163),"")</f>
        <v/>
      </c>
    </row>
    <row r="197">
      <c r="B197" s="2" t="inlineStr">
        <is>
          <t>工业级氢氧化锂</t>
        </is>
      </c>
      <c r="C197" s="10">
        <f>IFERROR(AVERAGEIFS(C$2:C$163,A$2:A$163,"&gt;="&amp;DATE(YEAR(TODAY()),MONTH(TODAY()),1),A$2:A$163,"&lt;"&amp;DATE(YEAR(TODAY()),MONTH(TODAY())+1,1),B$2:B$163,$B$197),"")</f>
        <v/>
      </c>
      <c r="D197" s="10">
        <f>IFERROR(AVERAGEIFS(D$2:D$163,A$2:A$163,"&gt;="&amp;DATE(YEAR(TODAY()),MONTH(TODAY()),1),A$2:A$163,"&lt;"&amp;DATE(YEAR(TODAY()),MONTH(TODAY())+1,1),B$2:B$163,$B$197),"")</f>
        <v/>
      </c>
      <c r="E197" s="10">
        <f>IFERROR(AVERAGEIFS(E$2:E$163,A$2:A$163,"&gt;="&amp;DATE(YEAR(TODAY()),MONTH(TODAY()),1),A$2:A$163,"&lt;"&amp;DATE(YEAR(TODAY()),MONTH(TODAY())+1,1),B$2:B$163,$B$197),"")</f>
        <v/>
      </c>
      <c r="F197" s="11">
        <f>IFERROR(SUMPRODUCT((YEAR(A$2:A$163)=YEAR(TODAY()))*(MONTH(A$2:A$163)=MONTH(TODAY()))*(B$2:B$163=$B$197)*(F$2:F$163),"")</f>
        <v/>
      </c>
    </row>
    <row r="198">
      <c r="B198" s="2" t="inlineStr">
        <is>
          <t>工业级碳酸锂</t>
        </is>
      </c>
      <c r="C198" s="10">
        <f>IFERROR(AVERAGEIFS(C$2:C$163,A$2:A$163,"&gt;="&amp;DATE(YEAR(TODAY()),MONTH(TODAY()),1),A$2:A$163,"&lt;"&amp;DATE(YEAR(TODAY()),MONTH(TODAY())+1,1),B$2:B$163,$B$198),"")</f>
        <v/>
      </c>
      <c r="D198" s="10">
        <f>IFERROR(AVERAGEIFS(D$2:D$163,A$2:A$163,"&gt;="&amp;DATE(YEAR(TODAY()),MONTH(TODAY()),1),A$2:A$163,"&lt;"&amp;DATE(YEAR(TODAY()),MONTH(TODAY())+1,1),B$2:B$163,$B$198),"")</f>
        <v/>
      </c>
      <c r="E198" s="10">
        <f>IFERROR(AVERAGEIFS(E$2:E$163,A$2:A$163,"&gt;="&amp;DATE(YEAR(TODAY()),MONTH(TODAY()),1),A$2:A$163,"&lt;"&amp;DATE(YEAR(TODAY()),MONTH(TODAY())+1,1),B$2:B$163,$B$198),"")</f>
        <v/>
      </c>
      <c r="F198" s="11">
        <f>IFERROR(SUMPRODUCT((YEAR(A$2:A$163)=YEAR(TODAY()))*(MONTH(A$2:A$163)=MONTH(TODAY()))*(B$2:B$163=$B$198)*(F$2:F$163),"")</f>
        <v/>
      </c>
    </row>
    <row r="199">
      <c r="B199" s="2" t="inlineStr">
        <is>
          <t>工业级金属锂</t>
        </is>
      </c>
      <c r="C199" s="10">
        <f>IFERROR(AVERAGEIFS(C$2:C$163,A$2:A$163,"&gt;="&amp;DATE(YEAR(TODAY()),MONTH(TODAY()),1),A$2:A$163,"&lt;"&amp;DATE(YEAR(TODAY()),MONTH(TODAY())+1,1),B$2:B$163,$B$199),"")</f>
        <v/>
      </c>
      <c r="D199" s="10">
        <f>IFERROR(AVERAGEIFS(D$2:D$163,A$2:A$163,"&gt;="&amp;DATE(YEAR(TODAY()),MONTH(TODAY()),1),A$2:A$163,"&lt;"&amp;DATE(YEAR(TODAY()),MONTH(TODAY())+1,1),B$2:B$163,$B$199),"")</f>
        <v/>
      </c>
      <c r="E199" s="10">
        <f>IFERROR(AVERAGEIFS(E$2:E$163,A$2:A$163,"&gt;="&amp;DATE(YEAR(TODAY()),MONTH(TODAY()),1),A$2:A$163,"&lt;"&amp;DATE(YEAR(TODAY()),MONTH(TODAY())+1,1),B$2:B$163,$B$199),"")</f>
        <v/>
      </c>
      <c r="F199" s="11">
        <f>IFERROR(SUMPRODUCT((YEAR(A$2:A$163)=YEAR(TODAY()))*(MONTH(A$2:A$163)=MONTH(TODAY()))*(B$2:B$163=$B$199)*(F$2:F$163),"")</f>
        <v/>
      </c>
    </row>
    <row r="200">
      <c r="B200" s="2" t="inlineStr">
        <is>
          <t>巴西锂辉石精矿（CIF中国）现货</t>
        </is>
      </c>
      <c r="C200" s="10">
        <f>IFERROR(AVERAGEIFS(C$2:C$163,A$2:A$163,"&gt;="&amp;DATE(YEAR(TODAY()),MONTH(TODAY()),1),A$2:A$163,"&lt;"&amp;DATE(YEAR(TODAY()),MONTH(TODAY())+1,1),B$2:B$163,$B$200),"")</f>
        <v/>
      </c>
      <c r="D200" s="10">
        <f>IFERROR(AVERAGEIFS(D$2:D$163,A$2:A$163,"&gt;="&amp;DATE(YEAR(TODAY()),MONTH(TODAY()),1),A$2:A$163,"&lt;"&amp;DATE(YEAR(TODAY()),MONTH(TODAY())+1,1),B$2:B$163,$B$200),"")</f>
        <v/>
      </c>
      <c r="E200" s="10">
        <f>IFERROR(AVERAGEIFS(E$2:E$163,A$2:A$163,"&gt;="&amp;DATE(YEAR(TODAY()),MONTH(TODAY()),1),A$2:A$163,"&lt;"&amp;DATE(YEAR(TODAY()),MONTH(TODAY())+1,1),B$2:B$163,$B$200),"")</f>
        <v/>
      </c>
      <c r="F200" s="11">
        <f>IFERROR(SUMPRODUCT((YEAR(A$2:A$163)=YEAR(TODAY()))*(MONTH(A$2:A$163)=MONTH(TODAY()))*(B$2:B$163=$B$200)*(F$2:F$163),"")</f>
        <v/>
      </c>
    </row>
    <row r="201">
      <c r="B201" s="2" t="inlineStr">
        <is>
          <t>废旧磷酸铁锂储能正极片</t>
        </is>
      </c>
      <c r="C201" s="10">
        <f>IFERROR(AVERAGEIFS(C$2:C$163,A$2:A$163,"&gt;="&amp;DATE(YEAR(TODAY()),MONTH(TODAY()),1),A$2:A$163,"&lt;"&amp;DATE(YEAR(TODAY()),MONTH(TODAY())+1,1),B$2:B$163,$B$201),"")</f>
        <v/>
      </c>
      <c r="D201" s="10">
        <f>IFERROR(AVERAGEIFS(D$2:D$163,A$2:A$163,"&gt;="&amp;DATE(YEAR(TODAY()),MONTH(TODAY()),1),A$2:A$163,"&lt;"&amp;DATE(YEAR(TODAY()),MONTH(TODAY())+1,1),B$2:B$163,$B$201),"")</f>
        <v/>
      </c>
      <c r="E201" s="10">
        <f>IFERROR(AVERAGEIFS(E$2:E$163,A$2:A$163,"&gt;="&amp;DATE(YEAR(TODAY()),MONTH(TODAY()),1),A$2:A$163,"&lt;"&amp;DATE(YEAR(TODAY()),MONTH(TODAY())+1,1),B$2:B$163,$B$201),"")</f>
        <v/>
      </c>
      <c r="F201" s="11">
        <f>IFERROR(SUMPRODUCT((YEAR(A$2:A$163)=YEAR(TODAY()))*(MONTH(A$2:A$163)=MONTH(TODAY()))*(B$2:B$163=$B$201)*(F$2:F$163),"")</f>
        <v/>
      </c>
    </row>
    <row r="202">
      <c r="B202" s="2" t="inlineStr">
        <is>
          <t>废旧磷酸铁锂动力正极片</t>
        </is>
      </c>
      <c r="C202" s="10">
        <f>IFERROR(AVERAGEIFS(C$2:C$163,A$2:A$163,"&gt;="&amp;DATE(YEAR(TODAY()),MONTH(TODAY()),1),A$2:A$163,"&lt;"&amp;DATE(YEAR(TODAY()),MONTH(TODAY())+1,1),B$2:B$163,$B$202),"")</f>
        <v/>
      </c>
      <c r="D202" s="10">
        <f>IFERROR(AVERAGEIFS(D$2:D$163,A$2:A$163,"&gt;="&amp;DATE(YEAR(TODAY()),MONTH(TODAY()),1),A$2:A$163,"&lt;"&amp;DATE(YEAR(TODAY()),MONTH(TODAY())+1,1),B$2:B$163,$B$202),"")</f>
        <v/>
      </c>
      <c r="E202" s="10">
        <f>IFERROR(AVERAGEIFS(E$2:E$163,A$2:A$163,"&gt;="&amp;DATE(YEAR(TODAY()),MONTH(TODAY()),1),A$2:A$163,"&lt;"&amp;DATE(YEAR(TODAY()),MONTH(TODAY())+1,1),B$2:B$163,$B$202),"")</f>
        <v/>
      </c>
      <c r="F202" s="11">
        <f>IFERROR(SUMPRODUCT((YEAR(A$2:A$163)=YEAR(TODAY()))*(MONTH(A$2:A$163)=MONTH(TODAY()))*(B$2:B$163=$B$202)*(F$2:F$163),"")</f>
        <v/>
      </c>
    </row>
    <row r="203">
      <c r="B203" s="2" t="inlineStr">
        <is>
          <t>废旧磷酸铁锂软包电池</t>
        </is>
      </c>
      <c r="C203" s="10">
        <f>IFERROR(AVERAGEIFS(C$2:C$163,A$2:A$163,"&gt;="&amp;DATE(YEAR(TODAY()),MONTH(TODAY()),1),A$2:A$163,"&lt;"&amp;DATE(YEAR(TODAY()),MONTH(TODAY())+1,1),B$2:B$163,$B$203),"")</f>
        <v/>
      </c>
      <c r="D203" s="10">
        <f>IFERROR(AVERAGEIFS(D$2:D$163,A$2:A$163,"&gt;="&amp;DATE(YEAR(TODAY()),MONTH(TODAY()),1),A$2:A$163,"&lt;"&amp;DATE(YEAR(TODAY()),MONTH(TODAY())+1,1),B$2:B$163,$B$203),"")</f>
        <v/>
      </c>
      <c r="E203" s="10">
        <f>IFERROR(AVERAGEIFS(E$2:E$163,A$2:A$163,"&gt;="&amp;DATE(YEAR(TODAY()),MONTH(TODAY()),1),A$2:A$163,"&lt;"&amp;DATE(YEAR(TODAY()),MONTH(TODAY())+1,1),B$2:B$163,$B$203),"")</f>
        <v/>
      </c>
      <c r="F203" s="11">
        <f>IFERROR(SUMPRODUCT((YEAR(A$2:A$163)=YEAR(TODAY()))*(MONTH(A$2:A$163)=MONTH(TODAY()))*(B$2:B$163=$B$203)*(F$2:F$163),"")</f>
        <v/>
      </c>
    </row>
    <row r="204">
      <c r="B204" s="2" t="inlineStr">
        <is>
          <t>废旧磷酸铁锂钢壳电池</t>
        </is>
      </c>
      <c r="C204" s="10">
        <f>IFERROR(AVERAGEIFS(C$2:C$163,A$2:A$163,"&gt;="&amp;DATE(YEAR(TODAY()),MONTH(TODAY()),1),A$2:A$163,"&lt;"&amp;DATE(YEAR(TODAY()),MONTH(TODAY())+1,1),B$2:B$163,$B$204),"")</f>
        <v/>
      </c>
      <c r="D204" s="10">
        <f>IFERROR(AVERAGEIFS(D$2:D$163,A$2:A$163,"&gt;="&amp;DATE(YEAR(TODAY()),MONTH(TODAY()),1),A$2:A$163,"&lt;"&amp;DATE(YEAR(TODAY()),MONTH(TODAY())+1,1),B$2:B$163,$B$204),"")</f>
        <v/>
      </c>
      <c r="E204" s="10">
        <f>IFERROR(AVERAGEIFS(E$2:E$163,A$2:A$163,"&gt;="&amp;DATE(YEAR(TODAY()),MONTH(TODAY()),1),A$2:A$163,"&lt;"&amp;DATE(YEAR(TODAY()),MONTH(TODAY())+1,1),B$2:B$163,$B$204),"")</f>
        <v/>
      </c>
      <c r="F204" s="11">
        <f>IFERROR(SUMPRODUCT((YEAR(A$2:A$163)=YEAR(TODAY()))*(MONTH(A$2:A$163)=MONTH(TODAY()))*(B$2:B$163=$B$204)*(F$2:F$163),"")</f>
        <v/>
      </c>
    </row>
    <row r="205">
      <c r="B205" s="2" t="inlineStr">
        <is>
          <t>废旧磷酸铁锂铝壳电池</t>
        </is>
      </c>
      <c r="C205" s="10">
        <f>IFERROR(AVERAGEIFS(C$2:C$163,A$2:A$163,"&gt;="&amp;DATE(YEAR(TODAY()),MONTH(TODAY()),1),A$2:A$163,"&lt;"&amp;DATE(YEAR(TODAY()),MONTH(TODAY())+1,1),B$2:B$163,$B$205),"")</f>
        <v/>
      </c>
      <c r="D205" s="10">
        <f>IFERROR(AVERAGEIFS(D$2:D$163,A$2:A$163,"&gt;="&amp;DATE(YEAR(TODAY()),MONTH(TODAY()),1),A$2:A$163,"&lt;"&amp;DATE(YEAR(TODAY()),MONTH(TODAY())+1,1),B$2:B$163,$B$205),"")</f>
        <v/>
      </c>
      <c r="E205" s="10">
        <f>IFERROR(AVERAGEIFS(E$2:E$163,A$2:A$163,"&gt;="&amp;DATE(YEAR(TODAY()),MONTH(TODAY()),1),A$2:A$163,"&lt;"&amp;DATE(YEAR(TODAY()),MONTH(TODAY())+1,1),B$2:B$163,$B$205),"")</f>
        <v/>
      </c>
      <c r="F205" s="11">
        <f>IFERROR(SUMPRODUCT((YEAR(A$2:A$163)=YEAR(TODAY()))*(MONTH(A$2:A$163)=MONTH(TODAY()))*(B$2:B$163=$B$205)*(F$2:F$163),"")</f>
        <v/>
      </c>
    </row>
    <row r="206">
      <c r="B206" s="2" t="inlineStr">
        <is>
          <t>方形磷酸铁锂电池B品</t>
        </is>
      </c>
      <c r="C206" s="10">
        <f>IFERROR(AVERAGEIFS(C$2:C$163,A$2:A$163,"&gt;="&amp;DATE(YEAR(TODAY()),MONTH(TODAY()),1),A$2:A$163,"&lt;"&amp;DATE(YEAR(TODAY()),MONTH(TODAY())+1,1),B$2:B$163,$B$206),"")</f>
        <v/>
      </c>
      <c r="D206" s="10">
        <f>IFERROR(AVERAGEIFS(D$2:D$163,A$2:A$163,"&gt;="&amp;DATE(YEAR(TODAY()),MONTH(TODAY()),1),A$2:A$163,"&lt;"&amp;DATE(YEAR(TODAY()),MONTH(TODAY())+1,1),B$2:B$163,$B$206),"")</f>
        <v/>
      </c>
      <c r="E206" s="10">
        <f>IFERROR(AVERAGEIFS(E$2:E$163,A$2:A$163,"&gt;="&amp;DATE(YEAR(TODAY()),MONTH(TODAY()),1),A$2:A$163,"&lt;"&amp;DATE(YEAR(TODAY()),MONTH(TODAY())+1,1),B$2:B$163,$B$206),"")</f>
        <v/>
      </c>
      <c r="F206" s="11">
        <f>IFERROR(SUMPRODUCT((YEAR(A$2:A$163)=YEAR(TODAY()))*(MONTH(A$2:A$163)=MONTH(TODAY()))*(B$2:B$163=$B$206)*(F$2:F$163),"")</f>
        <v/>
      </c>
    </row>
    <row r="207">
      <c r="B207" s="2" t="inlineStr">
        <is>
          <t>氧化亚镍</t>
        </is>
      </c>
      <c r="C207" s="10">
        <f>IFERROR(AVERAGEIFS(C$2:C$163,A$2:A$163,"&gt;="&amp;DATE(YEAR(TODAY()),MONTH(TODAY()),1),A$2:A$163,"&lt;"&amp;DATE(YEAR(TODAY()),MONTH(TODAY())+1,1),B$2:B$163,$B$207),"")</f>
        <v/>
      </c>
      <c r="D207" s="10">
        <f>IFERROR(AVERAGEIFS(D$2:D$163,A$2:A$163,"&gt;="&amp;DATE(YEAR(TODAY()),MONTH(TODAY()),1),A$2:A$163,"&lt;"&amp;DATE(YEAR(TODAY()),MONTH(TODAY())+1,1),B$2:B$163,$B$207),"")</f>
        <v/>
      </c>
      <c r="E207" s="10">
        <f>IFERROR(AVERAGEIFS(E$2:E$163,A$2:A$163,"&gt;="&amp;DATE(YEAR(TODAY()),MONTH(TODAY()),1),A$2:A$163,"&lt;"&amp;DATE(YEAR(TODAY()),MONTH(TODAY())+1,1),B$2:B$163,$B$207),"")</f>
        <v/>
      </c>
      <c r="F207" s="11">
        <f>IFERROR(SUMPRODUCT((YEAR(A$2:A$163)=YEAR(TODAY()))*(MONTH(A$2:A$163)=MONTH(TODAY()))*(B$2:B$163=$B$207)*(F$2:F$163),"")</f>
        <v/>
      </c>
    </row>
    <row r="208">
      <c r="B208" s="2" t="inlineStr">
        <is>
          <t>氧化钴</t>
        </is>
      </c>
      <c r="C208" s="10">
        <f>IFERROR(AVERAGEIFS(C$2:C$163,A$2:A$163,"&gt;="&amp;DATE(YEAR(TODAY()),MONTH(TODAY()),1),A$2:A$163,"&lt;"&amp;DATE(YEAR(TODAY()),MONTH(TODAY())+1,1),B$2:B$163,$B$208),"")</f>
        <v/>
      </c>
      <c r="D208" s="10">
        <f>IFERROR(AVERAGEIFS(D$2:D$163,A$2:A$163,"&gt;="&amp;DATE(YEAR(TODAY()),MONTH(TODAY()),1),A$2:A$163,"&lt;"&amp;DATE(YEAR(TODAY()),MONTH(TODAY())+1,1),B$2:B$163,$B$208),"")</f>
        <v/>
      </c>
      <c r="E208" s="10">
        <f>IFERROR(AVERAGEIFS(E$2:E$163,A$2:A$163,"&gt;="&amp;DATE(YEAR(TODAY()),MONTH(TODAY()),1),A$2:A$163,"&lt;"&amp;DATE(YEAR(TODAY()),MONTH(TODAY())+1,1),B$2:B$163,$B$208),"")</f>
        <v/>
      </c>
      <c r="F208" s="11">
        <f>IFERROR(SUMPRODUCT((YEAR(A$2:A$163)=YEAR(TODAY()))*(MONTH(A$2:A$163)=MONTH(TODAY()))*(B$2:B$163=$B$208)*(F$2:F$163),"")</f>
        <v/>
      </c>
    </row>
    <row r="209">
      <c r="B209" s="2" t="inlineStr">
        <is>
          <t>氯化钴</t>
        </is>
      </c>
      <c r="C209" s="10">
        <f>IFERROR(AVERAGEIFS(C$2:C$163,A$2:A$163,"&gt;="&amp;DATE(YEAR(TODAY()),MONTH(TODAY()),1),A$2:A$163,"&lt;"&amp;DATE(YEAR(TODAY()),MONTH(TODAY())+1,1),B$2:B$163,$B$209),"")</f>
        <v/>
      </c>
      <c r="D209" s="10">
        <f>IFERROR(AVERAGEIFS(D$2:D$163,A$2:A$163,"&gt;="&amp;DATE(YEAR(TODAY()),MONTH(TODAY()),1),A$2:A$163,"&lt;"&amp;DATE(YEAR(TODAY()),MONTH(TODAY())+1,1),B$2:B$163,$B$209),"")</f>
        <v/>
      </c>
      <c r="E209" s="10">
        <f>IFERROR(AVERAGEIFS(E$2:E$163,A$2:A$163,"&gt;="&amp;DATE(YEAR(TODAY()),MONTH(TODAY()),1),A$2:A$163,"&lt;"&amp;DATE(YEAR(TODAY()),MONTH(TODAY())+1,1),B$2:B$163,$B$209),"")</f>
        <v/>
      </c>
      <c r="F209" s="11">
        <f>IFERROR(SUMPRODUCT((YEAR(A$2:A$163)=YEAR(TODAY()))*(MONTH(A$2:A$163)=MONTH(TODAY()))*(B$2:B$163=$B$209)*(F$2:F$163),"")</f>
        <v/>
      </c>
    </row>
    <row r="210">
      <c r="B210" s="2" t="inlineStr">
        <is>
          <t>氯化镍NiCl₂·6H₂O</t>
        </is>
      </c>
      <c r="C210" s="10">
        <f>IFERROR(AVERAGEIFS(C$2:C$163,A$2:A$163,"&gt;="&amp;DATE(YEAR(TODAY()),MONTH(TODAY()),1),A$2:A$163,"&lt;"&amp;DATE(YEAR(TODAY()),MONTH(TODAY())+1,1),B$2:B$163,$B$210),"")</f>
        <v/>
      </c>
      <c r="D210" s="10">
        <f>IFERROR(AVERAGEIFS(D$2:D$163,A$2:A$163,"&gt;="&amp;DATE(YEAR(TODAY()),MONTH(TODAY()),1),A$2:A$163,"&lt;"&amp;DATE(YEAR(TODAY()),MONTH(TODAY())+1,1),B$2:B$163,$B$210),"")</f>
        <v/>
      </c>
      <c r="E210" s="10">
        <f>IFERROR(AVERAGEIFS(E$2:E$163,A$2:A$163,"&gt;="&amp;DATE(YEAR(TODAY()),MONTH(TODAY()),1),A$2:A$163,"&lt;"&amp;DATE(YEAR(TODAY()),MONTH(TODAY())+1,1),B$2:B$163,$B$210),"")</f>
        <v/>
      </c>
      <c r="F210" s="11">
        <f>IFERROR(SUMPRODUCT((YEAR(A$2:A$163)=YEAR(TODAY()))*(MONTH(A$2:A$163)=MONTH(TODAY()))*(B$2:B$163=$B$210)*(F$2:F$163),"")</f>
        <v/>
      </c>
    </row>
    <row r="211">
      <c r="B211" s="2" t="inlineStr">
        <is>
          <t>津巴布韦锂辉石精矿（CIF中国）现货</t>
        </is>
      </c>
      <c r="C211" s="10">
        <f>IFERROR(AVERAGEIFS(C$2:C$163,A$2:A$163,"&gt;="&amp;DATE(YEAR(TODAY()),MONTH(TODAY()),1),A$2:A$163,"&lt;"&amp;DATE(YEAR(TODAY()),MONTH(TODAY())+1,1),B$2:B$163,$B$211),"")</f>
        <v/>
      </c>
      <c r="D211" s="10">
        <f>IFERROR(AVERAGEIFS(D$2:D$163,A$2:A$163,"&gt;="&amp;DATE(YEAR(TODAY()),MONTH(TODAY()),1),A$2:A$163,"&lt;"&amp;DATE(YEAR(TODAY()),MONTH(TODAY())+1,1),B$2:B$163,$B$211),"")</f>
        <v/>
      </c>
      <c r="E211" s="10">
        <f>IFERROR(AVERAGEIFS(E$2:E$163,A$2:A$163,"&gt;="&amp;DATE(YEAR(TODAY()),MONTH(TODAY()),1),A$2:A$163,"&lt;"&amp;DATE(YEAR(TODAY()),MONTH(TODAY())+1,1),B$2:B$163,$B$211),"")</f>
        <v/>
      </c>
      <c r="F211" s="11">
        <f>IFERROR(SUMPRODUCT((YEAR(A$2:A$163)=YEAR(TODAY()))*(MONTH(A$2:A$163)=MONTH(TODAY()))*(B$2:B$163=$B$211)*(F$2:F$163),"")</f>
        <v/>
      </c>
    </row>
    <row r="212">
      <c r="B212" s="2" t="inlineStr">
        <is>
          <t>澳大利亚锂辉石精矿（CIF中国）现货</t>
        </is>
      </c>
      <c r="C212" s="10">
        <f>IFERROR(AVERAGEIFS(C$2:C$163,A$2:A$163,"&gt;="&amp;DATE(YEAR(TODAY()),MONTH(TODAY()),1),A$2:A$163,"&lt;"&amp;DATE(YEAR(TODAY()),MONTH(TODAY())+1,1),B$2:B$163,$B$212),"")</f>
        <v/>
      </c>
      <c r="D212" s="10">
        <f>IFERROR(AVERAGEIFS(D$2:D$163,A$2:A$163,"&gt;="&amp;DATE(YEAR(TODAY()),MONTH(TODAY()),1),A$2:A$163,"&lt;"&amp;DATE(YEAR(TODAY()),MONTH(TODAY())+1,1),B$2:B$163,$B$212),"")</f>
        <v/>
      </c>
      <c r="E212" s="10">
        <f>IFERROR(AVERAGEIFS(E$2:E$163,A$2:A$163,"&gt;="&amp;DATE(YEAR(TODAY()),MONTH(TODAY()),1),A$2:A$163,"&lt;"&amp;DATE(YEAR(TODAY()),MONTH(TODAY())+1,1),B$2:B$163,$B$212),"")</f>
        <v/>
      </c>
      <c r="F212" s="11">
        <f>IFERROR(SUMPRODUCT((YEAR(A$2:A$163)=YEAR(TODAY()))*(MONTH(A$2:A$163)=MONTH(TODAY()))*(B$2:B$163=$B$212)*(F$2:F$163),"")</f>
        <v/>
      </c>
    </row>
    <row r="213">
      <c r="B213" s="2" t="inlineStr">
        <is>
          <t>电池级无水氯化锂</t>
        </is>
      </c>
      <c r="C213" s="10">
        <f>IFERROR(AVERAGEIFS(C$2:C$163,A$2:A$163,"&gt;="&amp;DATE(YEAR(TODAY()),MONTH(TODAY()),1),A$2:A$163,"&lt;"&amp;DATE(YEAR(TODAY()),MONTH(TODAY())+1,1),B$2:B$163,$B$213),"")</f>
        <v/>
      </c>
      <c r="D213" s="10">
        <f>IFERROR(AVERAGEIFS(D$2:D$163,A$2:A$163,"&gt;="&amp;DATE(YEAR(TODAY()),MONTH(TODAY()),1),A$2:A$163,"&lt;"&amp;DATE(YEAR(TODAY()),MONTH(TODAY())+1,1),B$2:B$163,$B$213),"")</f>
        <v/>
      </c>
      <c r="E213" s="10">
        <f>IFERROR(AVERAGEIFS(E$2:E$163,A$2:A$163,"&gt;="&amp;DATE(YEAR(TODAY()),MONTH(TODAY()),1),A$2:A$163,"&lt;"&amp;DATE(YEAR(TODAY()),MONTH(TODAY())+1,1),B$2:B$163,$B$213),"")</f>
        <v/>
      </c>
      <c r="F213" s="11">
        <f>IFERROR(SUMPRODUCT((YEAR(A$2:A$163)=YEAR(TODAY()))*(MONTH(A$2:A$163)=MONTH(TODAY()))*(B$2:B$163=$B$213)*(F$2:F$163),"")</f>
        <v/>
      </c>
    </row>
    <row r="214">
      <c r="B214" s="2" t="inlineStr">
        <is>
          <t>电池级氟化锂</t>
        </is>
      </c>
      <c r="C214" s="10">
        <f>IFERROR(AVERAGEIFS(C$2:C$163,A$2:A$163,"&gt;="&amp;DATE(YEAR(TODAY()),MONTH(TODAY()),1),A$2:A$163,"&lt;"&amp;DATE(YEAR(TODAY()),MONTH(TODAY())+1,1),B$2:B$163,$B$214),"")</f>
        <v/>
      </c>
      <c r="D214" s="10">
        <f>IFERROR(AVERAGEIFS(D$2:D$163,A$2:A$163,"&gt;="&amp;DATE(YEAR(TODAY()),MONTH(TODAY()),1),A$2:A$163,"&lt;"&amp;DATE(YEAR(TODAY()),MONTH(TODAY())+1,1),B$2:B$163,$B$214),"")</f>
        <v/>
      </c>
      <c r="E214" s="10">
        <f>IFERROR(AVERAGEIFS(E$2:E$163,A$2:A$163,"&gt;="&amp;DATE(YEAR(TODAY()),MONTH(TODAY()),1),A$2:A$163,"&lt;"&amp;DATE(YEAR(TODAY()),MONTH(TODAY())+1,1),B$2:B$163,$B$214),"")</f>
        <v/>
      </c>
      <c r="F214" s="11">
        <f>IFERROR(SUMPRODUCT((YEAR(A$2:A$163)=YEAR(TODAY()))*(MONTH(A$2:A$163)=MONTH(TODAY()))*(B$2:B$163=$B$214)*(F$2:F$163),"")</f>
        <v/>
      </c>
    </row>
    <row r="215">
      <c r="B215" s="2" t="inlineStr">
        <is>
          <t>电池级氢氧化锂(CIF中日韩)</t>
        </is>
      </c>
      <c r="C215" s="10">
        <f>IFERROR(AVERAGEIFS(C$2:C$163,A$2:A$163,"&gt;="&amp;DATE(YEAR(TODAY()),MONTH(TODAY()),1),A$2:A$163,"&lt;"&amp;DATE(YEAR(TODAY()),MONTH(TODAY())+1,1),B$2:B$163,$B$215),"")</f>
        <v/>
      </c>
      <c r="D215" s="10">
        <f>IFERROR(AVERAGEIFS(D$2:D$163,A$2:A$163,"&gt;="&amp;DATE(YEAR(TODAY()),MONTH(TODAY()),1),A$2:A$163,"&lt;"&amp;DATE(YEAR(TODAY()),MONTH(TODAY())+1,1),B$2:B$163,$B$215),"")</f>
        <v/>
      </c>
      <c r="E215" s="10">
        <f>IFERROR(AVERAGEIFS(E$2:E$163,A$2:A$163,"&gt;="&amp;DATE(YEAR(TODAY()),MONTH(TODAY()),1),A$2:A$163,"&lt;"&amp;DATE(YEAR(TODAY()),MONTH(TODAY())+1,1),B$2:B$163,$B$215),"")</f>
        <v/>
      </c>
      <c r="F215" s="11">
        <f>IFERROR(SUMPRODUCT((YEAR(A$2:A$163)=YEAR(TODAY()))*(MONTH(A$2:A$163)=MONTH(TODAY()))*(B$2:B$163=$B$215)*(F$2:F$163),"")</f>
        <v/>
      </c>
    </row>
    <row r="216">
      <c r="B216" s="2" t="inlineStr">
        <is>
          <t>电池级氢氧化锂(CIF韩国)</t>
        </is>
      </c>
      <c r="C216" s="10">
        <f>IFERROR(AVERAGEIFS(C$2:C$163,A$2:A$163,"&gt;="&amp;DATE(YEAR(TODAY()),MONTH(TODAY()),1),A$2:A$163,"&lt;"&amp;DATE(YEAR(TODAY()),MONTH(TODAY())+1,1),B$2:B$163,$B$216),"")</f>
        <v/>
      </c>
      <c r="D216" s="10">
        <f>IFERROR(AVERAGEIFS(D$2:D$163,A$2:A$163,"&gt;="&amp;DATE(YEAR(TODAY()),MONTH(TODAY()),1),A$2:A$163,"&lt;"&amp;DATE(YEAR(TODAY()),MONTH(TODAY())+1,1),B$2:B$163,$B$216),"")</f>
        <v/>
      </c>
      <c r="E216" s="10">
        <f>IFERROR(AVERAGEIFS(E$2:E$163,A$2:A$163,"&gt;="&amp;DATE(YEAR(TODAY()),MONTH(TODAY()),1),A$2:A$163,"&lt;"&amp;DATE(YEAR(TODAY()),MONTH(TODAY())+1,1),B$2:B$163,$B$216),"")</f>
        <v/>
      </c>
      <c r="F216" s="11">
        <f>IFERROR(SUMPRODUCT((YEAR(A$2:A$163)=YEAR(TODAY()))*(MONTH(A$2:A$163)=MONTH(TODAY()))*(B$2:B$163=$B$216)*(F$2:F$163),"")</f>
        <v/>
      </c>
    </row>
    <row r="217">
      <c r="B217" s="2" t="inlineStr">
        <is>
          <t>电池级氢氧化锂(微粉）</t>
        </is>
      </c>
      <c r="C217" s="10">
        <f>IFERROR(AVERAGEIFS(C$2:C$163,A$2:A$163,"&gt;="&amp;DATE(YEAR(TODAY()),MONTH(TODAY()),1),A$2:A$163,"&lt;"&amp;DATE(YEAR(TODAY()),MONTH(TODAY())+1,1),B$2:B$163,$B$217),"")</f>
        <v/>
      </c>
      <c r="D217" s="10">
        <f>IFERROR(AVERAGEIFS(D$2:D$163,A$2:A$163,"&gt;="&amp;DATE(YEAR(TODAY()),MONTH(TODAY()),1),A$2:A$163,"&lt;"&amp;DATE(YEAR(TODAY()),MONTH(TODAY())+1,1),B$2:B$163,$B$217),"")</f>
        <v/>
      </c>
      <c r="E217" s="10">
        <f>IFERROR(AVERAGEIFS(E$2:E$163,A$2:A$163,"&gt;="&amp;DATE(YEAR(TODAY()),MONTH(TODAY()),1),A$2:A$163,"&lt;"&amp;DATE(YEAR(TODAY()),MONTH(TODAY())+1,1),B$2:B$163,$B$217),"")</f>
        <v/>
      </c>
      <c r="F217" s="11">
        <f>IFERROR(SUMPRODUCT((YEAR(A$2:A$163)=YEAR(TODAY()))*(MONTH(A$2:A$163)=MONTH(TODAY()))*(B$2:B$163=$B$217)*(F$2:F$163),"")</f>
        <v/>
      </c>
    </row>
    <row r="218">
      <c r="B218" s="2" t="inlineStr">
        <is>
          <t>电池级氢氧化锂（粗颗粒）</t>
        </is>
      </c>
      <c r="C218" s="10">
        <f>IFERROR(AVERAGEIFS(C$2:C$163,A$2:A$163,"&gt;="&amp;DATE(YEAR(TODAY()),MONTH(TODAY()),1),A$2:A$163,"&lt;"&amp;DATE(YEAR(TODAY()),MONTH(TODAY())+1,1),B$2:B$163,$B$218),"")</f>
        <v/>
      </c>
      <c r="D218" s="10">
        <f>IFERROR(AVERAGEIFS(D$2:D$163,A$2:A$163,"&gt;="&amp;DATE(YEAR(TODAY()),MONTH(TODAY()),1),A$2:A$163,"&lt;"&amp;DATE(YEAR(TODAY()),MONTH(TODAY())+1,1),B$2:B$163,$B$218),"")</f>
        <v/>
      </c>
      <c r="E218" s="10">
        <f>IFERROR(AVERAGEIFS(E$2:E$163,A$2:A$163,"&gt;="&amp;DATE(YEAR(TODAY()),MONTH(TODAY()),1),A$2:A$163,"&lt;"&amp;DATE(YEAR(TODAY()),MONTH(TODAY())+1,1),B$2:B$163,$B$218),"")</f>
        <v/>
      </c>
      <c r="F218" s="11">
        <f>IFERROR(SUMPRODUCT((YEAR(A$2:A$163)=YEAR(TODAY()))*(MONTH(A$2:A$163)=MONTH(TODAY()))*(B$2:B$163=$B$218)*(F$2:F$163),"")</f>
        <v/>
      </c>
    </row>
    <row r="219">
      <c r="B219" s="2" t="inlineStr">
        <is>
          <t>电池级硫酸锰（出厂价）</t>
        </is>
      </c>
      <c r="C219" s="10">
        <f>IFERROR(AVERAGEIFS(C$2:C$163,A$2:A$163,"&gt;="&amp;DATE(YEAR(TODAY()),MONTH(TODAY()),1),A$2:A$163,"&lt;"&amp;DATE(YEAR(TODAY()),MONTH(TODAY())+1,1),B$2:B$163,$B$219),"")</f>
        <v/>
      </c>
      <c r="D219" s="10">
        <f>IFERROR(AVERAGEIFS(D$2:D$163,A$2:A$163,"&gt;="&amp;DATE(YEAR(TODAY()),MONTH(TODAY()),1),A$2:A$163,"&lt;"&amp;DATE(YEAR(TODAY()),MONTH(TODAY())+1,1),B$2:B$163,$B$219),"")</f>
        <v/>
      </c>
      <c r="E219" s="10">
        <f>IFERROR(AVERAGEIFS(E$2:E$163,A$2:A$163,"&gt;="&amp;DATE(YEAR(TODAY()),MONTH(TODAY()),1),A$2:A$163,"&lt;"&amp;DATE(YEAR(TODAY()),MONTH(TODAY())+1,1),B$2:B$163,$B$219),"")</f>
        <v/>
      </c>
      <c r="F219" s="11">
        <f>IFERROR(SUMPRODUCT((YEAR(A$2:A$163)=YEAR(TODAY()))*(MONTH(A$2:A$163)=MONTH(TODAY()))*(B$2:B$163=$B$219)*(F$2:F$163),"")</f>
        <v/>
      </c>
    </row>
    <row r="220">
      <c r="B220" s="2" t="inlineStr">
        <is>
          <t>电池级硫酸镍</t>
        </is>
      </c>
      <c r="C220" s="10">
        <f>IFERROR(AVERAGEIFS(C$2:C$163,A$2:A$163,"&gt;="&amp;DATE(YEAR(TODAY()),MONTH(TODAY()),1),A$2:A$163,"&lt;"&amp;DATE(YEAR(TODAY()),MONTH(TODAY())+1,1),B$2:B$163,$B$220),"")</f>
        <v/>
      </c>
      <c r="D220" s="10">
        <f>IFERROR(AVERAGEIFS(D$2:D$163,A$2:A$163,"&gt;="&amp;DATE(YEAR(TODAY()),MONTH(TODAY()),1),A$2:A$163,"&lt;"&amp;DATE(YEAR(TODAY()),MONTH(TODAY())+1,1),B$2:B$163,$B$220),"")</f>
        <v/>
      </c>
      <c r="E220" s="10">
        <f>IFERROR(AVERAGEIFS(E$2:E$163,A$2:A$163,"&gt;="&amp;DATE(YEAR(TODAY()),MONTH(TODAY()),1),A$2:A$163,"&lt;"&amp;DATE(YEAR(TODAY()),MONTH(TODAY())+1,1),B$2:B$163,$B$220),"")</f>
        <v/>
      </c>
      <c r="F220" s="11">
        <f>IFERROR(SUMPRODUCT((YEAR(A$2:A$163)=YEAR(TODAY()))*(MONTH(A$2:A$163)=MONTH(TODAY()))*(B$2:B$163=$B$220)*(F$2:F$163),"")</f>
        <v/>
      </c>
    </row>
    <row r="221">
      <c r="B221" s="2" t="inlineStr">
        <is>
          <t>电池级碳酸锂</t>
        </is>
      </c>
      <c r="C221" s="10">
        <f>IFERROR(AVERAGEIFS(C$2:C$163,A$2:A$163,"&gt;="&amp;DATE(YEAR(TODAY()),MONTH(TODAY()),1),A$2:A$163,"&lt;"&amp;DATE(YEAR(TODAY()),MONTH(TODAY())+1,1),B$2:B$163,$B$221),"")</f>
        <v/>
      </c>
      <c r="D221" s="10">
        <f>IFERROR(AVERAGEIFS(D$2:D$163,A$2:A$163,"&gt;="&amp;DATE(YEAR(TODAY()),MONTH(TODAY()),1),A$2:A$163,"&lt;"&amp;DATE(YEAR(TODAY()),MONTH(TODAY())+1,1),B$2:B$163,$B$221),"")</f>
        <v/>
      </c>
      <c r="E221" s="10">
        <f>IFERROR(AVERAGEIFS(E$2:E$163,A$2:A$163,"&gt;="&amp;DATE(YEAR(TODAY()),MONTH(TODAY()),1),A$2:A$163,"&lt;"&amp;DATE(YEAR(TODAY()),MONTH(TODAY())+1,1),B$2:B$163,$B$221),"")</f>
        <v/>
      </c>
      <c r="F221" s="11">
        <f>IFERROR(SUMPRODUCT((YEAR(A$2:A$163)=YEAR(TODAY()))*(MONTH(A$2:A$163)=MONTH(TODAY()))*(B$2:B$163=$B$221)*(F$2:F$163),"")</f>
        <v/>
      </c>
    </row>
    <row r="222">
      <c r="B222" s="2" t="inlineStr">
        <is>
          <t>电池级碳酸锂(CIF韩国)</t>
        </is>
      </c>
      <c r="C222" s="10">
        <f>IFERROR(AVERAGEIFS(C$2:C$163,A$2:A$163,"&gt;="&amp;DATE(YEAR(TODAY()),MONTH(TODAY()),1),A$2:A$163,"&lt;"&amp;DATE(YEAR(TODAY()),MONTH(TODAY())+1,1),B$2:B$163,$B$222),"")</f>
        <v/>
      </c>
      <c r="D222" s="10">
        <f>IFERROR(AVERAGEIFS(D$2:D$163,A$2:A$163,"&gt;="&amp;DATE(YEAR(TODAY()),MONTH(TODAY()),1),A$2:A$163,"&lt;"&amp;DATE(YEAR(TODAY()),MONTH(TODAY())+1,1),B$2:B$163,$B$222),"")</f>
        <v/>
      </c>
      <c r="E222" s="10">
        <f>IFERROR(AVERAGEIFS(E$2:E$163,A$2:A$163,"&gt;="&amp;DATE(YEAR(TODAY()),MONTH(TODAY()),1),A$2:A$163,"&lt;"&amp;DATE(YEAR(TODAY()),MONTH(TODAY())+1,1),B$2:B$163,$B$222),"")</f>
        <v/>
      </c>
      <c r="F222" s="11">
        <f>IFERROR(SUMPRODUCT((YEAR(A$2:A$163)=YEAR(TODAY()))*(MONTH(A$2:A$163)=MONTH(TODAY()))*(B$2:B$163=$B$222)*(F$2:F$163),"")</f>
        <v/>
      </c>
    </row>
    <row r="223">
      <c r="B223" s="2" t="inlineStr">
        <is>
          <t>电池级碳酸锂（CIF中日韩）</t>
        </is>
      </c>
      <c r="C223" s="10">
        <f>IFERROR(AVERAGEIFS(C$2:C$163,A$2:A$163,"&gt;="&amp;DATE(YEAR(TODAY()),MONTH(TODAY()),1),A$2:A$163,"&lt;"&amp;DATE(YEAR(TODAY()),MONTH(TODAY())+1,1),B$2:B$163,$B$223),"")</f>
        <v/>
      </c>
      <c r="D223" s="10">
        <f>IFERROR(AVERAGEIFS(D$2:D$163,A$2:A$163,"&gt;="&amp;DATE(YEAR(TODAY()),MONTH(TODAY()),1),A$2:A$163,"&lt;"&amp;DATE(YEAR(TODAY()),MONTH(TODAY())+1,1),B$2:B$163,$B$223),"")</f>
        <v/>
      </c>
      <c r="E223" s="10">
        <f>IFERROR(AVERAGEIFS(E$2:E$163,A$2:A$163,"&gt;="&amp;DATE(YEAR(TODAY()),MONTH(TODAY()),1),A$2:A$163,"&lt;"&amp;DATE(YEAR(TODAY()),MONTH(TODAY())+1,1),B$2:B$163,$B$223),"")</f>
        <v/>
      </c>
      <c r="F223" s="11">
        <f>IFERROR(SUMPRODUCT((YEAR(A$2:A$163)=YEAR(TODAY()))*(MONTH(A$2:A$163)=MONTH(TODAY()))*(B$2:B$163=$B$223)*(F$2:F$163),"")</f>
        <v/>
      </c>
    </row>
    <row r="224">
      <c r="B224" s="2" t="inlineStr">
        <is>
          <t>电池级金属锂</t>
        </is>
      </c>
      <c r="C224" s="10">
        <f>IFERROR(AVERAGEIFS(C$2:C$163,A$2:A$163,"&gt;="&amp;DATE(YEAR(TODAY()),MONTH(TODAY()),1),A$2:A$163,"&lt;"&amp;DATE(YEAR(TODAY()),MONTH(TODAY())+1,1),B$2:B$163,$B$224),"")</f>
        <v/>
      </c>
      <c r="D224" s="10">
        <f>IFERROR(AVERAGEIFS(D$2:D$163,A$2:A$163,"&gt;="&amp;DATE(YEAR(TODAY()),MONTH(TODAY()),1),A$2:A$163,"&lt;"&amp;DATE(YEAR(TODAY()),MONTH(TODAY())+1,1),B$2:B$163,$B$224),"")</f>
        <v/>
      </c>
      <c r="E224" s="10">
        <f>IFERROR(AVERAGEIFS(E$2:E$163,A$2:A$163,"&gt;="&amp;DATE(YEAR(TODAY()),MONTH(TODAY()),1),A$2:A$163,"&lt;"&amp;DATE(YEAR(TODAY()),MONTH(TODAY())+1,1),B$2:B$163,$B$224),"")</f>
        <v/>
      </c>
      <c r="F224" s="11">
        <f>IFERROR(SUMPRODUCT((YEAR(A$2:A$163)=YEAR(TODAY()))*(MONTH(A$2:A$163)=MONTH(TODAY()))*(B$2:B$163=$B$224)*(F$2:F$163),"")</f>
        <v/>
      </c>
    </row>
    <row r="225">
      <c r="B225" s="2" t="inlineStr">
        <is>
          <t>电解钴</t>
        </is>
      </c>
      <c r="C225" s="10">
        <f>IFERROR(AVERAGEIFS(C$2:C$163,A$2:A$163,"&gt;="&amp;DATE(YEAR(TODAY()),MONTH(TODAY()),1),A$2:A$163,"&lt;"&amp;DATE(YEAR(TODAY()),MONTH(TODAY())+1,1),B$2:B$163,$B$225),"")</f>
        <v/>
      </c>
      <c r="D225" s="10">
        <f>IFERROR(AVERAGEIFS(D$2:D$163,A$2:A$163,"&gt;="&amp;DATE(YEAR(TODAY()),MONTH(TODAY()),1),A$2:A$163,"&lt;"&amp;DATE(YEAR(TODAY()),MONTH(TODAY())+1,1),B$2:B$163,$B$225),"")</f>
        <v/>
      </c>
      <c r="E225" s="10">
        <f>IFERROR(AVERAGEIFS(E$2:E$163,A$2:A$163,"&gt;="&amp;DATE(YEAR(TODAY()),MONTH(TODAY()),1),A$2:A$163,"&lt;"&amp;DATE(YEAR(TODAY()),MONTH(TODAY())+1,1),B$2:B$163,$B$225),"")</f>
        <v/>
      </c>
      <c r="F225" s="11">
        <f>IFERROR(SUMPRODUCT((YEAR(A$2:A$163)=YEAR(TODAY()))*(MONTH(A$2:A$163)=MONTH(TODAY()))*(B$2:B$163=$B$225)*(F$2:F$163),"")</f>
        <v/>
      </c>
    </row>
    <row r="226">
      <c r="B226" s="2" t="inlineStr">
        <is>
          <t>电解钴（鹿特丹仓库）</t>
        </is>
      </c>
      <c r="C226" s="10">
        <f>IFERROR(AVERAGEIFS(C$2:C$163,A$2:A$163,"&gt;="&amp;DATE(YEAR(TODAY()),MONTH(TODAY()),1),A$2:A$163,"&lt;"&amp;DATE(YEAR(TODAY()),MONTH(TODAY())+1,1),B$2:B$163,$B$226),"")</f>
        <v/>
      </c>
      <c r="D226" s="10">
        <f>IFERROR(AVERAGEIFS(D$2:D$163,A$2:A$163,"&gt;="&amp;DATE(YEAR(TODAY()),MONTH(TODAY()),1),A$2:A$163,"&lt;"&amp;DATE(YEAR(TODAY()),MONTH(TODAY())+1,1),B$2:B$163,$B$226),"")</f>
        <v/>
      </c>
      <c r="E226" s="10">
        <f>IFERROR(AVERAGEIFS(E$2:E$163,A$2:A$163,"&gt;="&amp;DATE(YEAR(TODAY()),MONTH(TODAY()),1),A$2:A$163,"&lt;"&amp;DATE(YEAR(TODAY()),MONTH(TODAY())+1,1),B$2:B$163,$B$226),"")</f>
        <v/>
      </c>
      <c r="F226" s="11">
        <f>IFERROR(SUMPRODUCT((YEAR(A$2:A$163)=YEAR(TODAY()))*(MONTH(A$2:A$163)=MONTH(TODAY()))*(B$2:B$163=$B$226)*(F$2:F$163),"")</f>
        <v/>
      </c>
    </row>
    <row r="227">
      <c r="B227" s="2" t="inlineStr">
        <is>
          <t>电镀级硫酸镍</t>
        </is>
      </c>
      <c r="C227" s="10">
        <f>IFERROR(AVERAGEIFS(C$2:C$163,A$2:A$163,"&gt;="&amp;DATE(YEAR(TODAY()),MONTH(TODAY()),1),A$2:A$163,"&lt;"&amp;DATE(YEAR(TODAY()),MONTH(TODAY())+1,1),B$2:B$163,$B$227),"")</f>
        <v/>
      </c>
      <c r="D227" s="10">
        <f>IFERROR(AVERAGEIFS(D$2:D$163,A$2:A$163,"&gt;="&amp;DATE(YEAR(TODAY()),MONTH(TODAY()),1),A$2:A$163,"&lt;"&amp;DATE(YEAR(TODAY()),MONTH(TODAY())+1,1),B$2:B$163,$B$227),"")</f>
        <v/>
      </c>
      <c r="E227" s="10">
        <f>IFERROR(AVERAGEIFS(E$2:E$163,A$2:A$163,"&gt;="&amp;DATE(YEAR(TODAY()),MONTH(TODAY()),1),A$2:A$163,"&lt;"&amp;DATE(YEAR(TODAY()),MONTH(TODAY())+1,1),B$2:B$163,$B$227),"")</f>
        <v/>
      </c>
      <c r="F227" s="11">
        <f>IFERROR(SUMPRODUCT((YEAR(A$2:A$163)=YEAR(TODAY()))*(MONTH(A$2:A$163)=MONTH(TODAY()))*(B$2:B$163=$B$227)*(F$2:F$163),"")</f>
        <v/>
      </c>
    </row>
    <row r="228">
      <c r="B228" s="2" t="inlineStr">
        <is>
          <t>硫酸钴</t>
        </is>
      </c>
      <c r="C228" s="10">
        <f>IFERROR(AVERAGEIFS(C$2:C$163,A$2:A$163,"&gt;="&amp;DATE(YEAR(TODAY()),MONTH(TODAY()),1),A$2:A$163,"&lt;"&amp;DATE(YEAR(TODAY()),MONTH(TODAY())+1,1),B$2:B$163,$B$228),"")</f>
        <v/>
      </c>
      <c r="D228" s="10">
        <f>IFERROR(AVERAGEIFS(D$2:D$163,A$2:A$163,"&gt;="&amp;DATE(YEAR(TODAY()),MONTH(TODAY()),1),A$2:A$163,"&lt;"&amp;DATE(YEAR(TODAY()),MONTH(TODAY())+1,1),B$2:B$163,$B$228),"")</f>
        <v/>
      </c>
      <c r="E228" s="10">
        <f>IFERROR(AVERAGEIFS(E$2:E$163,A$2:A$163,"&gt;="&amp;DATE(YEAR(TODAY()),MONTH(TODAY()),1),A$2:A$163,"&lt;"&amp;DATE(YEAR(TODAY()),MONTH(TODAY())+1,1),B$2:B$163,$B$228),"")</f>
        <v/>
      </c>
      <c r="F228" s="11">
        <f>IFERROR(SUMPRODUCT((YEAR(A$2:A$163)=YEAR(TODAY()))*(MONTH(A$2:A$163)=MONTH(TODAY()))*(B$2:B$163=$B$228)*(F$2:F$163),"")</f>
        <v/>
      </c>
    </row>
    <row r="229">
      <c r="B229" s="2" t="inlineStr">
        <is>
          <t>碳酸钴</t>
        </is>
      </c>
      <c r="C229" s="10">
        <f>IFERROR(AVERAGEIFS(C$2:C$163,A$2:A$163,"&gt;="&amp;DATE(YEAR(TODAY()),MONTH(TODAY()),1),A$2:A$163,"&lt;"&amp;DATE(YEAR(TODAY()),MONTH(TODAY())+1,1),B$2:B$163,$B$229),"")</f>
        <v/>
      </c>
      <c r="D229" s="10">
        <f>IFERROR(AVERAGEIFS(D$2:D$163,A$2:A$163,"&gt;="&amp;DATE(YEAR(TODAY()),MONTH(TODAY()),1),A$2:A$163,"&lt;"&amp;DATE(YEAR(TODAY()),MONTH(TODAY())+1,1),B$2:B$163,$B$229),"")</f>
        <v/>
      </c>
      <c r="E229" s="10">
        <f>IFERROR(AVERAGEIFS(E$2:E$163,A$2:A$163,"&gt;="&amp;DATE(YEAR(TODAY()),MONTH(TODAY()),1),A$2:A$163,"&lt;"&amp;DATE(YEAR(TODAY()),MONTH(TODAY())+1,1),B$2:B$163,$B$229),"")</f>
        <v/>
      </c>
      <c r="F229" s="11">
        <f>IFERROR(SUMPRODUCT((YEAR(A$2:A$163)=YEAR(TODAY()))*(MONTH(A$2:A$163)=MONTH(TODAY()))*(B$2:B$163=$B$229)*(F$2:F$163),"")</f>
        <v/>
      </c>
    </row>
    <row r="230">
      <c r="B230" s="2" t="inlineStr">
        <is>
          <t>磷酸铁锂</t>
        </is>
      </c>
      <c r="C230" s="10">
        <f>IFERROR(AVERAGEIFS(C$2:C$163,A$2:A$163,"&gt;="&amp;DATE(YEAR(TODAY()),MONTH(TODAY()),1),A$2:A$163,"&lt;"&amp;DATE(YEAR(TODAY()),MONTH(TODAY())+1,1),B$2:B$163,$B$230),"")</f>
        <v/>
      </c>
      <c r="D230" s="10">
        <f>IFERROR(AVERAGEIFS(D$2:D$163,A$2:A$163,"&gt;="&amp;DATE(YEAR(TODAY()),MONTH(TODAY()),1),A$2:A$163,"&lt;"&amp;DATE(YEAR(TODAY()),MONTH(TODAY())+1,1),B$2:B$163,$B$230),"")</f>
        <v/>
      </c>
      <c r="E230" s="10">
        <f>IFERROR(AVERAGEIFS(E$2:E$163,A$2:A$163,"&gt;="&amp;DATE(YEAR(TODAY()),MONTH(TODAY()),1),A$2:A$163,"&lt;"&amp;DATE(YEAR(TODAY()),MONTH(TODAY())+1,1),B$2:B$163,$B$230),"")</f>
        <v/>
      </c>
      <c r="F230" s="11">
        <f>IFERROR(SUMPRODUCT((YEAR(A$2:A$163)=YEAR(TODAY()))*(MONTH(A$2:A$163)=MONTH(TODAY()))*(B$2:B$163=$B$230)*(F$2:F$163),"")</f>
        <v/>
      </c>
    </row>
    <row r="231">
      <c r="B231" s="2" t="inlineStr">
        <is>
          <t>磷酸锰铁锂</t>
        </is>
      </c>
      <c r="C231" s="10">
        <f>IFERROR(AVERAGEIFS(C$2:C$163,A$2:A$163,"&gt;="&amp;DATE(YEAR(TODAY()),MONTH(TODAY()),1),A$2:A$163,"&lt;"&amp;DATE(YEAR(TODAY()),MONTH(TODAY())+1,1),B$2:B$163,$B$231),"")</f>
        <v/>
      </c>
      <c r="D231" s="10">
        <f>IFERROR(AVERAGEIFS(D$2:D$163,A$2:A$163,"&gt;="&amp;DATE(YEAR(TODAY()),MONTH(TODAY()),1),A$2:A$163,"&lt;"&amp;DATE(YEAR(TODAY()),MONTH(TODAY())+1,1),B$2:B$163,$B$231),"")</f>
        <v/>
      </c>
      <c r="E231" s="10">
        <f>IFERROR(AVERAGEIFS(E$2:E$163,A$2:A$163,"&gt;="&amp;DATE(YEAR(TODAY()),MONTH(TODAY()),1),A$2:A$163,"&lt;"&amp;DATE(YEAR(TODAY()),MONTH(TODAY())+1,1),B$2:B$163,$B$231),"")</f>
        <v/>
      </c>
      <c r="F231" s="11">
        <f>IFERROR(SUMPRODUCT((YEAR(A$2:A$163)=YEAR(TODAY()))*(MONTH(A$2:A$163)=MONTH(TODAY()))*(B$2:B$163=$B$231)*(F$2:F$163),"")</f>
        <v/>
      </c>
    </row>
    <row r="232">
      <c r="B232" s="2" t="inlineStr">
        <is>
          <t>金属钴FOB</t>
        </is>
      </c>
      <c r="C232" s="10">
        <f>IFERROR(AVERAGEIFS(C$2:C$163,A$2:A$163,"&gt;="&amp;DATE(YEAR(TODAY()),MONTH(TODAY()),1),A$2:A$163,"&lt;"&amp;DATE(YEAR(TODAY()),MONTH(TODAY())+1,1),B$2:B$163,$B$232),"")</f>
        <v/>
      </c>
      <c r="D232" s="10">
        <f>IFERROR(AVERAGEIFS(D$2:D$163,A$2:A$163,"&gt;="&amp;DATE(YEAR(TODAY()),MONTH(TODAY()),1),A$2:A$163,"&lt;"&amp;DATE(YEAR(TODAY()),MONTH(TODAY())+1,1),B$2:B$163,$B$232),"")</f>
        <v/>
      </c>
      <c r="E232" s="10">
        <f>IFERROR(AVERAGEIFS(E$2:E$163,A$2:A$163,"&gt;="&amp;DATE(YEAR(TODAY()),MONTH(TODAY()),1),A$2:A$163,"&lt;"&amp;DATE(YEAR(TODAY()),MONTH(TODAY())+1,1),B$2:B$163,$B$232),"")</f>
        <v/>
      </c>
      <c r="F232" s="11">
        <f>IFERROR(SUMPRODUCT((YEAR(A$2:A$163)=YEAR(TODAY()))*(MONTH(A$2:A$163)=MONTH(TODAY()))*(B$2:B$163=$B$232)*(F$2:F$163),"")</f>
        <v/>
      </c>
    </row>
    <row r="233">
      <c r="B233" s="2" t="inlineStr">
        <is>
          <t>钴中间品中钴含量≥30%</t>
        </is>
      </c>
      <c r="C233" s="10">
        <f>IFERROR(AVERAGEIFS(C$2:C$163,A$2:A$163,"&gt;="&amp;DATE(YEAR(TODAY()),MONTH(TODAY()),1),A$2:A$163,"&lt;"&amp;DATE(YEAR(TODAY()),MONTH(TODAY())+1,1),B$2:B$163,$B$233),"")</f>
        <v/>
      </c>
      <c r="D233" s="10">
        <f>IFERROR(AVERAGEIFS(D$2:D$163,A$2:A$163,"&gt;="&amp;DATE(YEAR(TODAY()),MONTH(TODAY()),1),A$2:A$163,"&lt;"&amp;DATE(YEAR(TODAY()),MONTH(TODAY())+1,1),B$2:B$163,$B$233),"")</f>
        <v/>
      </c>
      <c r="E233" s="10">
        <f>IFERROR(AVERAGEIFS(E$2:E$163,A$2:A$163,"&gt;="&amp;DATE(YEAR(TODAY()),MONTH(TODAY()),1),A$2:A$163,"&lt;"&amp;DATE(YEAR(TODAY()),MONTH(TODAY())+1,1),B$2:B$163,$B$233),"")</f>
        <v/>
      </c>
      <c r="F233" s="11">
        <f>IFERROR(SUMPRODUCT((YEAR(A$2:A$163)=YEAR(TODAY()))*(MONTH(A$2:A$163)=MONTH(TODAY()))*(B$2:B$163=$B$233)*(F$2:F$163),"")</f>
        <v/>
      </c>
    </row>
    <row r="234">
      <c r="B234" s="2" t="inlineStr">
        <is>
          <t>钴中间品原料计价系数（对SMM硫酸钴均价）</t>
        </is>
      </c>
      <c r="C234" s="10">
        <f>IFERROR(AVERAGEIFS(C$2:C$163,A$2:A$163,"&gt;="&amp;DATE(YEAR(TODAY()),MONTH(TODAY()),1),A$2:A$163,"&lt;"&amp;DATE(YEAR(TODAY()),MONTH(TODAY())+1,1),B$2:B$163,$B$234),"")</f>
        <v/>
      </c>
      <c r="D234" s="10">
        <f>IFERROR(AVERAGEIFS(D$2:D$163,A$2:A$163,"&gt;="&amp;DATE(YEAR(TODAY()),MONTH(TODAY()),1),A$2:A$163,"&lt;"&amp;DATE(YEAR(TODAY()),MONTH(TODAY())+1,1),B$2:B$163,$B$234),"")</f>
        <v/>
      </c>
      <c r="E234" s="10">
        <f>IFERROR(AVERAGEIFS(E$2:E$163,A$2:A$163,"&gt;="&amp;DATE(YEAR(TODAY()),MONTH(TODAY()),1),A$2:A$163,"&lt;"&amp;DATE(YEAR(TODAY()),MONTH(TODAY())+1,1),B$2:B$163,$B$234),"")</f>
        <v/>
      </c>
      <c r="F234" s="11">
        <f>IFERROR(SUMPRODUCT((YEAR(A$2:A$163)=YEAR(TODAY()))*(MONTH(A$2:A$163)=MONTH(TODAY()))*(B$2:B$163=$B$234)*(F$2:F$163),"")</f>
        <v/>
      </c>
    </row>
    <row r="235">
      <c r="B235" s="2" t="inlineStr">
        <is>
          <t>钴酸锂</t>
        </is>
      </c>
      <c r="C235" s="10">
        <f>IFERROR(AVERAGEIFS(C$2:C$163,A$2:A$163,"&gt;="&amp;DATE(YEAR(TODAY()),MONTH(TODAY()),1),A$2:A$163,"&lt;"&amp;DATE(YEAR(TODAY()),MONTH(TODAY())+1,1),B$2:B$163,$B$235),"")</f>
        <v/>
      </c>
      <c r="D235" s="10">
        <f>IFERROR(AVERAGEIFS(D$2:D$163,A$2:A$163,"&gt;="&amp;DATE(YEAR(TODAY()),MONTH(TODAY()),1),A$2:A$163,"&lt;"&amp;DATE(YEAR(TODAY()),MONTH(TODAY())+1,1),B$2:B$163,$B$235),"")</f>
        <v/>
      </c>
      <c r="E235" s="10">
        <f>IFERROR(AVERAGEIFS(E$2:E$163,A$2:A$163,"&gt;="&amp;DATE(YEAR(TODAY()),MONTH(TODAY()),1),A$2:A$163,"&lt;"&amp;DATE(YEAR(TODAY()),MONTH(TODAY())+1,1),B$2:B$163,$B$235),"")</f>
        <v/>
      </c>
      <c r="F235" s="11">
        <f>IFERROR(SUMPRODUCT((YEAR(A$2:A$163)=YEAR(TODAY()))*(MONTH(A$2:A$163)=MONTH(TODAY()))*(B$2:B$163=$B$235)*(F$2:F$163),"")</f>
        <v/>
      </c>
    </row>
    <row r="236">
      <c r="B236" s="2" t="inlineStr">
        <is>
          <t>钴酸锂聚合物软包</t>
        </is>
      </c>
      <c r="C236" s="10">
        <f>IFERROR(AVERAGEIFS(C$2:C$163,A$2:A$163,"&gt;="&amp;DATE(YEAR(TODAY()),MONTH(TODAY()),1),A$2:A$163,"&lt;"&amp;DATE(YEAR(TODAY()),MONTH(TODAY())+1,1),B$2:B$163,$B$236),"")</f>
        <v/>
      </c>
      <c r="D236" s="10">
        <f>IFERROR(AVERAGEIFS(D$2:D$163,A$2:A$163,"&gt;="&amp;DATE(YEAR(TODAY()),MONTH(TODAY()),1),A$2:A$163,"&lt;"&amp;DATE(YEAR(TODAY()),MONTH(TODAY())+1,1),B$2:B$163,$B$236),"")</f>
        <v/>
      </c>
      <c r="E236" s="10">
        <f>IFERROR(AVERAGEIFS(E$2:E$163,A$2:A$163,"&gt;="&amp;DATE(YEAR(TODAY()),MONTH(TODAY()),1),A$2:A$163,"&lt;"&amp;DATE(YEAR(TODAY()),MONTH(TODAY())+1,1),B$2:B$163,$B$236),"")</f>
        <v/>
      </c>
      <c r="F236" s="11">
        <f>IFERROR(SUMPRODUCT((YEAR(A$2:A$163)=YEAR(TODAY()))*(MONTH(A$2:A$163)=MONTH(TODAY()))*(B$2:B$163=$B$236)*(F$2:F$163),"")</f>
        <v/>
      </c>
    </row>
    <row r="237">
      <c r="B237" s="2" t="inlineStr">
        <is>
          <t>钴酸锂铝壳</t>
        </is>
      </c>
      <c r="C237" s="10">
        <f>IFERROR(AVERAGEIFS(C$2:C$163,A$2:A$163,"&gt;="&amp;DATE(YEAR(TODAY()),MONTH(TODAY()),1),A$2:A$163,"&lt;"&amp;DATE(YEAR(TODAY()),MONTH(TODAY())+1,1),B$2:B$163,$B$237),"")</f>
        <v/>
      </c>
      <c r="D237" s="10">
        <f>IFERROR(AVERAGEIFS(D$2:D$163,A$2:A$163,"&gt;="&amp;DATE(YEAR(TODAY()),MONTH(TODAY()),1),A$2:A$163,"&lt;"&amp;DATE(YEAR(TODAY()),MONTH(TODAY())+1,1),B$2:B$163,$B$237),"")</f>
        <v/>
      </c>
      <c r="E237" s="10">
        <f>IFERROR(AVERAGEIFS(E$2:E$163,A$2:A$163,"&gt;="&amp;DATE(YEAR(TODAY()),MONTH(TODAY()),1),A$2:A$163,"&lt;"&amp;DATE(YEAR(TODAY()),MONTH(TODAY())+1,1),B$2:B$163,$B$237),"")</f>
        <v/>
      </c>
      <c r="F237" s="11">
        <f>IFERROR(SUMPRODUCT((YEAR(A$2:A$163)=YEAR(TODAY()))*(MONTH(A$2:A$163)=MONTH(TODAY()))*(B$2:B$163=$B$237)*(F$2:F$163),"")</f>
        <v/>
      </c>
    </row>
    <row r="238">
      <c r="B238" s="2" t="inlineStr">
        <is>
          <t>锰酸锂圆柱钢壳</t>
        </is>
      </c>
      <c r="C238" s="10">
        <f>IFERROR(AVERAGEIFS(C$2:C$163,A$2:A$163,"&gt;="&amp;DATE(YEAR(TODAY()),MONTH(TODAY()),1),A$2:A$163,"&lt;"&amp;DATE(YEAR(TODAY()),MONTH(TODAY())+1,1),B$2:B$163,$B$238),"")</f>
        <v/>
      </c>
      <c r="D238" s="10">
        <f>IFERROR(AVERAGEIFS(D$2:D$163,A$2:A$163,"&gt;="&amp;DATE(YEAR(TODAY()),MONTH(TODAY()),1),A$2:A$163,"&lt;"&amp;DATE(YEAR(TODAY()),MONTH(TODAY())+1,1),B$2:B$163,$B$238),"")</f>
        <v/>
      </c>
      <c r="E238" s="10">
        <f>IFERROR(AVERAGEIFS(E$2:E$163,A$2:A$163,"&gt;="&amp;DATE(YEAR(TODAY()),MONTH(TODAY()),1),A$2:A$163,"&lt;"&amp;DATE(YEAR(TODAY()),MONTH(TODAY())+1,1),B$2:B$163,$B$238),"")</f>
        <v/>
      </c>
      <c r="F238" s="11">
        <f>IFERROR(SUMPRODUCT((YEAR(A$2:A$163)=YEAR(TODAY()))*(MONTH(A$2:A$163)=MONTH(TODAY()))*(B$2:B$163=$B$238)*(F$2:F$163),"")</f>
        <v/>
      </c>
    </row>
    <row r="239">
      <c r="B239" s="2" t="inlineStr">
        <is>
          <t>非洲硫酸锂(CIF中国)</t>
        </is>
      </c>
      <c r="C239" s="10">
        <f>IFERROR(AVERAGEIFS(C$2:C$163,A$2:A$163,"&gt;="&amp;DATE(YEAR(TODAY()),MONTH(TODAY()),1),A$2:A$163,"&lt;"&amp;DATE(YEAR(TODAY()),MONTH(TODAY())+1,1),B$2:B$163,$B$239),"")</f>
        <v/>
      </c>
      <c r="D239" s="10">
        <f>IFERROR(AVERAGEIFS(D$2:D$163,A$2:A$163,"&gt;="&amp;DATE(YEAR(TODAY()),MONTH(TODAY()),1),A$2:A$163,"&lt;"&amp;DATE(YEAR(TODAY()),MONTH(TODAY())+1,1),B$2:B$163,$B$239),"")</f>
        <v/>
      </c>
      <c r="E239" s="10">
        <f>IFERROR(AVERAGEIFS(E$2:E$163,A$2:A$163,"&gt;="&amp;DATE(YEAR(TODAY()),MONTH(TODAY()),1),A$2:A$163,"&lt;"&amp;DATE(YEAR(TODAY()),MONTH(TODAY())+1,1),B$2:B$163,$B$239),"")</f>
        <v/>
      </c>
      <c r="F239" s="11">
        <f>IFERROR(SUMPRODUCT((YEAR(A$2:A$163)=YEAR(TODAY()))*(MONTH(A$2:A$163)=MONTH(TODAY()))*(B$2:B$163=$B$239)*(F$2:F$163),"")</f>
        <v/>
      </c>
    </row>
    <row r="240">
      <c r="B240" s="2" t="inlineStr">
        <is>
          <t>非洲锂辉石精矿（CIF中国）指数</t>
        </is>
      </c>
      <c r="C240" s="10">
        <f>IFERROR(AVERAGEIFS(C$2:C$163,A$2:A$163,"&gt;="&amp;DATE(YEAR(TODAY()),MONTH(TODAY()),1),A$2:A$163,"&lt;"&amp;DATE(YEAR(TODAY()),MONTH(TODAY())+1,1),B$2:B$163,$B$240),"")</f>
        <v/>
      </c>
      <c r="D240" s="10">
        <f>IFERROR(AVERAGEIFS(D$2:D$163,A$2:A$163,"&gt;="&amp;DATE(YEAR(TODAY()),MONTH(TODAY()),1),A$2:A$163,"&lt;"&amp;DATE(YEAR(TODAY()),MONTH(TODAY())+1,1),B$2:B$163,$B$240),"")</f>
        <v/>
      </c>
      <c r="E240" s="10">
        <f>IFERROR(AVERAGEIFS(E$2:E$163,A$2:A$163,"&gt;="&amp;DATE(YEAR(TODAY()),MONTH(TODAY()),1),A$2:A$163,"&lt;"&amp;DATE(YEAR(TODAY()),MONTH(TODAY())+1,1),B$2:B$163,$B$240),"")</f>
        <v/>
      </c>
      <c r="F240" s="11">
        <f>IFERROR(SUMPRODUCT((YEAR(A$2:A$163)=YEAR(TODAY()))*(MONTH(A$2:A$163)=MONTH(TODAY()))*(B$2:B$163=$B$240)*(F$2:F$163),"")</f>
        <v/>
      </c>
    </row>
  </sheetData>
  <autoFilter ref="A1:H163"/>
  <mergeCells count="1">
    <mergeCell ref="A165:H1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172320</v>
      </c>
      <c r="E11" s="4" t="n">
        <v>176780</v>
      </c>
      <c r="F11" s="4" t="n">
        <v>174440</v>
      </c>
      <c r="G11" s="4" t="n">
        <v>174440</v>
      </c>
      <c r="H11" s="4" t="n">
        <v>-5600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6.7568</v>
      </c>
      <c r="E12" s="5" t="n"/>
      <c r="F12" s="6" t="n">
        <v>6.7614</v>
      </c>
      <c r="G12" s="6" t="n">
        <v>6.7565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4" t="n">
        <v>0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6">
      <c r="A16" s="8" t="inlineStr">
        <is>
          <t>当月均价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C17" s="2" t="inlineStr">
        <is>
          <t>CME氢氧化锂</t>
        </is>
      </c>
      <c r="D17" s="10">
        <f>IFERROR(AVERAGEIFS(D$2:D$14,A$2:A$14,"&gt;="&amp;DATE(YEAR(TODAY()),MONTH(TODAY()),1),A$2:A$14,"&lt;"&amp;DATE(YEAR(TODAY()),MONTH(TODAY())+1,1),C$2:C$14,$C$17),"")</f>
        <v/>
      </c>
      <c r="E17" s="10">
        <f>IFERROR(AVERAGEIFS(E$2:E$14,A$2:A$14,"&gt;="&amp;DATE(YEAR(TODAY()),MONTH(TODAY()),1),A$2:A$14,"&lt;"&amp;DATE(YEAR(TODAY()),MONTH(TODAY())+1,1),C$2:C$14,$C$17),"")</f>
        <v/>
      </c>
      <c r="F17" s="10">
        <f>IFERROR(AVERAGEIFS(F$2:F$14,A$2:A$14,"&gt;="&amp;DATE(YEAR(TODAY()),MONTH(TODAY()),1),A$2:A$14,"&lt;"&amp;DATE(YEAR(TODAY()),MONTH(TODAY())+1,1),C$2:C$14,$C$17),"")</f>
        <v/>
      </c>
      <c r="G17" s="10">
        <f>IFERROR(AVERAGEIFS(G$2:G$14,A$2:A$14,"&gt;="&amp;DATE(YEAR(TODAY()),MONTH(TODAY()),1),A$2:A$14,"&lt;"&amp;DATE(YEAR(TODAY()),MONTH(TODAY())+1,1),C$2:C$14,$C$17),"")</f>
        <v/>
      </c>
      <c r="H17" s="11">
        <f>IFERROR(SUMPRODUCT((YEAR(A$2:A$14)=YEAR(TODAY()))*(MONTH(A$2:A$14)=MONTH(TODAY()))*(C$2:C$14=$C$17)*(H$2:H$14),"")</f>
        <v/>
      </c>
    </row>
    <row r="18">
      <c r="C18" s="2" t="inlineStr">
        <is>
          <t>CME钴</t>
        </is>
      </c>
      <c r="D18" s="10">
        <f>IFERROR(AVERAGEIFS(D$2:D$14,A$2:A$14,"&gt;="&amp;DATE(YEAR(TODAY()),MONTH(TODAY()),1),A$2:A$14,"&lt;"&amp;DATE(YEAR(TODAY()),MONTH(TODAY())+1,1),C$2:C$14,$C$18),"")</f>
        <v/>
      </c>
      <c r="E18" s="10">
        <f>IFERROR(AVERAGEIFS(E$2:E$14,A$2:A$14,"&gt;="&amp;DATE(YEAR(TODAY()),MONTH(TODAY()),1),A$2:A$14,"&lt;"&amp;DATE(YEAR(TODAY()),MONTH(TODAY())+1,1),C$2:C$14,$C$18),"")</f>
        <v/>
      </c>
      <c r="F18" s="10">
        <f>IFERROR(AVERAGEIFS(F$2:F$14,A$2:A$14,"&gt;="&amp;DATE(YEAR(TODAY()),MONTH(TODAY()),1),A$2:A$14,"&lt;"&amp;DATE(YEAR(TODAY()),MONTH(TODAY())+1,1),C$2:C$14,$C$18),"")</f>
        <v/>
      </c>
      <c r="G18" s="10">
        <f>IFERROR(AVERAGEIFS(G$2:G$14,A$2:A$14,"&gt;="&amp;DATE(YEAR(TODAY()),MONTH(TODAY()),1),A$2:A$14,"&lt;"&amp;DATE(YEAR(TODAY()),MONTH(TODAY())+1,1),C$2:C$14,$C$18),"")</f>
        <v/>
      </c>
      <c r="H18" s="11">
        <f>IFERROR(SUMPRODUCT((YEAR(A$2:A$14)=YEAR(TODAY()))*(MONTH(A$2:A$14)=MONTH(TODAY()))*(C$2:C$14=$C$18)*(H$2:H$14),"")</f>
        <v/>
      </c>
    </row>
    <row r="19">
      <c r="C19" s="2" t="inlineStr">
        <is>
          <t>沪镍(NI)连续</t>
        </is>
      </c>
      <c r="D19" s="10">
        <f>IFERROR(AVERAGEIFS(D$2:D$14,A$2:A$14,"&gt;="&amp;DATE(YEAR(TODAY()),MONTH(TODAY()),1),A$2:A$14,"&lt;"&amp;DATE(YEAR(TODAY()),MONTH(TODAY())+1,1),C$2:C$14,$C$19),"")</f>
        <v/>
      </c>
      <c r="E19" s="10">
        <f>IFERROR(AVERAGEIFS(E$2:E$14,A$2:A$14,"&gt;="&amp;DATE(YEAR(TODAY()),MONTH(TODAY()),1),A$2:A$14,"&lt;"&amp;DATE(YEAR(TODAY()),MONTH(TODAY())+1,1),C$2:C$14,$C$19),"")</f>
        <v/>
      </c>
      <c r="F19" s="10">
        <f>IFERROR(AVERAGEIFS(F$2:F$14,A$2:A$14,"&gt;="&amp;DATE(YEAR(TODAY()),MONTH(TODAY()),1),A$2:A$14,"&lt;"&amp;DATE(YEAR(TODAY()),MONTH(TODAY())+1,1),C$2:C$14,$C$19),"")</f>
        <v/>
      </c>
      <c r="G19" s="10">
        <f>IFERROR(AVERAGEIFS(G$2:G$14,A$2:A$14,"&gt;="&amp;DATE(YEAR(TODAY()),MONTH(TODAY()),1),A$2:A$14,"&lt;"&amp;DATE(YEAR(TODAY()),MONTH(TODAY())+1,1),C$2:C$14,$C$19),"")</f>
        <v/>
      </c>
      <c r="H19" s="11">
        <f>IFERROR(SUMPRODUCT((YEAR(A$2:A$14)=YEAR(TODAY()))*(MONTH(A$2:A$14)=MONTH(TODAY()))*(C$2:C$14=$C$19)*(H$2:H$14),"")</f>
        <v/>
      </c>
    </row>
    <row r="20">
      <c r="C20" s="2" t="inlineStr">
        <is>
          <t>碳酸锂(LC)连续</t>
        </is>
      </c>
      <c r="D20" s="10">
        <f>IFERROR(AVERAGEIFS(D$2:D$14,A$2:A$14,"&gt;="&amp;DATE(YEAR(TODAY()),MONTH(TODAY()),1),A$2:A$14,"&lt;"&amp;DATE(YEAR(TODAY()),MONTH(TODAY())+1,1),C$2:C$14,$C$20),"")</f>
        <v/>
      </c>
      <c r="E20" s="10">
        <f>IFERROR(AVERAGEIFS(E$2:E$14,A$2:A$14,"&gt;="&amp;DATE(YEAR(TODAY()),MONTH(TODAY()),1),A$2:A$14,"&lt;"&amp;DATE(YEAR(TODAY()),MONTH(TODAY())+1,1),C$2:C$14,$C$20),"")</f>
        <v/>
      </c>
      <c r="F20" s="10">
        <f>IFERROR(AVERAGEIFS(F$2:F$14,A$2:A$14,"&gt;="&amp;DATE(YEAR(TODAY()),MONTH(TODAY()),1),A$2:A$14,"&lt;"&amp;DATE(YEAR(TODAY()),MONTH(TODAY())+1,1),C$2:C$14,$C$20),"")</f>
        <v/>
      </c>
      <c r="G20" s="10">
        <f>IFERROR(AVERAGEIFS(G$2:G$14,A$2:A$14,"&gt;="&amp;DATE(YEAR(TODAY()),MONTH(TODAY()),1),A$2:A$14,"&lt;"&amp;DATE(YEAR(TODAY()),MONTH(TODAY())+1,1),C$2:C$14,$C$20),"")</f>
        <v/>
      </c>
      <c r="H20" s="11">
        <f>IFERROR(SUMPRODUCT((YEAR(A$2:A$14)=YEAR(TODAY()))*(MONTH(A$2:A$14)=MONTH(TODAY()))*(C$2:C$14=$C$20)*(H$2:H$14),"")</f>
        <v/>
      </c>
    </row>
    <row r="21">
      <c r="C21" s="2" t="inlineStr">
        <is>
          <t>美元/人民币(USDCNY)</t>
        </is>
      </c>
      <c r="D21" s="10">
        <f>IFERROR(AVERAGEIFS(D$2:D$14,A$2:A$14,"&gt;="&amp;DATE(YEAR(TODAY()),MONTH(TODAY()),1),A$2:A$14,"&lt;"&amp;DATE(YEAR(TODAY()),MONTH(TODAY())+1,1),C$2:C$14,$C$21),"")</f>
        <v/>
      </c>
      <c r="E21" s="10">
        <f>IFERROR(AVERAGEIFS(E$2:E$14,A$2:A$14,"&gt;="&amp;DATE(YEAR(TODAY()),MONTH(TODAY()),1),A$2:A$14,"&lt;"&amp;DATE(YEAR(TODAY()),MONTH(TODAY())+1,1),C$2:C$14,$C$21),"")</f>
        <v/>
      </c>
      <c r="F21" s="10">
        <f>IFERROR(AVERAGEIFS(F$2:F$14,A$2:A$14,"&gt;="&amp;DATE(YEAR(TODAY()),MONTH(TODAY()),1),A$2:A$14,"&lt;"&amp;DATE(YEAR(TODAY()),MONTH(TODAY())+1,1),C$2:C$14,$C$21),"")</f>
        <v/>
      </c>
      <c r="G21" s="10">
        <f>IFERROR(AVERAGEIFS(G$2:G$14,A$2:A$14,"&gt;="&amp;DATE(YEAR(TODAY()),MONTH(TODAY()),1),A$2:A$14,"&lt;"&amp;DATE(YEAR(TODAY()),MONTH(TODAY())+1,1),C$2:C$14,$C$21),"")</f>
        <v/>
      </c>
      <c r="H21" s="11">
        <f>IFERROR(SUMPRODUCT((YEAR(A$2:A$14)=YEAR(TODAY()))*(MONTH(A$2:A$14)=MONTH(TODAY()))*(C$2:C$14=$C$21)*(H$2:H$14),"")</f>
        <v/>
      </c>
    </row>
  </sheetData>
  <autoFilter ref="A1:J14"/>
  <mergeCells count="1"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2026-06-15T16:35:59Z</dcterms:created>
  <dcterms:modified xmlns:dcterms="http://purl.org/dc/terms/" xmlns:xsi="http://www.w3.org/2001/XMLSchema-instance" xsi:type="dcterms:W3CDTF">2026-06-15T16:35:59Z</dcterms:modified>
</cp:coreProperties>
</file>