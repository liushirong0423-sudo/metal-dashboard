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'现货'!$A$1:$H$88</definedName>
    <definedName name="_xlnm._FilterDatabase" localSheetId="1" hidden="1">'期货'!$A$1:$J$9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90">
      <c r="A90" s="8" t="inlineStr">
        <is>
          <t>当月均价</t>
        </is>
      </c>
      <c r="B90" s="9" t="n"/>
      <c r="C90" s="9" t="n"/>
      <c r="D90" s="9" t="n"/>
      <c r="E90" s="9" t="n"/>
      <c r="F90" s="9" t="n"/>
      <c r="G90" s="9" t="n"/>
      <c r="H90" s="9" t="n"/>
    </row>
    <row r="91">
      <c r="B91" s="2" t="inlineStr">
        <is>
          <t>5系三元前驱体</t>
        </is>
      </c>
      <c r="C91" s="10">
        <f>IFERROR(AVERAGEIFS(C$2:C$88,A$2:A$88,"&gt;="&amp;DATE(YEAR(TODAY()),MONTH(TODAY()),1),A$2:A$88,"&lt;"&amp;DATE(YEAR(TODAY()),MONTH(TODAY())+1,1),B$2:B$88,$B$91),"")</f>
        <v/>
      </c>
      <c r="D91" s="10">
        <f>IFERROR(AVERAGEIFS(D$2:D$88,A$2:A$88,"&gt;="&amp;DATE(YEAR(TODAY()),MONTH(TODAY()),1),A$2:A$88,"&lt;"&amp;DATE(YEAR(TODAY()),MONTH(TODAY())+1,1),B$2:B$88,$B$91),"")</f>
        <v/>
      </c>
      <c r="E91" s="10">
        <f>IFERROR(AVERAGEIFS(E$2:E$88,A$2:A$88,"&gt;="&amp;DATE(YEAR(TODAY()),MONTH(TODAY()),1),A$2:A$88,"&lt;"&amp;DATE(YEAR(TODAY()),MONTH(TODAY())+1,1),B$2:B$88,$B$91),"")</f>
        <v/>
      </c>
      <c r="F91" s="11">
        <f>IFERROR(SUMPRODUCT((YEAR(A$2:A$88)=YEAR(TODAY()))*(MONTH(A$2:A$88)=MONTH(TODAY()))*(B$2:B$88=$B$91)*(F$2:F$88),"")</f>
        <v/>
      </c>
    </row>
    <row r="92">
      <c r="B92" s="2" t="inlineStr">
        <is>
          <t>5系三元材料</t>
        </is>
      </c>
      <c r="C92" s="10">
        <f>IFERROR(AVERAGEIFS(C$2:C$88,A$2:A$88,"&gt;="&amp;DATE(YEAR(TODAY()),MONTH(TODAY()),1),A$2:A$88,"&lt;"&amp;DATE(YEAR(TODAY()),MONTH(TODAY())+1,1),B$2:B$88,$B$92),"")</f>
        <v/>
      </c>
      <c r="D92" s="10">
        <f>IFERROR(AVERAGEIFS(D$2:D$88,A$2:A$88,"&gt;="&amp;DATE(YEAR(TODAY()),MONTH(TODAY()),1),A$2:A$88,"&lt;"&amp;DATE(YEAR(TODAY()),MONTH(TODAY())+1,1),B$2:B$88,$B$92),"")</f>
        <v/>
      </c>
      <c r="E92" s="10">
        <f>IFERROR(AVERAGEIFS(E$2:E$88,A$2:A$88,"&gt;="&amp;DATE(YEAR(TODAY()),MONTH(TODAY()),1),A$2:A$88,"&lt;"&amp;DATE(YEAR(TODAY()),MONTH(TODAY())+1,1),B$2:B$88,$B$92),"")</f>
        <v/>
      </c>
      <c r="F92" s="11">
        <f>IFERROR(SUMPRODUCT((YEAR(A$2:A$88)=YEAR(TODAY()))*(MONTH(A$2:A$88)=MONTH(TODAY()))*(B$2:B$88=$B$92)*(F$2:F$88),"")</f>
        <v/>
      </c>
    </row>
    <row r="93">
      <c r="B93" s="2" t="inlineStr">
        <is>
          <t>6系三元前驱体（单晶/动力型）</t>
        </is>
      </c>
      <c r="C93" s="10">
        <f>IFERROR(AVERAGEIFS(C$2:C$88,A$2:A$88,"&gt;="&amp;DATE(YEAR(TODAY()),MONTH(TODAY()),1),A$2:A$88,"&lt;"&amp;DATE(YEAR(TODAY()),MONTH(TODAY())+1,1),B$2:B$88,$B$93),"")</f>
        <v/>
      </c>
      <c r="D93" s="10">
        <f>IFERROR(AVERAGEIFS(D$2:D$88,A$2:A$88,"&gt;="&amp;DATE(YEAR(TODAY()),MONTH(TODAY()),1),A$2:A$88,"&lt;"&amp;DATE(YEAR(TODAY()),MONTH(TODAY())+1,1),B$2:B$88,$B$93),"")</f>
        <v/>
      </c>
      <c r="E93" s="10">
        <f>IFERROR(AVERAGEIFS(E$2:E$88,A$2:A$88,"&gt;="&amp;DATE(YEAR(TODAY()),MONTH(TODAY()),1),A$2:A$88,"&lt;"&amp;DATE(YEAR(TODAY()),MONTH(TODAY())+1,1),B$2:B$88,$B$93),"")</f>
        <v/>
      </c>
      <c r="F93" s="11">
        <f>IFERROR(SUMPRODUCT((YEAR(A$2:A$88)=YEAR(TODAY()))*(MONTH(A$2:A$88)=MONTH(TODAY()))*(B$2:B$88=$B$93)*(F$2:F$88),"")</f>
        <v/>
      </c>
    </row>
    <row r="94">
      <c r="B94" s="2" t="inlineStr">
        <is>
          <t>6系三元材料（单晶/动力型）</t>
        </is>
      </c>
      <c r="C94" s="10">
        <f>IFERROR(AVERAGEIFS(C$2:C$88,A$2:A$88,"&gt;="&amp;DATE(YEAR(TODAY()),MONTH(TODAY()),1),A$2:A$88,"&lt;"&amp;DATE(YEAR(TODAY()),MONTH(TODAY())+1,1),B$2:B$88,$B$94),"")</f>
        <v/>
      </c>
      <c r="D94" s="10">
        <f>IFERROR(AVERAGEIFS(D$2:D$88,A$2:A$88,"&gt;="&amp;DATE(YEAR(TODAY()),MONTH(TODAY()),1),A$2:A$88,"&lt;"&amp;DATE(YEAR(TODAY()),MONTH(TODAY())+1,1),B$2:B$88,$B$94),"")</f>
        <v/>
      </c>
      <c r="E94" s="10">
        <f>IFERROR(AVERAGEIFS(E$2:E$88,A$2:A$88,"&gt;="&amp;DATE(YEAR(TODAY()),MONTH(TODAY()),1),A$2:A$88,"&lt;"&amp;DATE(YEAR(TODAY()),MONTH(TODAY())+1,1),B$2:B$88,$B$94),"")</f>
        <v/>
      </c>
      <c r="F94" s="11">
        <f>IFERROR(SUMPRODUCT((YEAR(A$2:A$88)=YEAR(TODAY()))*(MONTH(A$2:A$88)=MONTH(TODAY()))*(B$2:B$88=$B$94)*(F$2:F$88),"")</f>
        <v/>
      </c>
    </row>
    <row r="95">
      <c r="B95" s="2" t="inlineStr">
        <is>
          <t>8系三元前驱体（多晶/动力型）</t>
        </is>
      </c>
      <c r="C95" s="10">
        <f>IFERROR(AVERAGEIFS(C$2:C$88,A$2:A$88,"&gt;="&amp;DATE(YEAR(TODAY()),MONTH(TODAY()),1),A$2:A$88,"&lt;"&amp;DATE(YEAR(TODAY()),MONTH(TODAY())+1,1),B$2:B$88,$B$95),"")</f>
        <v/>
      </c>
      <c r="D95" s="10">
        <f>IFERROR(AVERAGEIFS(D$2:D$88,A$2:A$88,"&gt;="&amp;DATE(YEAR(TODAY()),MONTH(TODAY()),1),A$2:A$88,"&lt;"&amp;DATE(YEAR(TODAY()),MONTH(TODAY())+1,1),B$2:B$88,$B$95),"")</f>
        <v/>
      </c>
      <c r="E95" s="10">
        <f>IFERROR(AVERAGEIFS(E$2:E$88,A$2:A$88,"&gt;="&amp;DATE(YEAR(TODAY()),MONTH(TODAY()),1),A$2:A$88,"&lt;"&amp;DATE(YEAR(TODAY()),MONTH(TODAY())+1,1),B$2:B$88,$B$95),"")</f>
        <v/>
      </c>
      <c r="F95" s="11">
        <f>IFERROR(SUMPRODUCT((YEAR(A$2:A$88)=YEAR(TODAY()))*(MONTH(A$2:A$88)=MONTH(TODAY()))*(B$2:B$88=$B$95)*(F$2:F$88),"")</f>
        <v/>
      </c>
    </row>
    <row r="96">
      <c r="B96" s="2" t="inlineStr">
        <is>
          <t>8系三元材料</t>
        </is>
      </c>
      <c r="C96" s="10">
        <f>IFERROR(AVERAGEIFS(C$2:C$88,A$2:A$88,"&gt;="&amp;DATE(YEAR(TODAY()),MONTH(TODAY()),1),A$2:A$88,"&lt;"&amp;DATE(YEAR(TODAY()),MONTH(TODAY())+1,1),B$2:B$88,$B$96),"")</f>
        <v/>
      </c>
      <c r="D96" s="10">
        <f>IFERROR(AVERAGEIFS(D$2:D$88,A$2:A$88,"&gt;="&amp;DATE(YEAR(TODAY()),MONTH(TODAY()),1),A$2:A$88,"&lt;"&amp;DATE(YEAR(TODAY()),MONTH(TODAY())+1,1),B$2:B$88,$B$96),"")</f>
        <v/>
      </c>
      <c r="E96" s="10">
        <f>IFERROR(AVERAGEIFS(E$2:E$88,A$2:A$88,"&gt;="&amp;DATE(YEAR(TODAY()),MONTH(TODAY()),1),A$2:A$88,"&lt;"&amp;DATE(YEAR(TODAY()),MONTH(TODAY())+1,1),B$2:B$88,$B$96),"")</f>
        <v/>
      </c>
      <c r="F96" s="11">
        <f>IFERROR(SUMPRODUCT((YEAR(A$2:A$88)=YEAR(TODAY()))*(MONTH(A$2:A$88)=MONTH(TODAY()))*(B$2:B$88=$B$96)*(F$2:F$88),"")</f>
        <v/>
      </c>
    </row>
    <row r="97">
      <c r="B97" s="2" t="inlineStr">
        <is>
          <t>MHP系数（对SMM电池级硫酸镍指数）</t>
        </is>
      </c>
      <c r="C97" s="10">
        <f>IFERROR(AVERAGEIFS(C$2:C$88,A$2:A$88,"&gt;="&amp;DATE(YEAR(TODAY()),MONTH(TODAY()),1),A$2:A$88,"&lt;"&amp;DATE(YEAR(TODAY()),MONTH(TODAY())+1,1),B$2:B$88,$B$97),"")</f>
        <v/>
      </c>
      <c r="D97" s="10">
        <f>IFERROR(AVERAGEIFS(D$2:D$88,A$2:A$88,"&gt;="&amp;DATE(YEAR(TODAY()),MONTH(TODAY()),1),A$2:A$88,"&lt;"&amp;DATE(YEAR(TODAY()),MONTH(TODAY())+1,1),B$2:B$88,$B$97),"")</f>
        <v/>
      </c>
      <c r="E97" s="10">
        <f>IFERROR(AVERAGEIFS(E$2:E$88,A$2:A$88,"&gt;="&amp;DATE(YEAR(TODAY()),MONTH(TODAY()),1),A$2:A$88,"&lt;"&amp;DATE(YEAR(TODAY()),MONTH(TODAY())+1,1),B$2:B$88,$B$97),"")</f>
        <v/>
      </c>
      <c r="F97" s="11">
        <f>IFERROR(SUMPRODUCT((YEAR(A$2:A$88)=YEAR(TODAY()))*(MONTH(A$2:A$88)=MONTH(TODAY()))*(B$2:B$88=$B$97)*(F$2:F$88),"")</f>
        <v/>
      </c>
    </row>
    <row r="98">
      <c r="B98" s="2" t="inlineStr">
        <is>
          <t>MHP钴元素计价系数（对SMM硫酸钴均价）</t>
        </is>
      </c>
      <c r="C98" s="10">
        <f>IFERROR(AVERAGEIFS(C$2:C$88,A$2:A$88,"&gt;="&amp;DATE(YEAR(TODAY()),MONTH(TODAY()),1),A$2:A$88,"&lt;"&amp;DATE(YEAR(TODAY()),MONTH(TODAY())+1,1),B$2:B$88,$B$98),"")</f>
        <v/>
      </c>
      <c r="D98" s="10">
        <f>IFERROR(AVERAGEIFS(D$2:D$88,A$2:A$88,"&gt;="&amp;DATE(YEAR(TODAY()),MONTH(TODAY()),1),A$2:A$88,"&lt;"&amp;DATE(YEAR(TODAY()),MONTH(TODAY())+1,1),B$2:B$88,$B$98),"")</f>
        <v/>
      </c>
      <c r="E98" s="10">
        <f>IFERROR(AVERAGEIFS(E$2:E$88,A$2:A$88,"&gt;="&amp;DATE(YEAR(TODAY()),MONTH(TODAY()),1),A$2:A$88,"&lt;"&amp;DATE(YEAR(TODAY()),MONTH(TODAY())+1,1),B$2:B$88,$B$98),"")</f>
        <v/>
      </c>
      <c r="F98" s="11">
        <f>IFERROR(SUMPRODUCT((YEAR(A$2:A$88)=YEAR(TODAY()))*(MONTH(A$2:A$88)=MONTH(TODAY()))*(B$2:B$88=$B$98)*(F$2:F$88),"")</f>
        <v/>
      </c>
    </row>
    <row r="99">
      <c r="B99" s="2" t="inlineStr">
        <is>
          <t>NCA三元材料</t>
        </is>
      </c>
      <c r="C99" s="10">
        <f>IFERROR(AVERAGEIFS(C$2:C$88,A$2:A$88,"&gt;="&amp;DATE(YEAR(TODAY()),MONTH(TODAY()),1),A$2:A$88,"&lt;"&amp;DATE(YEAR(TODAY()),MONTH(TODAY())+1,1),B$2:B$88,$B$99),"")</f>
        <v/>
      </c>
      <c r="D99" s="10">
        <f>IFERROR(AVERAGEIFS(D$2:D$88,A$2:A$88,"&gt;="&amp;DATE(YEAR(TODAY()),MONTH(TODAY()),1),A$2:A$88,"&lt;"&amp;DATE(YEAR(TODAY()),MONTH(TODAY())+1,1),B$2:B$88,$B$99),"")</f>
        <v/>
      </c>
      <c r="E99" s="10">
        <f>IFERROR(AVERAGEIFS(E$2:E$88,A$2:A$88,"&gt;="&amp;DATE(YEAR(TODAY()),MONTH(TODAY()),1),A$2:A$88,"&lt;"&amp;DATE(YEAR(TODAY()),MONTH(TODAY())+1,1),B$2:B$88,$B$99),"")</f>
        <v/>
      </c>
      <c r="F99" s="11">
        <f>IFERROR(SUMPRODUCT((YEAR(A$2:A$88)=YEAR(TODAY()))*(MONTH(A$2:A$88)=MONTH(TODAY()))*(B$2:B$88=$B$99)*(F$2:F$88),"")</f>
        <v/>
      </c>
    </row>
    <row r="100">
      <c r="B100" s="2" t="inlineStr">
        <is>
          <t>SMM三元极片粉钴系数指数</t>
        </is>
      </c>
      <c r="C100" s="10">
        <f>IFERROR(AVERAGEIFS(C$2:C$88,A$2:A$88,"&gt;="&amp;DATE(YEAR(TODAY()),MONTH(TODAY()),1),A$2:A$88,"&lt;"&amp;DATE(YEAR(TODAY()),MONTH(TODAY())+1,1),B$2:B$88,$B$100),"")</f>
        <v/>
      </c>
      <c r="D100" s="10">
        <f>IFERROR(AVERAGEIFS(D$2:D$88,A$2:A$88,"&gt;="&amp;DATE(YEAR(TODAY()),MONTH(TODAY()),1),A$2:A$88,"&lt;"&amp;DATE(YEAR(TODAY()),MONTH(TODAY())+1,1),B$2:B$88,$B$100),"")</f>
        <v/>
      </c>
      <c r="E100" s="10">
        <f>IFERROR(AVERAGEIFS(E$2:E$88,A$2:A$88,"&gt;="&amp;DATE(YEAR(TODAY()),MONTH(TODAY()),1),A$2:A$88,"&lt;"&amp;DATE(YEAR(TODAY()),MONTH(TODAY())+1,1),B$2:B$88,$B$100),"")</f>
        <v/>
      </c>
      <c r="F100" s="11">
        <f>IFERROR(SUMPRODUCT((YEAR(A$2:A$88)=YEAR(TODAY()))*(MONTH(A$2:A$88)=MONTH(TODAY()))*(B$2:B$88=$B$100)*(F$2:F$88),"")</f>
        <v/>
      </c>
    </row>
    <row r="101">
      <c r="B101" s="2" t="inlineStr">
        <is>
          <t>SMM三元极片粉锂系数指数</t>
        </is>
      </c>
      <c r="C101" s="10">
        <f>IFERROR(AVERAGEIFS(C$2:C$88,A$2:A$88,"&gt;="&amp;DATE(YEAR(TODAY()),MONTH(TODAY()),1),A$2:A$88,"&lt;"&amp;DATE(YEAR(TODAY()),MONTH(TODAY())+1,1),B$2:B$88,$B$101),"")</f>
        <v/>
      </c>
      <c r="D101" s="10">
        <f>IFERROR(AVERAGEIFS(D$2:D$88,A$2:A$88,"&gt;="&amp;DATE(YEAR(TODAY()),MONTH(TODAY()),1),A$2:A$88,"&lt;"&amp;DATE(YEAR(TODAY()),MONTH(TODAY())+1,1),B$2:B$88,$B$101),"")</f>
        <v/>
      </c>
      <c r="E101" s="10">
        <f>IFERROR(AVERAGEIFS(E$2:E$88,A$2:A$88,"&gt;="&amp;DATE(YEAR(TODAY()),MONTH(TODAY()),1),A$2:A$88,"&lt;"&amp;DATE(YEAR(TODAY()),MONTH(TODAY())+1,1),B$2:B$88,$B$101),"")</f>
        <v/>
      </c>
      <c r="F101" s="11">
        <f>IFERROR(SUMPRODUCT((YEAR(A$2:A$88)=YEAR(TODAY()))*(MONTH(A$2:A$88)=MONTH(TODAY()))*(B$2:B$88=$B$101)*(F$2:F$88),"")</f>
        <v/>
      </c>
    </row>
    <row r="102">
      <c r="B102" s="2" t="inlineStr">
        <is>
          <t>SMM三元极片粉镍系数指数</t>
        </is>
      </c>
      <c r="C102" s="10">
        <f>IFERROR(AVERAGEIFS(C$2:C$88,A$2:A$88,"&gt;="&amp;DATE(YEAR(TODAY()),MONTH(TODAY()),1),A$2:A$88,"&lt;"&amp;DATE(YEAR(TODAY()),MONTH(TODAY())+1,1),B$2:B$88,$B$102),"")</f>
        <v/>
      </c>
      <c r="D102" s="10">
        <f>IFERROR(AVERAGEIFS(D$2:D$88,A$2:A$88,"&gt;="&amp;DATE(YEAR(TODAY()),MONTH(TODAY()),1),A$2:A$88,"&lt;"&amp;DATE(YEAR(TODAY()),MONTH(TODAY())+1,1),B$2:B$88,$B$102),"")</f>
        <v/>
      </c>
      <c r="E102" s="10">
        <f>IFERROR(AVERAGEIFS(E$2:E$88,A$2:A$88,"&gt;="&amp;DATE(YEAR(TODAY()),MONTH(TODAY()),1),A$2:A$88,"&lt;"&amp;DATE(YEAR(TODAY()),MONTH(TODAY())+1,1),B$2:B$88,$B$102),"")</f>
        <v/>
      </c>
      <c r="F102" s="11">
        <f>IFERROR(SUMPRODUCT((YEAR(A$2:A$88)=YEAR(TODAY()))*(MONTH(A$2:A$88)=MONTH(TODAY()))*(B$2:B$88=$B$102)*(F$2:F$88),"")</f>
        <v/>
      </c>
    </row>
    <row r="103">
      <c r="B103" s="2" t="inlineStr">
        <is>
          <t>SMM三元电池粉钴系数指数</t>
        </is>
      </c>
      <c r="C103" s="10">
        <f>IFERROR(AVERAGEIFS(C$2:C$88,A$2:A$88,"&gt;="&amp;DATE(YEAR(TODAY()),MONTH(TODAY()),1),A$2:A$88,"&lt;"&amp;DATE(YEAR(TODAY()),MONTH(TODAY())+1,1),B$2:B$88,$B$103),"")</f>
        <v/>
      </c>
      <c r="D103" s="10">
        <f>IFERROR(AVERAGEIFS(D$2:D$88,A$2:A$88,"&gt;="&amp;DATE(YEAR(TODAY()),MONTH(TODAY()),1),A$2:A$88,"&lt;"&amp;DATE(YEAR(TODAY()),MONTH(TODAY())+1,1),B$2:B$88,$B$103),"")</f>
        <v/>
      </c>
      <c r="E103" s="10">
        <f>IFERROR(AVERAGEIFS(E$2:E$88,A$2:A$88,"&gt;="&amp;DATE(YEAR(TODAY()),MONTH(TODAY()),1),A$2:A$88,"&lt;"&amp;DATE(YEAR(TODAY()),MONTH(TODAY())+1,1),B$2:B$88,$B$103),"")</f>
        <v/>
      </c>
      <c r="F103" s="11">
        <f>IFERROR(SUMPRODUCT((YEAR(A$2:A$88)=YEAR(TODAY()))*(MONTH(A$2:A$88)=MONTH(TODAY()))*(B$2:B$88=$B$103)*(F$2:F$88),"")</f>
        <v/>
      </c>
    </row>
    <row r="104">
      <c r="B104" s="2" t="inlineStr">
        <is>
          <t>SMM三元电池粉锂系数指数</t>
        </is>
      </c>
      <c r="C104" s="10">
        <f>IFERROR(AVERAGEIFS(C$2:C$88,A$2:A$88,"&gt;="&amp;DATE(YEAR(TODAY()),MONTH(TODAY()),1),A$2:A$88,"&lt;"&amp;DATE(YEAR(TODAY()),MONTH(TODAY())+1,1),B$2:B$88,$B$104),"")</f>
        <v/>
      </c>
      <c r="D104" s="10">
        <f>IFERROR(AVERAGEIFS(D$2:D$88,A$2:A$88,"&gt;="&amp;DATE(YEAR(TODAY()),MONTH(TODAY()),1),A$2:A$88,"&lt;"&amp;DATE(YEAR(TODAY()),MONTH(TODAY())+1,1),B$2:B$88,$B$104),"")</f>
        <v/>
      </c>
      <c r="E104" s="10">
        <f>IFERROR(AVERAGEIFS(E$2:E$88,A$2:A$88,"&gt;="&amp;DATE(YEAR(TODAY()),MONTH(TODAY()),1),A$2:A$88,"&lt;"&amp;DATE(YEAR(TODAY()),MONTH(TODAY())+1,1),B$2:B$88,$B$104),"")</f>
        <v/>
      </c>
      <c r="F104" s="11">
        <f>IFERROR(SUMPRODUCT((YEAR(A$2:A$88)=YEAR(TODAY()))*(MONTH(A$2:A$88)=MONTH(TODAY()))*(B$2:B$88=$B$104)*(F$2:F$88),"")</f>
        <v/>
      </c>
    </row>
    <row r="105">
      <c r="B105" s="2" t="inlineStr">
        <is>
          <t>SMM三元电池粉镍系数指数</t>
        </is>
      </c>
      <c r="C105" s="10">
        <f>IFERROR(AVERAGEIFS(C$2:C$88,A$2:A$88,"&gt;="&amp;DATE(YEAR(TODAY()),MONTH(TODAY()),1),A$2:A$88,"&lt;"&amp;DATE(YEAR(TODAY()),MONTH(TODAY())+1,1),B$2:B$88,$B$105),"")</f>
        <v/>
      </c>
      <c r="D105" s="10">
        <f>IFERROR(AVERAGEIFS(D$2:D$88,A$2:A$88,"&gt;="&amp;DATE(YEAR(TODAY()),MONTH(TODAY()),1),A$2:A$88,"&lt;"&amp;DATE(YEAR(TODAY()),MONTH(TODAY())+1,1),B$2:B$88,$B$105),"")</f>
        <v/>
      </c>
      <c r="E105" s="10">
        <f>IFERROR(AVERAGEIFS(E$2:E$88,A$2:A$88,"&gt;="&amp;DATE(YEAR(TODAY()),MONTH(TODAY()),1),A$2:A$88,"&lt;"&amp;DATE(YEAR(TODAY()),MONTH(TODAY())+1,1),B$2:B$88,$B$105),"")</f>
        <v/>
      </c>
      <c r="F105" s="11">
        <f>IFERROR(SUMPRODUCT((YEAR(A$2:A$88)=YEAR(TODAY()))*(MONTH(A$2:A$88)=MONTH(TODAY()))*(B$2:B$88=$B$105)*(F$2:F$88),"")</f>
        <v/>
      </c>
    </row>
    <row r="106">
      <c r="B106" s="2" t="inlineStr">
        <is>
          <t>SMM六氟磷酸锂指数</t>
        </is>
      </c>
      <c r="C106" s="10">
        <f>IFERROR(AVERAGEIFS(C$2:C$88,A$2:A$88,"&gt;="&amp;DATE(YEAR(TODAY()),MONTH(TODAY()),1),A$2:A$88,"&lt;"&amp;DATE(YEAR(TODAY()),MONTH(TODAY())+1,1),B$2:B$88,$B$106),"")</f>
        <v/>
      </c>
      <c r="D106" s="10">
        <f>IFERROR(AVERAGEIFS(D$2:D$88,A$2:A$88,"&gt;="&amp;DATE(YEAR(TODAY()),MONTH(TODAY()),1),A$2:A$88,"&lt;"&amp;DATE(YEAR(TODAY()),MONTH(TODAY())+1,1),B$2:B$88,$B$106),"")</f>
        <v/>
      </c>
      <c r="E106" s="10">
        <f>IFERROR(AVERAGEIFS(E$2:E$88,A$2:A$88,"&gt;="&amp;DATE(YEAR(TODAY()),MONTH(TODAY()),1),A$2:A$88,"&lt;"&amp;DATE(YEAR(TODAY()),MONTH(TODAY())+1,1),B$2:B$88,$B$106),"")</f>
        <v/>
      </c>
      <c r="F106" s="11">
        <f>IFERROR(SUMPRODUCT((YEAR(A$2:A$88)=YEAR(TODAY()))*(MONTH(A$2:A$88)=MONTH(TODAY()))*(B$2:B$88=$B$106)*(F$2:F$88),"")</f>
        <v/>
      </c>
    </row>
    <row r="107">
      <c r="B107" s="2" t="inlineStr">
        <is>
          <t>SMM电池级氢氧化锂指数</t>
        </is>
      </c>
      <c r="C107" s="10">
        <f>IFERROR(AVERAGEIFS(C$2:C$88,A$2:A$88,"&gt;="&amp;DATE(YEAR(TODAY()),MONTH(TODAY()),1),A$2:A$88,"&lt;"&amp;DATE(YEAR(TODAY()),MONTH(TODAY())+1,1),B$2:B$88,$B$107),"")</f>
        <v/>
      </c>
      <c r="D107" s="10">
        <f>IFERROR(AVERAGEIFS(D$2:D$88,A$2:A$88,"&gt;="&amp;DATE(YEAR(TODAY()),MONTH(TODAY()),1),A$2:A$88,"&lt;"&amp;DATE(YEAR(TODAY()),MONTH(TODAY())+1,1),B$2:B$88,$B$107),"")</f>
        <v/>
      </c>
      <c r="E107" s="10">
        <f>IFERROR(AVERAGEIFS(E$2:E$88,A$2:A$88,"&gt;="&amp;DATE(YEAR(TODAY()),MONTH(TODAY()),1),A$2:A$88,"&lt;"&amp;DATE(YEAR(TODAY()),MONTH(TODAY())+1,1),B$2:B$88,$B$107),"")</f>
        <v/>
      </c>
      <c r="F107" s="11">
        <f>IFERROR(SUMPRODUCT((YEAR(A$2:A$88)=YEAR(TODAY()))*(MONTH(A$2:A$88)=MONTH(TODAY()))*(B$2:B$88=$B$107)*(F$2:F$88),"")</f>
        <v/>
      </c>
    </row>
    <row r="108">
      <c r="B108" s="2" t="inlineStr">
        <is>
          <t>SMM电池级硫酸锰指数</t>
        </is>
      </c>
      <c r="C108" s="10">
        <f>IFERROR(AVERAGEIFS(C$2:C$88,A$2:A$88,"&gt;="&amp;DATE(YEAR(TODAY()),MONTH(TODAY()),1),A$2:A$88,"&lt;"&amp;DATE(YEAR(TODAY()),MONTH(TODAY())+1,1),B$2:B$88,$B$108),"")</f>
        <v/>
      </c>
      <c r="D108" s="10">
        <f>IFERROR(AVERAGEIFS(D$2:D$88,A$2:A$88,"&gt;="&amp;DATE(YEAR(TODAY()),MONTH(TODAY()),1),A$2:A$88,"&lt;"&amp;DATE(YEAR(TODAY()),MONTH(TODAY())+1,1),B$2:B$88,$B$108),"")</f>
        <v/>
      </c>
      <c r="E108" s="10">
        <f>IFERROR(AVERAGEIFS(E$2:E$88,A$2:A$88,"&gt;="&amp;DATE(YEAR(TODAY()),MONTH(TODAY()),1),A$2:A$88,"&lt;"&amp;DATE(YEAR(TODAY()),MONTH(TODAY())+1,1),B$2:B$88,$B$108),"")</f>
        <v/>
      </c>
      <c r="F108" s="11">
        <f>IFERROR(SUMPRODUCT((YEAR(A$2:A$88)=YEAR(TODAY()))*(MONTH(A$2:A$88)=MONTH(TODAY()))*(B$2:B$88=$B$108)*(F$2:F$88),"")</f>
        <v/>
      </c>
    </row>
    <row r="109">
      <c r="B109" s="2" t="inlineStr">
        <is>
          <t>SMM电池级硫酸镍指数</t>
        </is>
      </c>
      <c r="C109" s="10">
        <f>IFERROR(AVERAGEIFS(C$2:C$88,A$2:A$88,"&gt;="&amp;DATE(YEAR(TODAY()),MONTH(TODAY()),1),A$2:A$88,"&lt;"&amp;DATE(YEAR(TODAY()),MONTH(TODAY())+1,1),B$2:B$88,$B$109),"")</f>
        <v/>
      </c>
      <c r="D109" s="10">
        <f>IFERROR(AVERAGEIFS(D$2:D$88,A$2:A$88,"&gt;="&amp;DATE(YEAR(TODAY()),MONTH(TODAY()),1),A$2:A$88,"&lt;"&amp;DATE(YEAR(TODAY()),MONTH(TODAY())+1,1),B$2:B$88,$B$109),"")</f>
        <v/>
      </c>
      <c r="E109" s="10">
        <f>IFERROR(AVERAGEIFS(E$2:E$88,A$2:A$88,"&gt;="&amp;DATE(YEAR(TODAY()),MONTH(TODAY()),1),A$2:A$88,"&lt;"&amp;DATE(YEAR(TODAY()),MONTH(TODAY())+1,1),B$2:B$88,$B$109),"")</f>
        <v/>
      </c>
      <c r="F109" s="11">
        <f>IFERROR(SUMPRODUCT((YEAR(A$2:A$88)=YEAR(TODAY()))*(MONTH(A$2:A$88)=MONTH(TODAY()))*(B$2:B$88=$B$109)*(F$2:F$88),"")</f>
        <v/>
      </c>
    </row>
    <row r="110">
      <c r="B110" s="2" t="inlineStr">
        <is>
          <t>SMM电池级碳酸锂指数</t>
        </is>
      </c>
      <c r="C110" s="10">
        <f>IFERROR(AVERAGEIFS(C$2:C$88,A$2:A$88,"&gt;="&amp;DATE(YEAR(TODAY()),MONTH(TODAY()),1),A$2:A$88,"&lt;"&amp;DATE(YEAR(TODAY()),MONTH(TODAY())+1,1),B$2:B$88,$B$110),"")</f>
        <v/>
      </c>
      <c r="D110" s="10">
        <f>IFERROR(AVERAGEIFS(D$2:D$88,A$2:A$88,"&gt;="&amp;DATE(YEAR(TODAY()),MONTH(TODAY()),1),A$2:A$88,"&lt;"&amp;DATE(YEAR(TODAY()),MONTH(TODAY())+1,1),B$2:B$88,$B$110),"")</f>
        <v/>
      </c>
      <c r="E110" s="10">
        <f>IFERROR(AVERAGEIFS(E$2:E$88,A$2:A$88,"&gt;="&amp;DATE(YEAR(TODAY()),MONTH(TODAY()),1),A$2:A$88,"&lt;"&amp;DATE(YEAR(TODAY()),MONTH(TODAY())+1,1),B$2:B$88,$B$110),"")</f>
        <v/>
      </c>
      <c r="F110" s="11">
        <f>IFERROR(SUMPRODUCT((YEAR(A$2:A$88)=YEAR(TODAY()))*(MONTH(A$2:A$88)=MONTH(TODAY()))*(B$2:B$88=$B$110)*(F$2:F$88),"")</f>
        <v/>
      </c>
    </row>
    <row r="111">
      <c r="B111" s="2" t="inlineStr">
        <is>
          <t>SMM硫酸钴指数</t>
        </is>
      </c>
      <c r="C111" s="10">
        <f>IFERROR(AVERAGEIFS(C$2:C$88,A$2:A$88,"&gt;="&amp;DATE(YEAR(TODAY()),MONTH(TODAY()),1),A$2:A$88,"&lt;"&amp;DATE(YEAR(TODAY()),MONTH(TODAY())+1,1),B$2:B$88,$B$111),"")</f>
        <v/>
      </c>
      <c r="D111" s="10">
        <f>IFERROR(AVERAGEIFS(D$2:D$88,A$2:A$88,"&gt;="&amp;DATE(YEAR(TODAY()),MONTH(TODAY()),1),A$2:A$88,"&lt;"&amp;DATE(YEAR(TODAY()),MONTH(TODAY())+1,1),B$2:B$88,$B$111),"")</f>
        <v/>
      </c>
      <c r="E111" s="10">
        <f>IFERROR(AVERAGEIFS(E$2:E$88,A$2:A$88,"&gt;="&amp;DATE(YEAR(TODAY()),MONTH(TODAY()),1),A$2:A$88,"&lt;"&amp;DATE(YEAR(TODAY()),MONTH(TODAY())+1,1),B$2:B$88,$B$111),"")</f>
        <v/>
      </c>
      <c r="F111" s="11">
        <f>IFERROR(SUMPRODUCT((YEAR(A$2:A$88)=YEAR(TODAY()))*(MONTH(A$2:A$88)=MONTH(TODAY()))*(B$2:B$88=$B$111)*(F$2:F$88),"")</f>
        <v/>
      </c>
    </row>
    <row r="112">
      <c r="B112" s="2" t="inlineStr">
        <is>
          <t>SMM磷酸铁锂极片粉指数</t>
        </is>
      </c>
      <c r="C112" s="10">
        <f>IFERROR(AVERAGEIFS(C$2:C$88,A$2:A$88,"&gt;="&amp;DATE(YEAR(TODAY()),MONTH(TODAY()),1),A$2:A$88,"&lt;"&amp;DATE(YEAR(TODAY()),MONTH(TODAY())+1,1),B$2:B$88,$B$112),"")</f>
        <v/>
      </c>
      <c r="D112" s="10">
        <f>IFERROR(AVERAGEIFS(D$2:D$88,A$2:A$88,"&gt;="&amp;DATE(YEAR(TODAY()),MONTH(TODAY()),1),A$2:A$88,"&lt;"&amp;DATE(YEAR(TODAY()),MONTH(TODAY())+1,1),B$2:B$88,$B$112),"")</f>
        <v/>
      </c>
      <c r="E112" s="10">
        <f>IFERROR(AVERAGEIFS(E$2:E$88,A$2:A$88,"&gt;="&amp;DATE(YEAR(TODAY()),MONTH(TODAY()),1),A$2:A$88,"&lt;"&amp;DATE(YEAR(TODAY()),MONTH(TODAY())+1,1),B$2:B$88,$B$112),"")</f>
        <v/>
      </c>
      <c r="F112" s="11">
        <f>IFERROR(SUMPRODUCT((YEAR(A$2:A$88)=YEAR(TODAY()))*(MONTH(A$2:A$88)=MONTH(TODAY()))*(B$2:B$88=$B$112)*(F$2:F$88),"")</f>
        <v/>
      </c>
    </row>
    <row r="113">
      <c r="B113" s="2" t="inlineStr">
        <is>
          <t>SMM磷酸铁锂电池粉指数</t>
        </is>
      </c>
      <c r="C113" s="10">
        <f>IFERROR(AVERAGEIFS(C$2:C$88,A$2:A$88,"&gt;="&amp;DATE(YEAR(TODAY()),MONTH(TODAY()),1),A$2:A$88,"&lt;"&amp;DATE(YEAR(TODAY()),MONTH(TODAY())+1,1),B$2:B$88,$B$113),"")</f>
        <v/>
      </c>
      <c r="D113" s="10">
        <f>IFERROR(AVERAGEIFS(D$2:D$88,A$2:A$88,"&gt;="&amp;DATE(YEAR(TODAY()),MONTH(TODAY()),1),A$2:A$88,"&lt;"&amp;DATE(YEAR(TODAY()),MONTH(TODAY())+1,1),B$2:B$88,$B$113),"")</f>
        <v/>
      </c>
      <c r="E113" s="10">
        <f>IFERROR(AVERAGEIFS(E$2:E$88,A$2:A$88,"&gt;="&amp;DATE(YEAR(TODAY()),MONTH(TODAY()),1),A$2:A$88,"&lt;"&amp;DATE(YEAR(TODAY()),MONTH(TODAY())+1,1),B$2:B$88,$B$113),"")</f>
        <v/>
      </c>
      <c r="F113" s="11">
        <f>IFERROR(SUMPRODUCT((YEAR(A$2:A$88)=YEAR(TODAY()))*(MONTH(A$2:A$88)=MONTH(TODAY()))*(B$2:B$88=$B$113)*(F$2:F$88),"")</f>
        <v/>
      </c>
    </row>
    <row r="114">
      <c r="B114" s="2" t="inlineStr">
        <is>
          <t>SMM钴酸锂极片粉钴系数指数</t>
        </is>
      </c>
      <c r="C114" s="10">
        <f>IFERROR(AVERAGEIFS(C$2:C$88,A$2:A$88,"&gt;="&amp;DATE(YEAR(TODAY()),MONTH(TODAY()),1),A$2:A$88,"&lt;"&amp;DATE(YEAR(TODAY()),MONTH(TODAY())+1,1),B$2:B$88,$B$114),"")</f>
        <v/>
      </c>
      <c r="D114" s="10">
        <f>IFERROR(AVERAGEIFS(D$2:D$88,A$2:A$88,"&gt;="&amp;DATE(YEAR(TODAY()),MONTH(TODAY()),1),A$2:A$88,"&lt;"&amp;DATE(YEAR(TODAY()),MONTH(TODAY())+1,1),B$2:B$88,$B$114),"")</f>
        <v/>
      </c>
      <c r="E114" s="10">
        <f>IFERROR(AVERAGEIFS(E$2:E$88,A$2:A$88,"&gt;="&amp;DATE(YEAR(TODAY()),MONTH(TODAY()),1),A$2:A$88,"&lt;"&amp;DATE(YEAR(TODAY()),MONTH(TODAY())+1,1),B$2:B$88,$B$114),"")</f>
        <v/>
      </c>
      <c r="F114" s="11">
        <f>IFERROR(SUMPRODUCT((YEAR(A$2:A$88)=YEAR(TODAY()))*(MONTH(A$2:A$88)=MONTH(TODAY()))*(B$2:B$88=$B$114)*(F$2:F$88),"")</f>
        <v/>
      </c>
    </row>
    <row r="115">
      <c r="B115" s="2" t="inlineStr">
        <is>
          <t>SMM钴酸锂极片粉锂系数指数</t>
        </is>
      </c>
      <c r="C115" s="10">
        <f>IFERROR(AVERAGEIFS(C$2:C$88,A$2:A$88,"&gt;="&amp;DATE(YEAR(TODAY()),MONTH(TODAY()),1),A$2:A$88,"&lt;"&amp;DATE(YEAR(TODAY()),MONTH(TODAY())+1,1),B$2:B$88,$B$115),"")</f>
        <v/>
      </c>
      <c r="D115" s="10">
        <f>IFERROR(AVERAGEIFS(D$2:D$88,A$2:A$88,"&gt;="&amp;DATE(YEAR(TODAY()),MONTH(TODAY()),1),A$2:A$88,"&lt;"&amp;DATE(YEAR(TODAY()),MONTH(TODAY())+1,1),B$2:B$88,$B$115),"")</f>
        <v/>
      </c>
      <c r="E115" s="10">
        <f>IFERROR(AVERAGEIFS(E$2:E$88,A$2:A$88,"&gt;="&amp;DATE(YEAR(TODAY()),MONTH(TODAY()),1),A$2:A$88,"&lt;"&amp;DATE(YEAR(TODAY()),MONTH(TODAY())+1,1),B$2:B$88,$B$115),"")</f>
        <v/>
      </c>
      <c r="F115" s="11">
        <f>IFERROR(SUMPRODUCT((YEAR(A$2:A$88)=YEAR(TODAY()))*(MONTH(A$2:A$88)=MONTH(TODAY()))*(B$2:B$88=$B$115)*(F$2:F$88),"")</f>
        <v/>
      </c>
    </row>
    <row r="116">
      <c r="B116" s="2" t="inlineStr">
        <is>
          <t>SMM钴酸锂电池粉钴系数指数</t>
        </is>
      </c>
      <c r="C116" s="10">
        <f>IFERROR(AVERAGEIFS(C$2:C$88,A$2:A$88,"&gt;="&amp;DATE(YEAR(TODAY()),MONTH(TODAY()),1),A$2:A$88,"&lt;"&amp;DATE(YEAR(TODAY()),MONTH(TODAY())+1,1),B$2:B$88,$B$116),"")</f>
        <v/>
      </c>
      <c r="D116" s="10">
        <f>IFERROR(AVERAGEIFS(D$2:D$88,A$2:A$88,"&gt;="&amp;DATE(YEAR(TODAY()),MONTH(TODAY()),1),A$2:A$88,"&lt;"&amp;DATE(YEAR(TODAY()),MONTH(TODAY())+1,1),B$2:B$88,$B$116),"")</f>
        <v/>
      </c>
      <c r="E116" s="10">
        <f>IFERROR(AVERAGEIFS(E$2:E$88,A$2:A$88,"&gt;="&amp;DATE(YEAR(TODAY()),MONTH(TODAY()),1),A$2:A$88,"&lt;"&amp;DATE(YEAR(TODAY()),MONTH(TODAY())+1,1),B$2:B$88,$B$116),"")</f>
        <v/>
      </c>
      <c r="F116" s="11">
        <f>IFERROR(SUMPRODUCT((YEAR(A$2:A$88)=YEAR(TODAY()))*(MONTH(A$2:A$88)=MONTH(TODAY()))*(B$2:B$88=$B$116)*(F$2:F$88),"")</f>
        <v/>
      </c>
    </row>
    <row r="117">
      <c r="B117" s="2" t="inlineStr">
        <is>
          <t>SMM钴酸锂电池粉锂系数指数</t>
        </is>
      </c>
      <c r="C117" s="10">
        <f>IFERROR(AVERAGEIFS(C$2:C$88,A$2:A$88,"&gt;="&amp;DATE(YEAR(TODAY()),MONTH(TODAY()),1),A$2:A$88,"&lt;"&amp;DATE(YEAR(TODAY()),MONTH(TODAY())+1,1),B$2:B$88,$B$117),"")</f>
        <v/>
      </c>
      <c r="D117" s="10">
        <f>IFERROR(AVERAGEIFS(D$2:D$88,A$2:A$88,"&gt;="&amp;DATE(YEAR(TODAY()),MONTH(TODAY()),1),A$2:A$88,"&lt;"&amp;DATE(YEAR(TODAY()),MONTH(TODAY())+1,1),B$2:B$88,$B$117),"")</f>
        <v/>
      </c>
      <c r="E117" s="10">
        <f>IFERROR(AVERAGEIFS(E$2:E$88,A$2:A$88,"&gt;="&amp;DATE(YEAR(TODAY()),MONTH(TODAY()),1),A$2:A$88,"&lt;"&amp;DATE(YEAR(TODAY()),MONTH(TODAY())+1,1),B$2:B$88,$B$117),"")</f>
        <v/>
      </c>
      <c r="F117" s="11">
        <f>IFERROR(SUMPRODUCT((YEAR(A$2:A$88)=YEAR(TODAY()))*(MONTH(A$2:A$88)=MONTH(TODAY()))*(B$2:B$88=$B$117)*(F$2:F$88),"")</f>
        <v/>
      </c>
    </row>
    <row r="118">
      <c r="B118" s="2" t="inlineStr">
        <is>
          <t>三元方壳锂电B品</t>
        </is>
      </c>
      <c r="C118" s="10">
        <f>IFERROR(AVERAGEIFS(C$2:C$88,A$2:A$88,"&gt;="&amp;DATE(YEAR(TODAY()),MONTH(TODAY()),1),A$2:A$88,"&lt;"&amp;DATE(YEAR(TODAY()),MONTH(TODAY())+1,1),B$2:B$88,$B$118),"")</f>
        <v/>
      </c>
      <c r="D118" s="10">
        <f>IFERROR(AVERAGEIFS(D$2:D$88,A$2:A$88,"&gt;="&amp;DATE(YEAR(TODAY()),MONTH(TODAY()),1),A$2:A$88,"&lt;"&amp;DATE(YEAR(TODAY()),MONTH(TODAY())+1,1),B$2:B$88,$B$118),"")</f>
        <v/>
      </c>
      <c r="E118" s="10">
        <f>IFERROR(AVERAGEIFS(E$2:E$88,A$2:A$88,"&gt;="&amp;DATE(YEAR(TODAY()),MONTH(TODAY()),1),A$2:A$88,"&lt;"&amp;DATE(YEAR(TODAY()),MONTH(TODAY())+1,1),B$2:B$88,$B$118),"")</f>
        <v/>
      </c>
      <c r="F118" s="11">
        <f>IFERROR(SUMPRODUCT((YEAR(A$2:A$88)=YEAR(TODAY()))*(MONTH(A$2:A$88)=MONTH(TODAY()))*(B$2:B$88=$B$118)*(F$2:F$88),"")</f>
        <v/>
      </c>
    </row>
    <row r="119">
      <c r="B119" s="2" t="inlineStr">
        <is>
          <t>六氟磷酸锂（国产）</t>
        </is>
      </c>
      <c r="C119" s="10">
        <f>IFERROR(AVERAGEIFS(C$2:C$88,A$2:A$88,"&gt;="&amp;DATE(YEAR(TODAY()),MONTH(TODAY()),1),A$2:A$88,"&lt;"&amp;DATE(YEAR(TODAY()),MONTH(TODAY())+1,1),B$2:B$88,$B$119),"")</f>
        <v/>
      </c>
      <c r="D119" s="10">
        <f>IFERROR(AVERAGEIFS(D$2:D$88,A$2:A$88,"&gt;="&amp;DATE(YEAR(TODAY()),MONTH(TODAY()),1),A$2:A$88,"&lt;"&amp;DATE(YEAR(TODAY()),MONTH(TODAY())+1,1),B$2:B$88,$B$119),"")</f>
        <v/>
      </c>
      <c r="E119" s="10">
        <f>IFERROR(AVERAGEIFS(E$2:E$88,A$2:A$88,"&gt;="&amp;DATE(YEAR(TODAY()),MONTH(TODAY()),1),A$2:A$88,"&lt;"&amp;DATE(YEAR(TODAY()),MONTH(TODAY())+1,1),B$2:B$88,$B$119),"")</f>
        <v/>
      </c>
      <c r="F119" s="11">
        <f>IFERROR(SUMPRODUCT((YEAR(A$2:A$88)=YEAR(TODAY()))*(MONTH(A$2:A$88)=MONTH(TODAY()))*(B$2:B$88=$B$119)*(F$2:F$88),"")</f>
        <v/>
      </c>
    </row>
    <row r="120">
      <c r="B120" s="2" t="inlineStr">
        <is>
          <t>四氧化三钴</t>
        </is>
      </c>
      <c r="C120" s="10">
        <f>IFERROR(AVERAGEIFS(C$2:C$88,A$2:A$88,"&gt;="&amp;DATE(YEAR(TODAY()),MONTH(TODAY()),1),A$2:A$88,"&lt;"&amp;DATE(YEAR(TODAY()),MONTH(TODAY())+1,1),B$2:B$88,$B$120),"")</f>
        <v/>
      </c>
      <c r="D120" s="10">
        <f>IFERROR(AVERAGEIFS(D$2:D$88,A$2:A$88,"&gt;="&amp;DATE(YEAR(TODAY()),MONTH(TODAY()),1),A$2:A$88,"&lt;"&amp;DATE(YEAR(TODAY()),MONTH(TODAY())+1,1),B$2:B$88,$B$120),"")</f>
        <v/>
      </c>
      <c r="E120" s="10">
        <f>IFERROR(AVERAGEIFS(E$2:E$88,A$2:A$88,"&gt;="&amp;DATE(YEAR(TODAY()),MONTH(TODAY()),1),A$2:A$88,"&lt;"&amp;DATE(YEAR(TODAY()),MONTH(TODAY())+1,1),B$2:B$88,$B$120),"")</f>
        <v/>
      </c>
      <c r="F120" s="11">
        <f>IFERROR(SUMPRODUCT((YEAR(A$2:A$88)=YEAR(TODAY()))*(MONTH(A$2:A$88)=MONTH(TODAY()))*(B$2:B$88=$B$120)*(F$2:F$88),"")</f>
        <v/>
      </c>
    </row>
    <row r="121">
      <c r="B121" s="2" t="inlineStr">
        <is>
          <t>四氧化三锰（电池级）</t>
        </is>
      </c>
      <c r="C121" s="10">
        <f>IFERROR(AVERAGEIFS(C$2:C$88,A$2:A$88,"&gt;="&amp;DATE(YEAR(TODAY()),MONTH(TODAY()),1),A$2:A$88,"&lt;"&amp;DATE(YEAR(TODAY()),MONTH(TODAY())+1,1),B$2:B$88,$B$121),"")</f>
        <v/>
      </c>
      <c r="D121" s="10">
        <f>IFERROR(AVERAGEIFS(D$2:D$88,A$2:A$88,"&gt;="&amp;DATE(YEAR(TODAY()),MONTH(TODAY()),1),A$2:A$88,"&lt;"&amp;DATE(YEAR(TODAY()),MONTH(TODAY())+1,1),B$2:B$88,$B$121),"")</f>
        <v/>
      </c>
      <c r="E121" s="10">
        <f>IFERROR(AVERAGEIFS(E$2:E$88,A$2:A$88,"&gt;="&amp;DATE(YEAR(TODAY()),MONTH(TODAY()),1),A$2:A$88,"&lt;"&amp;DATE(YEAR(TODAY()),MONTH(TODAY())+1,1),B$2:B$88,$B$121),"")</f>
        <v/>
      </c>
      <c r="F121" s="11">
        <f>IFERROR(SUMPRODUCT((YEAR(A$2:A$88)=YEAR(TODAY()))*(MONTH(A$2:A$88)=MONTH(TODAY()))*(B$2:B$88=$B$121)*(F$2:F$88),"")</f>
        <v/>
      </c>
    </row>
    <row r="122">
      <c r="B122" s="2" t="inlineStr">
        <is>
          <t>工业级氢氧化锂</t>
        </is>
      </c>
      <c r="C122" s="10">
        <f>IFERROR(AVERAGEIFS(C$2:C$88,A$2:A$88,"&gt;="&amp;DATE(YEAR(TODAY()),MONTH(TODAY()),1),A$2:A$88,"&lt;"&amp;DATE(YEAR(TODAY()),MONTH(TODAY())+1,1),B$2:B$88,$B$122),"")</f>
        <v/>
      </c>
      <c r="D122" s="10">
        <f>IFERROR(AVERAGEIFS(D$2:D$88,A$2:A$88,"&gt;="&amp;DATE(YEAR(TODAY()),MONTH(TODAY()),1),A$2:A$88,"&lt;"&amp;DATE(YEAR(TODAY()),MONTH(TODAY())+1,1),B$2:B$88,$B$122),"")</f>
        <v/>
      </c>
      <c r="E122" s="10">
        <f>IFERROR(AVERAGEIFS(E$2:E$88,A$2:A$88,"&gt;="&amp;DATE(YEAR(TODAY()),MONTH(TODAY()),1),A$2:A$88,"&lt;"&amp;DATE(YEAR(TODAY()),MONTH(TODAY())+1,1),B$2:B$88,$B$122),"")</f>
        <v/>
      </c>
      <c r="F122" s="11">
        <f>IFERROR(SUMPRODUCT((YEAR(A$2:A$88)=YEAR(TODAY()))*(MONTH(A$2:A$88)=MONTH(TODAY()))*(B$2:B$88=$B$122)*(F$2:F$88),"")</f>
        <v/>
      </c>
    </row>
    <row r="123">
      <c r="B123" s="2" t="inlineStr">
        <is>
          <t>工业级碳酸锂</t>
        </is>
      </c>
      <c r="C123" s="10">
        <f>IFERROR(AVERAGEIFS(C$2:C$88,A$2:A$88,"&gt;="&amp;DATE(YEAR(TODAY()),MONTH(TODAY()),1),A$2:A$88,"&lt;"&amp;DATE(YEAR(TODAY()),MONTH(TODAY())+1,1),B$2:B$88,$B$123),"")</f>
        <v/>
      </c>
      <c r="D123" s="10">
        <f>IFERROR(AVERAGEIFS(D$2:D$88,A$2:A$88,"&gt;="&amp;DATE(YEAR(TODAY()),MONTH(TODAY()),1),A$2:A$88,"&lt;"&amp;DATE(YEAR(TODAY()),MONTH(TODAY())+1,1),B$2:B$88,$B$123),"")</f>
        <v/>
      </c>
      <c r="E123" s="10">
        <f>IFERROR(AVERAGEIFS(E$2:E$88,A$2:A$88,"&gt;="&amp;DATE(YEAR(TODAY()),MONTH(TODAY()),1),A$2:A$88,"&lt;"&amp;DATE(YEAR(TODAY()),MONTH(TODAY())+1,1),B$2:B$88,$B$123),"")</f>
        <v/>
      </c>
      <c r="F123" s="11">
        <f>IFERROR(SUMPRODUCT((YEAR(A$2:A$88)=YEAR(TODAY()))*(MONTH(A$2:A$88)=MONTH(TODAY()))*(B$2:B$88=$B$123)*(F$2:F$88),"")</f>
        <v/>
      </c>
    </row>
    <row r="124">
      <c r="B124" s="2" t="inlineStr">
        <is>
          <t>工业级金属锂</t>
        </is>
      </c>
      <c r="C124" s="10">
        <f>IFERROR(AVERAGEIFS(C$2:C$88,A$2:A$88,"&gt;="&amp;DATE(YEAR(TODAY()),MONTH(TODAY()),1),A$2:A$88,"&lt;"&amp;DATE(YEAR(TODAY()),MONTH(TODAY())+1,1),B$2:B$88,$B$124),"")</f>
        <v/>
      </c>
      <c r="D124" s="10">
        <f>IFERROR(AVERAGEIFS(D$2:D$88,A$2:A$88,"&gt;="&amp;DATE(YEAR(TODAY()),MONTH(TODAY()),1),A$2:A$88,"&lt;"&amp;DATE(YEAR(TODAY()),MONTH(TODAY())+1,1),B$2:B$88,$B$124),"")</f>
        <v/>
      </c>
      <c r="E124" s="10">
        <f>IFERROR(AVERAGEIFS(E$2:E$88,A$2:A$88,"&gt;="&amp;DATE(YEAR(TODAY()),MONTH(TODAY()),1),A$2:A$88,"&lt;"&amp;DATE(YEAR(TODAY()),MONTH(TODAY())+1,1),B$2:B$88,$B$124),"")</f>
        <v/>
      </c>
      <c r="F124" s="11">
        <f>IFERROR(SUMPRODUCT((YEAR(A$2:A$88)=YEAR(TODAY()))*(MONTH(A$2:A$88)=MONTH(TODAY()))*(B$2:B$88=$B$124)*(F$2:F$88),"")</f>
        <v/>
      </c>
    </row>
    <row r="125">
      <c r="B125" s="2" t="inlineStr">
        <is>
          <t>巴西锂辉石精矿（CIF中国）现货</t>
        </is>
      </c>
      <c r="C125" s="10">
        <f>IFERROR(AVERAGEIFS(C$2:C$88,A$2:A$88,"&gt;="&amp;DATE(YEAR(TODAY()),MONTH(TODAY()),1),A$2:A$88,"&lt;"&amp;DATE(YEAR(TODAY()),MONTH(TODAY())+1,1),B$2:B$88,$B$125),"")</f>
        <v/>
      </c>
      <c r="D125" s="10">
        <f>IFERROR(AVERAGEIFS(D$2:D$88,A$2:A$88,"&gt;="&amp;DATE(YEAR(TODAY()),MONTH(TODAY()),1),A$2:A$88,"&lt;"&amp;DATE(YEAR(TODAY()),MONTH(TODAY())+1,1),B$2:B$88,$B$125),"")</f>
        <v/>
      </c>
      <c r="E125" s="10">
        <f>IFERROR(AVERAGEIFS(E$2:E$88,A$2:A$88,"&gt;="&amp;DATE(YEAR(TODAY()),MONTH(TODAY()),1),A$2:A$88,"&lt;"&amp;DATE(YEAR(TODAY()),MONTH(TODAY())+1,1),B$2:B$88,$B$125),"")</f>
        <v/>
      </c>
      <c r="F125" s="11">
        <f>IFERROR(SUMPRODUCT((YEAR(A$2:A$88)=YEAR(TODAY()))*(MONTH(A$2:A$88)=MONTH(TODAY()))*(B$2:B$88=$B$125)*(F$2:F$88),"")</f>
        <v/>
      </c>
    </row>
    <row r="126">
      <c r="B126" s="2" t="inlineStr">
        <is>
          <t>废旧磷酸铁锂储能正极片</t>
        </is>
      </c>
      <c r="C126" s="10">
        <f>IFERROR(AVERAGEIFS(C$2:C$88,A$2:A$88,"&gt;="&amp;DATE(YEAR(TODAY()),MONTH(TODAY()),1),A$2:A$88,"&lt;"&amp;DATE(YEAR(TODAY()),MONTH(TODAY())+1,1),B$2:B$88,$B$126),"")</f>
        <v/>
      </c>
      <c r="D126" s="10">
        <f>IFERROR(AVERAGEIFS(D$2:D$88,A$2:A$88,"&gt;="&amp;DATE(YEAR(TODAY()),MONTH(TODAY()),1),A$2:A$88,"&lt;"&amp;DATE(YEAR(TODAY()),MONTH(TODAY())+1,1),B$2:B$88,$B$126),"")</f>
        <v/>
      </c>
      <c r="E126" s="10">
        <f>IFERROR(AVERAGEIFS(E$2:E$88,A$2:A$88,"&gt;="&amp;DATE(YEAR(TODAY()),MONTH(TODAY()),1),A$2:A$88,"&lt;"&amp;DATE(YEAR(TODAY()),MONTH(TODAY())+1,1),B$2:B$88,$B$126),"")</f>
        <v/>
      </c>
      <c r="F126" s="11">
        <f>IFERROR(SUMPRODUCT((YEAR(A$2:A$88)=YEAR(TODAY()))*(MONTH(A$2:A$88)=MONTH(TODAY()))*(B$2:B$88=$B$126)*(F$2:F$88),"")</f>
        <v/>
      </c>
    </row>
    <row r="127">
      <c r="B127" s="2" t="inlineStr">
        <is>
          <t>废旧磷酸铁锂动力正极片</t>
        </is>
      </c>
      <c r="C127" s="10">
        <f>IFERROR(AVERAGEIFS(C$2:C$88,A$2:A$88,"&gt;="&amp;DATE(YEAR(TODAY()),MONTH(TODAY()),1),A$2:A$88,"&lt;"&amp;DATE(YEAR(TODAY()),MONTH(TODAY())+1,1),B$2:B$88,$B$127),"")</f>
        <v/>
      </c>
      <c r="D127" s="10">
        <f>IFERROR(AVERAGEIFS(D$2:D$88,A$2:A$88,"&gt;="&amp;DATE(YEAR(TODAY()),MONTH(TODAY()),1),A$2:A$88,"&lt;"&amp;DATE(YEAR(TODAY()),MONTH(TODAY())+1,1),B$2:B$88,$B$127),"")</f>
        <v/>
      </c>
      <c r="E127" s="10">
        <f>IFERROR(AVERAGEIFS(E$2:E$88,A$2:A$88,"&gt;="&amp;DATE(YEAR(TODAY()),MONTH(TODAY()),1),A$2:A$88,"&lt;"&amp;DATE(YEAR(TODAY()),MONTH(TODAY())+1,1),B$2:B$88,$B$127),"")</f>
        <v/>
      </c>
      <c r="F127" s="11">
        <f>IFERROR(SUMPRODUCT((YEAR(A$2:A$88)=YEAR(TODAY()))*(MONTH(A$2:A$88)=MONTH(TODAY()))*(B$2:B$88=$B$127)*(F$2:F$88),"")</f>
        <v/>
      </c>
    </row>
    <row r="128">
      <c r="B128" s="2" t="inlineStr">
        <is>
          <t>废旧磷酸铁锂软包电池</t>
        </is>
      </c>
      <c r="C128" s="10">
        <f>IFERROR(AVERAGEIFS(C$2:C$88,A$2:A$88,"&gt;="&amp;DATE(YEAR(TODAY()),MONTH(TODAY()),1),A$2:A$88,"&lt;"&amp;DATE(YEAR(TODAY()),MONTH(TODAY())+1,1),B$2:B$88,$B$128),"")</f>
        <v/>
      </c>
      <c r="D128" s="10">
        <f>IFERROR(AVERAGEIFS(D$2:D$88,A$2:A$88,"&gt;="&amp;DATE(YEAR(TODAY()),MONTH(TODAY()),1),A$2:A$88,"&lt;"&amp;DATE(YEAR(TODAY()),MONTH(TODAY())+1,1),B$2:B$88,$B$128),"")</f>
        <v/>
      </c>
      <c r="E128" s="10">
        <f>IFERROR(AVERAGEIFS(E$2:E$88,A$2:A$88,"&gt;="&amp;DATE(YEAR(TODAY()),MONTH(TODAY()),1),A$2:A$88,"&lt;"&amp;DATE(YEAR(TODAY()),MONTH(TODAY())+1,1),B$2:B$88,$B$128),"")</f>
        <v/>
      </c>
      <c r="F128" s="11">
        <f>IFERROR(SUMPRODUCT((YEAR(A$2:A$88)=YEAR(TODAY()))*(MONTH(A$2:A$88)=MONTH(TODAY()))*(B$2:B$88=$B$128)*(F$2:F$88),"")</f>
        <v/>
      </c>
    </row>
    <row r="129">
      <c r="B129" s="2" t="inlineStr">
        <is>
          <t>废旧磷酸铁锂钢壳电池</t>
        </is>
      </c>
      <c r="C129" s="10">
        <f>IFERROR(AVERAGEIFS(C$2:C$88,A$2:A$88,"&gt;="&amp;DATE(YEAR(TODAY()),MONTH(TODAY()),1),A$2:A$88,"&lt;"&amp;DATE(YEAR(TODAY()),MONTH(TODAY())+1,1),B$2:B$88,$B$129),"")</f>
        <v/>
      </c>
      <c r="D129" s="10">
        <f>IFERROR(AVERAGEIFS(D$2:D$88,A$2:A$88,"&gt;="&amp;DATE(YEAR(TODAY()),MONTH(TODAY()),1),A$2:A$88,"&lt;"&amp;DATE(YEAR(TODAY()),MONTH(TODAY())+1,1),B$2:B$88,$B$129),"")</f>
        <v/>
      </c>
      <c r="E129" s="10">
        <f>IFERROR(AVERAGEIFS(E$2:E$88,A$2:A$88,"&gt;="&amp;DATE(YEAR(TODAY()),MONTH(TODAY()),1),A$2:A$88,"&lt;"&amp;DATE(YEAR(TODAY()),MONTH(TODAY())+1,1),B$2:B$88,$B$129),"")</f>
        <v/>
      </c>
      <c r="F129" s="11">
        <f>IFERROR(SUMPRODUCT((YEAR(A$2:A$88)=YEAR(TODAY()))*(MONTH(A$2:A$88)=MONTH(TODAY()))*(B$2:B$88=$B$129)*(F$2:F$88),"")</f>
        <v/>
      </c>
    </row>
    <row r="130">
      <c r="B130" s="2" t="inlineStr">
        <is>
          <t>废旧磷酸铁锂铝壳电池</t>
        </is>
      </c>
      <c r="C130" s="10">
        <f>IFERROR(AVERAGEIFS(C$2:C$88,A$2:A$88,"&gt;="&amp;DATE(YEAR(TODAY()),MONTH(TODAY()),1),A$2:A$88,"&lt;"&amp;DATE(YEAR(TODAY()),MONTH(TODAY())+1,1),B$2:B$88,$B$130),"")</f>
        <v/>
      </c>
      <c r="D130" s="10">
        <f>IFERROR(AVERAGEIFS(D$2:D$88,A$2:A$88,"&gt;="&amp;DATE(YEAR(TODAY()),MONTH(TODAY()),1),A$2:A$88,"&lt;"&amp;DATE(YEAR(TODAY()),MONTH(TODAY())+1,1),B$2:B$88,$B$130),"")</f>
        <v/>
      </c>
      <c r="E130" s="10">
        <f>IFERROR(AVERAGEIFS(E$2:E$88,A$2:A$88,"&gt;="&amp;DATE(YEAR(TODAY()),MONTH(TODAY()),1),A$2:A$88,"&lt;"&amp;DATE(YEAR(TODAY()),MONTH(TODAY())+1,1),B$2:B$88,$B$130),"")</f>
        <v/>
      </c>
      <c r="F130" s="11">
        <f>IFERROR(SUMPRODUCT((YEAR(A$2:A$88)=YEAR(TODAY()))*(MONTH(A$2:A$88)=MONTH(TODAY()))*(B$2:B$88=$B$130)*(F$2:F$88),"")</f>
        <v/>
      </c>
    </row>
    <row r="131">
      <c r="B131" s="2" t="inlineStr">
        <is>
          <t>方形磷酸铁锂电池B品</t>
        </is>
      </c>
      <c r="C131" s="10">
        <f>IFERROR(AVERAGEIFS(C$2:C$88,A$2:A$88,"&gt;="&amp;DATE(YEAR(TODAY()),MONTH(TODAY()),1),A$2:A$88,"&lt;"&amp;DATE(YEAR(TODAY()),MONTH(TODAY())+1,1),B$2:B$88,$B$131),"")</f>
        <v/>
      </c>
      <c r="D131" s="10">
        <f>IFERROR(AVERAGEIFS(D$2:D$88,A$2:A$88,"&gt;="&amp;DATE(YEAR(TODAY()),MONTH(TODAY()),1),A$2:A$88,"&lt;"&amp;DATE(YEAR(TODAY()),MONTH(TODAY())+1,1),B$2:B$88,$B$131),"")</f>
        <v/>
      </c>
      <c r="E131" s="10">
        <f>IFERROR(AVERAGEIFS(E$2:E$88,A$2:A$88,"&gt;="&amp;DATE(YEAR(TODAY()),MONTH(TODAY()),1),A$2:A$88,"&lt;"&amp;DATE(YEAR(TODAY()),MONTH(TODAY())+1,1),B$2:B$88,$B$131),"")</f>
        <v/>
      </c>
      <c r="F131" s="11">
        <f>IFERROR(SUMPRODUCT((YEAR(A$2:A$88)=YEAR(TODAY()))*(MONTH(A$2:A$88)=MONTH(TODAY()))*(B$2:B$88=$B$131)*(F$2:F$88),"")</f>
        <v/>
      </c>
    </row>
    <row r="132">
      <c r="B132" s="2" t="inlineStr">
        <is>
          <t>氧化亚镍</t>
        </is>
      </c>
      <c r="C132" s="10">
        <f>IFERROR(AVERAGEIFS(C$2:C$88,A$2:A$88,"&gt;="&amp;DATE(YEAR(TODAY()),MONTH(TODAY()),1),A$2:A$88,"&lt;"&amp;DATE(YEAR(TODAY()),MONTH(TODAY())+1,1),B$2:B$88,$B$132),"")</f>
        <v/>
      </c>
      <c r="D132" s="10">
        <f>IFERROR(AVERAGEIFS(D$2:D$88,A$2:A$88,"&gt;="&amp;DATE(YEAR(TODAY()),MONTH(TODAY()),1),A$2:A$88,"&lt;"&amp;DATE(YEAR(TODAY()),MONTH(TODAY())+1,1),B$2:B$88,$B$132),"")</f>
        <v/>
      </c>
      <c r="E132" s="10">
        <f>IFERROR(AVERAGEIFS(E$2:E$88,A$2:A$88,"&gt;="&amp;DATE(YEAR(TODAY()),MONTH(TODAY()),1),A$2:A$88,"&lt;"&amp;DATE(YEAR(TODAY()),MONTH(TODAY())+1,1),B$2:B$88,$B$132),"")</f>
        <v/>
      </c>
      <c r="F132" s="11">
        <f>IFERROR(SUMPRODUCT((YEAR(A$2:A$88)=YEAR(TODAY()))*(MONTH(A$2:A$88)=MONTH(TODAY()))*(B$2:B$88=$B$132)*(F$2:F$88),"")</f>
        <v/>
      </c>
    </row>
    <row r="133">
      <c r="B133" s="2" t="inlineStr">
        <is>
          <t>氧化钴</t>
        </is>
      </c>
      <c r="C133" s="10">
        <f>IFERROR(AVERAGEIFS(C$2:C$88,A$2:A$88,"&gt;="&amp;DATE(YEAR(TODAY()),MONTH(TODAY()),1),A$2:A$88,"&lt;"&amp;DATE(YEAR(TODAY()),MONTH(TODAY())+1,1),B$2:B$88,$B$133),"")</f>
        <v/>
      </c>
      <c r="D133" s="10">
        <f>IFERROR(AVERAGEIFS(D$2:D$88,A$2:A$88,"&gt;="&amp;DATE(YEAR(TODAY()),MONTH(TODAY()),1),A$2:A$88,"&lt;"&amp;DATE(YEAR(TODAY()),MONTH(TODAY())+1,1),B$2:B$88,$B$133),"")</f>
        <v/>
      </c>
      <c r="E133" s="10">
        <f>IFERROR(AVERAGEIFS(E$2:E$88,A$2:A$88,"&gt;="&amp;DATE(YEAR(TODAY()),MONTH(TODAY()),1),A$2:A$88,"&lt;"&amp;DATE(YEAR(TODAY()),MONTH(TODAY())+1,1),B$2:B$88,$B$133),"")</f>
        <v/>
      </c>
      <c r="F133" s="11">
        <f>IFERROR(SUMPRODUCT((YEAR(A$2:A$88)=YEAR(TODAY()))*(MONTH(A$2:A$88)=MONTH(TODAY()))*(B$2:B$88=$B$133)*(F$2:F$88),"")</f>
        <v/>
      </c>
    </row>
    <row r="134">
      <c r="B134" s="2" t="inlineStr">
        <is>
          <t>氯化钴</t>
        </is>
      </c>
      <c r="C134" s="10">
        <f>IFERROR(AVERAGEIFS(C$2:C$88,A$2:A$88,"&gt;="&amp;DATE(YEAR(TODAY()),MONTH(TODAY()),1),A$2:A$88,"&lt;"&amp;DATE(YEAR(TODAY()),MONTH(TODAY())+1,1),B$2:B$88,$B$134),"")</f>
        <v/>
      </c>
      <c r="D134" s="10">
        <f>IFERROR(AVERAGEIFS(D$2:D$88,A$2:A$88,"&gt;="&amp;DATE(YEAR(TODAY()),MONTH(TODAY()),1),A$2:A$88,"&lt;"&amp;DATE(YEAR(TODAY()),MONTH(TODAY())+1,1),B$2:B$88,$B$134),"")</f>
        <v/>
      </c>
      <c r="E134" s="10">
        <f>IFERROR(AVERAGEIFS(E$2:E$88,A$2:A$88,"&gt;="&amp;DATE(YEAR(TODAY()),MONTH(TODAY()),1),A$2:A$88,"&lt;"&amp;DATE(YEAR(TODAY()),MONTH(TODAY())+1,1),B$2:B$88,$B$134),"")</f>
        <v/>
      </c>
      <c r="F134" s="11">
        <f>IFERROR(SUMPRODUCT((YEAR(A$2:A$88)=YEAR(TODAY()))*(MONTH(A$2:A$88)=MONTH(TODAY()))*(B$2:B$88=$B$134)*(F$2:F$88),"")</f>
        <v/>
      </c>
    </row>
    <row r="135">
      <c r="B135" s="2" t="inlineStr">
        <is>
          <t>氯化镍NiCl₂·6H₂O</t>
        </is>
      </c>
      <c r="C135" s="10">
        <f>IFERROR(AVERAGEIFS(C$2:C$88,A$2:A$88,"&gt;="&amp;DATE(YEAR(TODAY()),MONTH(TODAY()),1),A$2:A$88,"&lt;"&amp;DATE(YEAR(TODAY()),MONTH(TODAY())+1,1),B$2:B$88,$B$135),"")</f>
        <v/>
      </c>
      <c r="D135" s="10">
        <f>IFERROR(AVERAGEIFS(D$2:D$88,A$2:A$88,"&gt;="&amp;DATE(YEAR(TODAY()),MONTH(TODAY()),1),A$2:A$88,"&lt;"&amp;DATE(YEAR(TODAY()),MONTH(TODAY())+1,1),B$2:B$88,$B$135),"")</f>
        <v/>
      </c>
      <c r="E135" s="10">
        <f>IFERROR(AVERAGEIFS(E$2:E$88,A$2:A$88,"&gt;="&amp;DATE(YEAR(TODAY()),MONTH(TODAY()),1),A$2:A$88,"&lt;"&amp;DATE(YEAR(TODAY()),MONTH(TODAY())+1,1),B$2:B$88,$B$135),"")</f>
        <v/>
      </c>
      <c r="F135" s="11">
        <f>IFERROR(SUMPRODUCT((YEAR(A$2:A$88)=YEAR(TODAY()))*(MONTH(A$2:A$88)=MONTH(TODAY()))*(B$2:B$88=$B$135)*(F$2:F$88),"")</f>
        <v/>
      </c>
    </row>
    <row r="136">
      <c r="B136" s="2" t="inlineStr">
        <is>
          <t>津巴布韦锂辉石精矿（CIF中国）现货</t>
        </is>
      </c>
      <c r="C136" s="10">
        <f>IFERROR(AVERAGEIFS(C$2:C$88,A$2:A$88,"&gt;="&amp;DATE(YEAR(TODAY()),MONTH(TODAY()),1),A$2:A$88,"&lt;"&amp;DATE(YEAR(TODAY()),MONTH(TODAY())+1,1),B$2:B$88,$B$136),"")</f>
        <v/>
      </c>
      <c r="D136" s="10">
        <f>IFERROR(AVERAGEIFS(D$2:D$88,A$2:A$88,"&gt;="&amp;DATE(YEAR(TODAY()),MONTH(TODAY()),1),A$2:A$88,"&lt;"&amp;DATE(YEAR(TODAY()),MONTH(TODAY())+1,1),B$2:B$88,$B$136),"")</f>
        <v/>
      </c>
      <c r="E136" s="10">
        <f>IFERROR(AVERAGEIFS(E$2:E$88,A$2:A$88,"&gt;="&amp;DATE(YEAR(TODAY()),MONTH(TODAY()),1),A$2:A$88,"&lt;"&amp;DATE(YEAR(TODAY()),MONTH(TODAY())+1,1),B$2:B$88,$B$136),"")</f>
        <v/>
      </c>
      <c r="F136" s="11">
        <f>IFERROR(SUMPRODUCT((YEAR(A$2:A$88)=YEAR(TODAY()))*(MONTH(A$2:A$88)=MONTH(TODAY()))*(B$2:B$88=$B$136)*(F$2:F$88),"")</f>
        <v/>
      </c>
    </row>
    <row r="137">
      <c r="B137" s="2" t="inlineStr">
        <is>
          <t>澳大利亚锂辉石精矿（CIF中国）现货</t>
        </is>
      </c>
      <c r="C137" s="10">
        <f>IFERROR(AVERAGEIFS(C$2:C$88,A$2:A$88,"&gt;="&amp;DATE(YEAR(TODAY()),MONTH(TODAY()),1),A$2:A$88,"&lt;"&amp;DATE(YEAR(TODAY()),MONTH(TODAY())+1,1),B$2:B$88,$B$137),"")</f>
        <v/>
      </c>
      <c r="D137" s="10">
        <f>IFERROR(AVERAGEIFS(D$2:D$88,A$2:A$88,"&gt;="&amp;DATE(YEAR(TODAY()),MONTH(TODAY()),1),A$2:A$88,"&lt;"&amp;DATE(YEAR(TODAY()),MONTH(TODAY())+1,1),B$2:B$88,$B$137),"")</f>
        <v/>
      </c>
      <c r="E137" s="10">
        <f>IFERROR(AVERAGEIFS(E$2:E$88,A$2:A$88,"&gt;="&amp;DATE(YEAR(TODAY()),MONTH(TODAY()),1),A$2:A$88,"&lt;"&amp;DATE(YEAR(TODAY()),MONTH(TODAY())+1,1),B$2:B$88,$B$137),"")</f>
        <v/>
      </c>
      <c r="F137" s="11">
        <f>IFERROR(SUMPRODUCT((YEAR(A$2:A$88)=YEAR(TODAY()))*(MONTH(A$2:A$88)=MONTH(TODAY()))*(B$2:B$88=$B$137)*(F$2:F$88),"")</f>
        <v/>
      </c>
    </row>
    <row r="138">
      <c r="B138" s="2" t="inlineStr">
        <is>
          <t>电池级无水氯化锂</t>
        </is>
      </c>
      <c r="C138" s="10">
        <f>IFERROR(AVERAGEIFS(C$2:C$88,A$2:A$88,"&gt;="&amp;DATE(YEAR(TODAY()),MONTH(TODAY()),1),A$2:A$88,"&lt;"&amp;DATE(YEAR(TODAY()),MONTH(TODAY())+1,1),B$2:B$88,$B$138),"")</f>
        <v/>
      </c>
      <c r="D138" s="10">
        <f>IFERROR(AVERAGEIFS(D$2:D$88,A$2:A$88,"&gt;="&amp;DATE(YEAR(TODAY()),MONTH(TODAY()),1),A$2:A$88,"&lt;"&amp;DATE(YEAR(TODAY()),MONTH(TODAY())+1,1),B$2:B$88,$B$138),"")</f>
        <v/>
      </c>
      <c r="E138" s="10">
        <f>IFERROR(AVERAGEIFS(E$2:E$88,A$2:A$88,"&gt;="&amp;DATE(YEAR(TODAY()),MONTH(TODAY()),1),A$2:A$88,"&lt;"&amp;DATE(YEAR(TODAY()),MONTH(TODAY())+1,1),B$2:B$88,$B$138),"")</f>
        <v/>
      </c>
      <c r="F138" s="11">
        <f>IFERROR(SUMPRODUCT((YEAR(A$2:A$88)=YEAR(TODAY()))*(MONTH(A$2:A$88)=MONTH(TODAY()))*(B$2:B$88=$B$138)*(F$2:F$88),"")</f>
        <v/>
      </c>
    </row>
    <row r="139">
      <c r="B139" s="2" t="inlineStr">
        <is>
          <t>电池级氟化锂</t>
        </is>
      </c>
      <c r="C139" s="10">
        <f>IFERROR(AVERAGEIFS(C$2:C$88,A$2:A$88,"&gt;="&amp;DATE(YEAR(TODAY()),MONTH(TODAY()),1),A$2:A$88,"&lt;"&amp;DATE(YEAR(TODAY()),MONTH(TODAY())+1,1),B$2:B$88,$B$139),"")</f>
        <v/>
      </c>
      <c r="D139" s="10">
        <f>IFERROR(AVERAGEIFS(D$2:D$88,A$2:A$88,"&gt;="&amp;DATE(YEAR(TODAY()),MONTH(TODAY()),1),A$2:A$88,"&lt;"&amp;DATE(YEAR(TODAY()),MONTH(TODAY())+1,1),B$2:B$88,$B$139),"")</f>
        <v/>
      </c>
      <c r="E139" s="10">
        <f>IFERROR(AVERAGEIFS(E$2:E$88,A$2:A$88,"&gt;="&amp;DATE(YEAR(TODAY()),MONTH(TODAY()),1),A$2:A$88,"&lt;"&amp;DATE(YEAR(TODAY()),MONTH(TODAY())+1,1),B$2:B$88,$B$139),"")</f>
        <v/>
      </c>
      <c r="F139" s="11">
        <f>IFERROR(SUMPRODUCT((YEAR(A$2:A$88)=YEAR(TODAY()))*(MONTH(A$2:A$88)=MONTH(TODAY()))*(B$2:B$88=$B$139)*(F$2:F$88),"")</f>
        <v/>
      </c>
    </row>
    <row r="140">
      <c r="B140" s="2" t="inlineStr">
        <is>
          <t>电池级氢氧化锂(CIF中日韩)</t>
        </is>
      </c>
      <c r="C140" s="10">
        <f>IFERROR(AVERAGEIFS(C$2:C$88,A$2:A$88,"&gt;="&amp;DATE(YEAR(TODAY()),MONTH(TODAY()),1),A$2:A$88,"&lt;"&amp;DATE(YEAR(TODAY()),MONTH(TODAY())+1,1),B$2:B$88,$B$140),"")</f>
        <v/>
      </c>
      <c r="D140" s="10">
        <f>IFERROR(AVERAGEIFS(D$2:D$88,A$2:A$88,"&gt;="&amp;DATE(YEAR(TODAY()),MONTH(TODAY()),1),A$2:A$88,"&lt;"&amp;DATE(YEAR(TODAY()),MONTH(TODAY())+1,1),B$2:B$88,$B$140),"")</f>
        <v/>
      </c>
      <c r="E140" s="10">
        <f>IFERROR(AVERAGEIFS(E$2:E$88,A$2:A$88,"&gt;="&amp;DATE(YEAR(TODAY()),MONTH(TODAY()),1),A$2:A$88,"&lt;"&amp;DATE(YEAR(TODAY()),MONTH(TODAY())+1,1),B$2:B$88,$B$140),"")</f>
        <v/>
      </c>
      <c r="F140" s="11">
        <f>IFERROR(SUMPRODUCT((YEAR(A$2:A$88)=YEAR(TODAY()))*(MONTH(A$2:A$88)=MONTH(TODAY()))*(B$2:B$88=$B$140)*(F$2:F$88),"")</f>
        <v/>
      </c>
    </row>
    <row r="141">
      <c r="B141" s="2" t="inlineStr">
        <is>
          <t>电池级氢氧化锂(CIF韩国)</t>
        </is>
      </c>
      <c r="C141" s="10">
        <f>IFERROR(AVERAGEIFS(C$2:C$88,A$2:A$88,"&gt;="&amp;DATE(YEAR(TODAY()),MONTH(TODAY()),1),A$2:A$88,"&lt;"&amp;DATE(YEAR(TODAY()),MONTH(TODAY())+1,1),B$2:B$88,$B$141),"")</f>
        <v/>
      </c>
      <c r="D141" s="10">
        <f>IFERROR(AVERAGEIFS(D$2:D$88,A$2:A$88,"&gt;="&amp;DATE(YEAR(TODAY()),MONTH(TODAY()),1),A$2:A$88,"&lt;"&amp;DATE(YEAR(TODAY()),MONTH(TODAY())+1,1),B$2:B$88,$B$141),"")</f>
        <v/>
      </c>
      <c r="E141" s="10">
        <f>IFERROR(AVERAGEIFS(E$2:E$88,A$2:A$88,"&gt;="&amp;DATE(YEAR(TODAY()),MONTH(TODAY()),1),A$2:A$88,"&lt;"&amp;DATE(YEAR(TODAY()),MONTH(TODAY())+1,1),B$2:B$88,$B$141),"")</f>
        <v/>
      </c>
      <c r="F141" s="11">
        <f>IFERROR(SUMPRODUCT((YEAR(A$2:A$88)=YEAR(TODAY()))*(MONTH(A$2:A$88)=MONTH(TODAY()))*(B$2:B$88=$B$141)*(F$2:F$88),"")</f>
        <v/>
      </c>
    </row>
    <row r="142">
      <c r="B142" s="2" t="inlineStr">
        <is>
          <t>电池级氢氧化锂(微粉）</t>
        </is>
      </c>
      <c r="C142" s="10">
        <f>IFERROR(AVERAGEIFS(C$2:C$88,A$2:A$88,"&gt;="&amp;DATE(YEAR(TODAY()),MONTH(TODAY()),1),A$2:A$88,"&lt;"&amp;DATE(YEAR(TODAY()),MONTH(TODAY())+1,1),B$2:B$88,$B$142),"")</f>
        <v/>
      </c>
      <c r="D142" s="10">
        <f>IFERROR(AVERAGEIFS(D$2:D$88,A$2:A$88,"&gt;="&amp;DATE(YEAR(TODAY()),MONTH(TODAY()),1),A$2:A$88,"&lt;"&amp;DATE(YEAR(TODAY()),MONTH(TODAY())+1,1),B$2:B$88,$B$142),"")</f>
        <v/>
      </c>
      <c r="E142" s="10">
        <f>IFERROR(AVERAGEIFS(E$2:E$88,A$2:A$88,"&gt;="&amp;DATE(YEAR(TODAY()),MONTH(TODAY()),1),A$2:A$88,"&lt;"&amp;DATE(YEAR(TODAY()),MONTH(TODAY())+1,1),B$2:B$88,$B$142),"")</f>
        <v/>
      </c>
      <c r="F142" s="11">
        <f>IFERROR(SUMPRODUCT((YEAR(A$2:A$88)=YEAR(TODAY()))*(MONTH(A$2:A$88)=MONTH(TODAY()))*(B$2:B$88=$B$142)*(F$2:F$88),"")</f>
        <v/>
      </c>
    </row>
    <row r="143">
      <c r="B143" s="2" t="inlineStr">
        <is>
          <t>电池级氢氧化锂（粗颗粒）</t>
        </is>
      </c>
      <c r="C143" s="10">
        <f>IFERROR(AVERAGEIFS(C$2:C$88,A$2:A$88,"&gt;="&amp;DATE(YEAR(TODAY()),MONTH(TODAY()),1),A$2:A$88,"&lt;"&amp;DATE(YEAR(TODAY()),MONTH(TODAY())+1,1),B$2:B$88,$B$143),"")</f>
        <v/>
      </c>
      <c r="D143" s="10">
        <f>IFERROR(AVERAGEIFS(D$2:D$88,A$2:A$88,"&gt;="&amp;DATE(YEAR(TODAY()),MONTH(TODAY()),1),A$2:A$88,"&lt;"&amp;DATE(YEAR(TODAY()),MONTH(TODAY())+1,1),B$2:B$88,$B$143),"")</f>
        <v/>
      </c>
      <c r="E143" s="10">
        <f>IFERROR(AVERAGEIFS(E$2:E$88,A$2:A$88,"&gt;="&amp;DATE(YEAR(TODAY()),MONTH(TODAY()),1),A$2:A$88,"&lt;"&amp;DATE(YEAR(TODAY()),MONTH(TODAY())+1,1),B$2:B$88,$B$143),"")</f>
        <v/>
      </c>
      <c r="F143" s="11">
        <f>IFERROR(SUMPRODUCT((YEAR(A$2:A$88)=YEAR(TODAY()))*(MONTH(A$2:A$88)=MONTH(TODAY()))*(B$2:B$88=$B$143)*(F$2:F$88),"")</f>
        <v/>
      </c>
    </row>
    <row r="144">
      <c r="B144" s="2" t="inlineStr">
        <is>
          <t>电池级硫酸锰（出厂价）</t>
        </is>
      </c>
      <c r="C144" s="10">
        <f>IFERROR(AVERAGEIFS(C$2:C$88,A$2:A$88,"&gt;="&amp;DATE(YEAR(TODAY()),MONTH(TODAY()),1),A$2:A$88,"&lt;"&amp;DATE(YEAR(TODAY()),MONTH(TODAY())+1,1),B$2:B$88,$B$144),"")</f>
        <v/>
      </c>
      <c r="D144" s="10">
        <f>IFERROR(AVERAGEIFS(D$2:D$88,A$2:A$88,"&gt;="&amp;DATE(YEAR(TODAY()),MONTH(TODAY()),1),A$2:A$88,"&lt;"&amp;DATE(YEAR(TODAY()),MONTH(TODAY())+1,1),B$2:B$88,$B$144),"")</f>
        <v/>
      </c>
      <c r="E144" s="10">
        <f>IFERROR(AVERAGEIFS(E$2:E$88,A$2:A$88,"&gt;="&amp;DATE(YEAR(TODAY()),MONTH(TODAY()),1),A$2:A$88,"&lt;"&amp;DATE(YEAR(TODAY()),MONTH(TODAY())+1,1),B$2:B$88,$B$144),"")</f>
        <v/>
      </c>
      <c r="F144" s="11">
        <f>IFERROR(SUMPRODUCT((YEAR(A$2:A$88)=YEAR(TODAY()))*(MONTH(A$2:A$88)=MONTH(TODAY()))*(B$2:B$88=$B$144)*(F$2:F$88),"")</f>
        <v/>
      </c>
    </row>
    <row r="145">
      <c r="B145" s="2" t="inlineStr">
        <is>
          <t>电池级硫酸镍</t>
        </is>
      </c>
      <c r="C145" s="10">
        <f>IFERROR(AVERAGEIFS(C$2:C$88,A$2:A$88,"&gt;="&amp;DATE(YEAR(TODAY()),MONTH(TODAY()),1),A$2:A$88,"&lt;"&amp;DATE(YEAR(TODAY()),MONTH(TODAY())+1,1),B$2:B$88,$B$145),"")</f>
        <v/>
      </c>
      <c r="D145" s="10">
        <f>IFERROR(AVERAGEIFS(D$2:D$88,A$2:A$88,"&gt;="&amp;DATE(YEAR(TODAY()),MONTH(TODAY()),1),A$2:A$88,"&lt;"&amp;DATE(YEAR(TODAY()),MONTH(TODAY())+1,1),B$2:B$88,$B$145),"")</f>
        <v/>
      </c>
      <c r="E145" s="10">
        <f>IFERROR(AVERAGEIFS(E$2:E$88,A$2:A$88,"&gt;="&amp;DATE(YEAR(TODAY()),MONTH(TODAY()),1),A$2:A$88,"&lt;"&amp;DATE(YEAR(TODAY()),MONTH(TODAY())+1,1),B$2:B$88,$B$145),"")</f>
        <v/>
      </c>
      <c r="F145" s="11">
        <f>IFERROR(SUMPRODUCT((YEAR(A$2:A$88)=YEAR(TODAY()))*(MONTH(A$2:A$88)=MONTH(TODAY()))*(B$2:B$88=$B$145)*(F$2:F$88),"")</f>
        <v/>
      </c>
    </row>
    <row r="146">
      <c r="B146" s="2" t="inlineStr">
        <is>
          <t>电池级碳酸锂</t>
        </is>
      </c>
      <c r="C146" s="10">
        <f>IFERROR(AVERAGEIFS(C$2:C$88,A$2:A$88,"&gt;="&amp;DATE(YEAR(TODAY()),MONTH(TODAY()),1),A$2:A$88,"&lt;"&amp;DATE(YEAR(TODAY()),MONTH(TODAY())+1,1),B$2:B$88,$B$146),"")</f>
        <v/>
      </c>
      <c r="D146" s="10">
        <f>IFERROR(AVERAGEIFS(D$2:D$88,A$2:A$88,"&gt;="&amp;DATE(YEAR(TODAY()),MONTH(TODAY()),1),A$2:A$88,"&lt;"&amp;DATE(YEAR(TODAY()),MONTH(TODAY())+1,1),B$2:B$88,$B$146),"")</f>
        <v/>
      </c>
      <c r="E146" s="10">
        <f>IFERROR(AVERAGEIFS(E$2:E$88,A$2:A$88,"&gt;="&amp;DATE(YEAR(TODAY()),MONTH(TODAY()),1),A$2:A$88,"&lt;"&amp;DATE(YEAR(TODAY()),MONTH(TODAY())+1,1),B$2:B$88,$B$146),"")</f>
        <v/>
      </c>
      <c r="F146" s="11">
        <f>IFERROR(SUMPRODUCT((YEAR(A$2:A$88)=YEAR(TODAY()))*(MONTH(A$2:A$88)=MONTH(TODAY()))*(B$2:B$88=$B$146)*(F$2:F$88),"")</f>
        <v/>
      </c>
    </row>
    <row r="147">
      <c r="B147" s="2" t="inlineStr">
        <is>
          <t>电池级碳酸锂(CIF韩国)</t>
        </is>
      </c>
      <c r="C147" s="10">
        <f>IFERROR(AVERAGEIFS(C$2:C$88,A$2:A$88,"&gt;="&amp;DATE(YEAR(TODAY()),MONTH(TODAY()),1),A$2:A$88,"&lt;"&amp;DATE(YEAR(TODAY()),MONTH(TODAY())+1,1),B$2:B$88,$B$147),"")</f>
        <v/>
      </c>
      <c r="D147" s="10">
        <f>IFERROR(AVERAGEIFS(D$2:D$88,A$2:A$88,"&gt;="&amp;DATE(YEAR(TODAY()),MONTH(TODAY()),1),A$2:A$88,"&lt;"&amp;DATE(YEAR(TODAY()),MONTH(TODAY())+1,1),B$2:B$88,$B$147),"")</f>
        <v/>
      </c>
      <c r="E147" s="10">
        <f>IFERROR(AVERAGEIFS(E$2:E$88,A$2:A$88,"&gt;="&amp;DATE(YEAR(TODAY()),MONTH(TODAY()),1),A$2:A$88,"&lt;"&amp;DATE(YEAR(TODAY()),MONTH(TODAY())+1,1),B$2:B$88,$B$147),"")</f>
        <v/>
      </c>
      <c r="F147" s="11">
        <f>IFERROR(SUMPRODUCT((YEAR(A$2:A$88)=YEAR(TODAY()))*(MONTH(A$2:A$88)=MONTH(TODAY()))*(B$2:B$88=$B$147)*(F$2:F$88),"")</f>
        <v/>
      </c>
    </row>
    <row r="148">
      <c r="B148" s="2" t="inlineStr">
        <is>
          <t>电池级碳酸锂（CIF中日韩）</t>
        </is>
      </c>
      <c r="C148" s="10">
        <f>IFERROR(AVERAGEIFS(C$2:C$88,A$2:A$88,"&gt;="&amp;DATE(YEAR(TODAY()),MONTH(TODAY()),1),A$2:A$88,"&lt;"&amp;DATE(YEAR(TODAY()),MONTH(TODAY())+1,1),B$2:B$88,$B$148),"")</f>
        <v/>
      </c>
      <c r="D148" s="10">
        <f>IFERROR(AVERAGEIFS(D$2:D$88,A$2:A$88,"&gt;="&amp;DATE(YEAR(TODAY()),MONTH(TODAY()),1),A$2:A$88,"&lt;"&amp;DATE(YEAR(TODAY()),MONTH(TODAY())+1,1),B$2:B$88,$B$148),"")</f>
        <v/>
      </c>
      <c r="E148" s="10">
        <f>IFERROR(AVERAGEIFS(E$2:E$88,A$2:A$88,"&gt;="&amp;DATE(YEAR(TODAY()),MONTH(TODAY()),1),A$2:A$88,"&lt;"&amp;DATE(YEAR(TODAY()),MONTH(TODAY())+1,1),B$2:B$88,$B$148),"")</f>
        <v/>
      </c>
      <c r="F148" s="11">
        <f>IFERROR(SUMPRODUCT((YEAR(A$2:A$88)=YEAR(TODAY()))*(MONTH(A$2:A$88)=MONTH(TODAY()))*(B$2:B$88=$B$148)*(F$2:F$88),"")</f>
        <v/>
      </c>
    </row>
    <row r="149">
      <c r="B149" s="2" t="inlineStr">
        <is>
          <t>电池级金属锂</t>
        </is>
      </c>
      <c r="C149" s="10">
        <f>IFERROR(AVERAGEIFS(C$2:C$88,A$2:A$88,"&gt;="&amp;DATE(YEAR(TODAY()),MONTH(TODAY()),1),A$2:A$88,"&lt;"&amp;DATE(YEAR(TODAY()),MONTH(TODAY())+1,1),B$2:B$88,$B$149),"")</f>
        <v/>
      </c>
      <c r="D149" s="10">
        <f>IFERROR(AVERAGEIFS(D$2:D$88,A$2:A$88,"&gt;="&amp;DATE(YEAR(TODAY()),MONTH(TODAY()),1),A$2:A$88,"&lt;"&amp;DATE(YEAR(TODAY()),MONTH(TODAY())+1,1),B$2:B$88,$B$149),"")</f>
        <v/>
      </c>
      <c r="E149" s="10">
        <f>IFERROR(AVERAGEIFS(E$2:E$88,A$2:A$88,"&gt;="&amp;DATE(YEAR(TODAY()),MONTH(TODAY()),1),A$2:A$88,"&lt;"&amp;DATE(YEAR(TODAY()),MONTH(TODAY())+1,1),B$2:B$88,$B$149),"")</f>
        <v/>
      </c>
      <c r="F149" s="11">
        <f>IFERROR(SUMPRODUCT((YEAR(A$2:A$88)=YEAR(TODAY()))*(MONTH(A$2:A$88)=MONTH(TODAY()))*(B$2:B$88=$B$149)*(F$2:F$88),"")</f>
        <v/>
      </c>
    </row>
    <row r="150">
      <c r="B150" s="2" t="inlineStr">
        <is>
          <t>电解钴</t>
        </is>
      </c>
      <c r="C150" s="10">
        <f>IFERROR(AVERAGEIFS(C$2:C$88,A$2:A$88,"&gt;="&amp;DATE(YEAR(TODAY()),MONTH(TODAY()),1),A$2:A$88,"&lt;"&amp;DATE(YEAR(TODAY()),MONTH(TODAY())+1,1),B$2:B$88,$B$150),"")</f>
        <v/>
      </c>
      <c r="D150" s="10">
        <f>IFERROR(AVERAGEIFS(D$2:D$88,A$2:A$88,"&gt;="&amp;DATE(YEAR(TODAY()),MONTH(TODAY()),1),A$2:A$88,"&lt;"&amp;DATE(YEAR(TODAY()),MONTH(TODAY())+1,1),B$2:B$88,$B$150),"")</f>
        <v/>
      </c>
      <c r="E150" s="10">
        <f>IFERROR(AVERAGEIFS(E$2:E$88,A$2:A$88,"&gt;="&amp;DATE(YEAR(TODAY()),MONTH(TODAY()),1),A$2:A$88,"&lt;"&amp;DATE(YEAR(TODAY()),MONTH(TODAY())+1,1),B$2:B$88,$B$150),"")</f>
        <v/>
      </c>
      <c r="F150" s="11">
        <f>IFERROR(SUMPRODUCT((YEAR(A$2:A$88)=YEAR(TODAY()))*(MONTH(A$2:A$88)=MONTH(TODAY()))*(B$2:B$88=$B$150)*(F$2:F$88),"")</f>
        <v/>
      </c>
    </row>
    <row r="151">
      <c r="B151" s="2" t="inlineStr">
        <is>
          <t>电解钴（鹿特丹仓库）</t>
        </is>
      </c>
      <c r="C151" s="10">
        <f>IFERROR(AVERAGEIFS(C$2:C$88,A$2:A$88,"&gt;="&amp;DATE(YEAR(TODAY()),MONTH(TODAY()),1),A$2:A$88,"&lt;"&amp;DATE(YEAR(TODAY()),MONTH(TODAY())+1,1),B$2:B$88,$B$151),"")</f>
        <v/>
      </c>
      <c r="D151" s="10">
        <f>IFERROR(AVERAGEIFS(D$2:D$88,A$2:A$88,"&gt;="&amp;DATE(YEAR(TODAY()),MONTH(TODAY()),1),A$2:A$88,"&lt;"&amp;DATE(YEAR(TODAY()),MONTH(TODAY())+1,1),B$2:B$88,$B$151),"")</f>
        <v/>
      </c>
      <c r="E151" s="10">
        <f>IFERROR(AVERAGEIFS(E$2:E$88,A$2:A$88,"&gt;="&amp;DATE(YEAR(TODAY()),MONTH(TODAY()),1),A$2:A$88,"&lt;"&amp;DATE(YEAR(TODAY()),MONTH(TODAY())+1,1),B$2:B$88,$B$151),"")</f>
        <v/>
      </c>
      <c r="F151" s="11">
        <f>IFERROR(SUMPRODUCT((YEAR(A$2:A$88)=YEAR(TODAY()))*(MONTH(A$2:A$88)=MONTH(TODAY()))*(B$2:B$88=$B$151)*(F$2:F$88),"")</f>
        <v/>
      </c>
    </row>
    <row r="152">
      <c r="B152" s="2" t="inlineStr">
        <is>
          <t>电镀级硫酸镍</t>
        </is>
      </c>
      <c r="C152" s="10">
        <f>IFERROR(AVERAGEIFS(C$2:C$88,A$2:A$88,"&gt;="&amp;DATE(YEAR(TODAY()),MONTH(TODAY()),1),A$2:A$88,"&lt;"&amp;DATE(YEAR(TODAY()),MONTH(TODAY())+1,1),B$2:B$88,$B$152),"")</f>
        <v/>
      </c>
      <c r="D152" s="10">
        <f>IFERROR(AVERAGEIFS(D$2:D$88,A$2:A$88,"&gt;="&amp;DATE(YEAR(TODAY()),MONTH(TODAY()),1),A$2:A$88,"&lt;"&amp;DATE(YEAR(TODAY()),MONTH(TODAY())+1,1),B$2:B$88,$B$152),"")</f>
        <v/>
      </c>
      <c r="E152" s="10">
        <f>IFERROR(AVERAGEIFS(E$2:E$88,A$2:A$88,"&gt;="&amp;DATE(YEAR(TODAY()),MONTH(TODAY()),1),A$2:A$88,"&lt;"&amp;DATE(YEAR(TODAY()),MONTH(TODAY())+1,1),B$2:B$88,$B$152),"")</f>
        <v/>
      </c>
      <c r="F152" s="11">
        <f>IFERROR(SUMPRODUCT((YEAR(A$2:A$88)=YEAR(TODAY()))*(MONTH(A$2:A$88)=MONTH(TODAY()))*(B$2:B$88=$B$152)*(F$2:F$88),"")</f>
        <v/>
      </c>
    </row>
    <row r="153">
      <c r="B153" s="2" t="inlineStr">
        <is>
          <t>硫酸钴</t>
        </is>
      </c>
      <c r="C153" s="10">
        <f>IFERROR(AVERAGEIFS(C$2:C$88,A$2:A$88,"&gt;="&amp;DATE(YEAR(TODAY()),MONTH(TODAY()),1),A$2:A$88,"&lt;"&amp;DATE(YEAR(TODAY()),MONTH(TODAY())+1,1),B$2:B$88,$B$153),"")</f>
        <v/>
      </c>
      <c r="D153" s="10">
        <f>IFERROR(AVERAGEIFS(D$2:D$88,A$2:A$88,"&gt;="&amp;DATE(YEAR(TODAY()),MONTH(TODAY()),1),A$2:A$88,"&lt;"&amp;DATE(YEAR(TODAY()),MONTH(TODAY())+1,1),B$2:B$88,$B$153),"")</f>
        <v/>
      </c>
      <c r="E153" s="10">
        <f>IFERROR(AVERAGEIFS(E$2:E$88,A$2:A$88,"&gt;="&amp;DATE(YEAR(TODAY()),MONTH(TODAY()),1),A$2:A$88,"&lt;"&amp;DATE(YEAR(TODAY()),MONTH(TODAY())+1,1),B$2:B$88,$B$153),"")</f>
        <v/>
      </c>
      <c r="F153" s="11">
        <f>IFERROR(SUMPRODUCT((YEAR(A$2:A$88)=YEAR(TODAY()))*(MONTH(A$2:A$88)=MONTH(TODAY()))*(B$2:B$88=$B$153)*(F$2:F$88),"")</f>
        <v/>
      </c>
    </row>
    <row r="154">
      <c r="B154" s="2" t="inlineStr">
        <is>
          <t>碳酸钴</t>
        </is>
      </c>
      <c r="C154" s="10">
        <f>IFERROR(AVERAGEIFS(C$2:C$88,A$2:A$88,"&gt;="&amp;DATE(YEAR(TODAY()),MONTH(TODAY()),1),A$2:A$88,"&lt;"&amp;DATE(YEAR(TODAY()),MONTH(TODAY())+1,1),B$2:B$88,$B$154),"")</f>
        <v/>
      </c>
      <c r="D154" s="10">
        <f>IFERROR(AVERAGEIFS(D$2:D$88,A$2:A$88,"&gt;="&amp;DATE(YEAR(TODAY()),MONTH(TODAY()),1),A$2:A$88,"&lt;"&amp;DATE(YEAR(TODAY()),MONTH(TODAY())+1,1),B$2:B$88,$B$154),"")</f>
        <v/>
      </c>
      <c r="E154" s="10">
        <f>IFERROR(AVERAGEIFS(E$2:E$88,A$2:A$88,"&gt;="&amp;DATE(YEAR(TODAY()),MONTH(TODAY()),1),A$2:A$88,"&lt;"&amp;DATE(YEAR(TODAY()),MONTH(TODAY())+1,1),B$2:B$88,$B$154),"")</f>
        <v/>
      </c>
      <c r="F154" s="11">
        <f>IFERROR(SUMPRODUCT((YEAR(A$2:A$88)=YEAR(TODAY()))*(MONTH(A$2:A$88)=MONTH(TODAY()))*(B$2:B$88=$B$154)*(F$2:F$88),"")</f>
        <v/>
      </c>
    </row>
    <row r="155">
      <c r="B155" s="2" t="inlineStr">
        <is>
          <t>磷酸铁锂</t>
        </is>
      </c>
      <c r="C155" s="10">
        <f>IFERROR(AVERAGEIFS(C$2:C$88,A$2:A$88,"&gt;="&amp;DATE(YEAR(TODAY()),MONTH(TODAY()),1),A$2:A$88,"&lt;"&amp;DATE(YEAR(TODAY()),MONTH(TODAY())+1,1),B$2:B$88,$B$155),"")</f>
        <v/>
      </c>
      <c r="D155" s="10">
        <f>IFERROR(AVERAGEIFS(D$2:D$88,A$2:A$88,"&gt;="&amp;DATE(YEAR(TODAY()),MONTH(TODAY()),1),A$2:A$88,"&lt;"&amp;DATE(YEAR(TODAY()),MONTH(TODAY())+1,1),B$2:B$88,$B$155),"")</f>
        <v/>
      </c>
      <c r="E155" s="10">
        <f>IFERROR(AVERAGEIFS(E$2:E$88,A$2:A$88,"&gt;="&amp;DATE(YEAR(TODAY()),MONTH(TODAY()),1),A$2:A$88,"&lt;"&amp;DATE(YEAR(TODAY()),MONTH(TODAY())+1,1),B$2:B$88,$B$155),"")</f>
        <v/>
      </c>
      <c r="F155" s="11">
        <f>IFERROR(SUMPRODUCT((YEAR(A$2:A$88)=YEAR(TODAY()))*(MONTH(A$2:A$88)=MONTH(TODAY()))*(B$2:B$88=$B$155)*(F$2:F$88),"")</f>
        <v/>
      </c>
    </row>
    <row r="156">
      <c r="B156" s="2" t="inlineStr">
        <is>
          <t>磷酸锰铁锂</t>
        </is>
      </c>
      <c r="C156" s="10">
        <f>IFERROR(AVERAGEIFS(C$2:C$88,A$2:A$88,"&gt;="&amp;DATE(YEAR(TODAY()),MONTH(TODAY()),1),A$2:A$88,"&lt;"&amp;DATE(YEAR(TODAY()),MONTH(TODAY())+1,1),B$2:B$88,$B$156),"")</f>
        <v/>
      </c>
      <c r="D156" s="10">
        <f>IFERROR(AVERAGEIFS(D$2:D$88,A$2:A$88,"&gt;="&amp;DATE(YEAR(TODAY()),MONTH(TODAY()),1),A$2:A$88,"&lt;"&amp;DATE(YEAR(TODAY()),MONTH(TODAY())+1,1),B$2:B$88,$B$156),"")</f>
        <v/>
      </c>
      <c r="E156" s="10">
        <f>IFERROR(AVERAGEIFS(E$2:E$88,A$2:A$88,"&gt;="&amp;DATE(YEAR(TODAY()),MONTH(TODAY()),1),A$2:A$88,"&lt;"&amp;DATE(YEAR(TODAY()),MONTH(TODAY())+1,1),B$2:B$88,$B$156),"")</f>
        <v/>
      </c>
      <c r="F156" s="11">
        <f>IFERROR(SUMPRODUCT((YEAR(A$2:A$88)=YEAR(TODAY()))*(MONTH(A$2:A$88)=MONTH(TODAY()))*(B$2:B$88=$B$156)*(F$2:F$88),"")</f>
        <v/>
      </c>
    </row>
    <row r="157">
      <c r="B157" s="2" t="inlineStr">
        <is>
          <t>金属钴FOB</t>
        </is>
      </c>
      <c r="C157" s="10">
        <f>IFERROR(AVERAGEIFS(C$2:C$88,A$2:A$88,"&gt;="&amp;DATE(YEAR(TODAY()),MONTH(TODAY()),1),A$2:A$88,"&lt;"&amp;DATE(YEAR(TODAY()),MONTH(TODAY())+1,1),B$2:B$88,$B$157),"")</f>
        <v/>
      </c>
      <c r="D157" s="10">
        <f>IFERROR(AVERAGEIFS(D$2:D$88,A$2:A$88,"&gt;="&amp;DATE(YEAR(TODAY()),MONTH(TODAY()),1),A$2:A$88,"&lt;"&amp;DATE(YEAR(TODAY()),MONTH(TODAY())+1,1),B$2:B$88,$B$157),"")</f>
        <v/>
      </c>
      <c r="E157" s="10">
        <f>IFERROR(AVERAGEIFS(E$2:E$88,A$2:A$88,"&gt;="&amp;DATE(YEAR(TODAY()),MONTH(TODAY()),1),A$2:A$88,"&lt;"&amp;DATE(YEAR(TODAY()),MONTH(TODAY())+1,1),B$2:B$88,$B$157),"")</f>
        <v/>
      </c>
      <c r="F157" s="11">
        <f>IFERROR(SUMPRODUCT((YEAR(A$2:A$88)=YEAR(TODAY()))*(MONTH(A$2:A$88)=MONTH(TODAY()))*(B$2:B$88=$B$157)*(F$2:F$88),"")</f>
        <v/>
      </c>
    </row>
    <row r="158">
      <c r="B158" s="2" t="inlineStr">
        <is>
          <t>钴中间品中钴含量≥30%</t>
        </is>
      </c>
      <c r="C158" s="10">
        <f>IFERROR(AVERAGEIFS(C$2:C$88,A$2:A$88,"&gt;="&amp;DATE(YEAR(TODAY()),MONTH(TODAY()),1),A$2:A$88,"&lt;"&amp;DATE(YEAR(TODAY()),MONTH(TODAY())+1,1),B$2:B$88,$B$158),"")</f>
        <v/>
      </c>
      <c r="D158" s="10">
        <f>IFERROR(AVERAGEIFS(D$2:D$88,A$2:A$88,"&gt;="&amp;DATE(YEAR(TODAY()),MONTH(TODAY()),1),A$2:A$88,"&lt;"&amp;DATE(YEAR(TODAY()),MONTH(TODAY())+1,1),B$2:B$88,$B$158),"")</f>
        <v/>
      </c>
      <c r="E158" s="10">
        <f>IFERROR(AVERAGEIFS(E$2:E$88,A$2:A$88,"&gt;="&amp;DATE(YEAR(TODAY()),MONTH(TODAY()),1),A$2:A$88,"&lt;"&amp;DATE(YEAR(TODAY()),MONTH(TODAY())+1,1),B$2:B$88,$B$158),"")</f>
        <v/>
      </c>
      <c r="F158" s="11">
        <f>IFERROR(SUMPRODUCT((YEAR(A$2:A$88)=YEAR(TODAY()))*(MONTH(A$2:A$88)=MONTH(TODAY()))*(B$2:B$88=$B$158)*(F$2:F$88),"")</f>
        <v/>
      </c>
    </row>
    <row r="159">
      <c r="B159" s="2" t="inlineStr">
        <is>
          <t>钴中间品原料计价系数（对SMM硫酸钴均价）</t>
        </is>
      </c>
      <c r="C159" s="10">
        <f>IFERROR(AVERAGEIFS(C$2:C$88,A$2:A$88,"&gt;="&amp;DATE(YEAR(TODAY()),MONTH(TODAY()),1),A$2:A$88,"&lt;"&amp;DATE(YEAR(TODAY()),MONTH(TODAY())+1,1),B$2:B$88,$B$159),"")</f>
        <v/>
      </c>
      <c r="D159" s="10">
        <f>IFERROR(AVERAGEIFS(D$2:D$88,A$2:A$88,"&gt;="&amp;DATE(YEAR(TODAY()),MONTH(TODAY()),1),A$2:A$88,"&lt;"&amp;DATE(YEAR(TODAY()),MONTH(TODAY())+1,1),B$2:B$88,$B$159),"")</f>
        <v/>
      </c>
      <c r="E159" s="10">
        <f>IFERROR(AVERAGEIFS(E$2:E$88,A$2:A$88,"&gt;="&amp;DATE(YEAR(TODAY()),MONTH(TODAY()),1),A$2:A$88,"&lt;"&amp;DATE(YEAR(TODAY()),MONTH(TODAY())+1,1),B$2:B$88,$B$159),"")</f>
        <v/>
      </c>
      <c r="F159" s="11">
        <f>IFERROR(SUMPRODUCT((YEAR(A$2:A$88)=YEAR(TODAY()))*(MONTH(A$2:A$88)=MONTH(TODAY()))*(B$2:B$88=$B$159)*(F$2:F$88),"")</f>
        <v/>
      </c>
    </row>
    <row r="160">
      <c r="B160" s="2" t="inlineStr">
        <is>
          <t>钴酸锂</t>
        </is>
      </c>
      <c r="C160" s="10">
        <f>IFERROR(AVERAGEIFS(C$2:C$88,A$2:A$88,"&gt;="&amp;DATE(YEAR(TODAY()),MONTH(TODAY()),1),A$2:A$88,"&lt;"&amp;DATE(YEAR(TODAY()),MONTH(TODAY())+1,1),B$2:B$88,$B$160),"")</f>
        <v/>
      </c>
      <c r="D160" s="10">
        <f>IFERROR(AVERAGEIFS(D$2:D$88,A$2:A$88,"&gt;="&amp;DATE(YEAR(TODAY()),MONTH(TODAY()),1),A$2:A$88,"&lt;"&amp;DATE(YEAR(TODAY()),MONTH(TODAY())+1,1),B$2:B$88,$B$160),"")</f>
        <v/>
      </c>
      <c r="E160" s="10">
        <f>IFERROR(AVERAGEIFS(E$2:E$88,A$2:A$88,"&gt;="&amp;DATE(YEAR(TODAY()),MONTH(TODAY()),1),A$2:A$88,"&lt;"&amp;DATE(YEAR(TODAY()),MONTH(TODAY())+1,1),B$2:B$88,$B$160),"")</f>
        <v/>
      </c>
      <c r="F160" s="11">
        <f>IFERROR(SUMPRODUCT((YEAR(A$2:A$88)=YEAR(TODAY()))*(MONTH(A$2:A$88)=MONTH(TODAY()))*(B$2:B$88=$B$160)*(F$2:F$88),"")</f>
        <v/>
      </c>
    </row>
    <row r="161">
      <c r="B161" s="2" t="inlineStr">
        <is>
          <t>钴酸锂聚合物软包</t>
        </is>
      </c>
      <c r="C161" s="10">
        <f>IFERROR(AVERAGEIFS(C$2:C$88,A$2:A$88,"&gt;="&amp;DATE(YEAR(TODAY()),MONTH(TODAY()),1),A$2:A$88,"&lt;"&amp;DATE(YEAR(TODAY()),MONTH(TODAY())+1,1),B$2:B$88,$B$161),"")</f>
        <v/>
      </c>
      <c r="D161" s="10">
        <f>IFERROR(AVERAGEIFS(D$2:D$88,A$2:A$88,"&gt;="&amp;DATE(YEAR(TODAY()),MONTH(TODAY()),1),A$2:A$88,"&lt;"&amp;DATE(YEAR(TODAY()),MONTH(TODAY())+1,1),B$2:B$88,$B$161),"")</f>
        <v/>
      </c>
      <c r="E161" s="10">
        <f>IFERROR(AVERAGEIFS(E$2:E$88,A$2:A$88,"&gt;="&amp;DATE(YEAR(TODAY()),MONTH(TODAY()),1),A$2:A$88,"&lt;"&amp;DATE(YEAR(TODAY()),MONTH(TODAY())+1,1),B$2:B$88,$B$161),"")</f>
        <v/>
      </c>
      <c r="F161" s="11">
        <f>IFERROR(SUMPRODUCT((YEAR(A$2:A$88)=YEAR(TODAY()))*(MONTH(A$2:A$88)=MONTH(TODAY()))*(B$2:B$88=$B$161)*(F$2:F$88),"")</f>
        <v/>
      </c>
    </row>
    <row r="162">
      <c r="B162" s="2" t="inlineStr">
        <is>
          <t>钴酸锂铝壳</t>
        </is>
      </c>
      <c r="C162" s="10">
        <f>IFERROR(AVERAGEIFS(C$2:C$88,A$2:A$88,"&gt;="&amp;DATE(YEAR(TODAY()),MONTH(TODAY()),1),A$2:A$88,"&lt;"&amp;DATE(YEAR(TODAY()),MONTH(TODAY())+1,1),B$2:B$88,$B$162),"")</f>
        <v/>
      </c>
      <c r="D162" s="10">
        <f>IFERROR(AVERAGEIFS(D$2:D$88,A$2:A$88,"&gt;="&amp;DATE(YEAR(TODAY()),MONTH(TODAY()),1),A$2:A$88,"&lt;"&amp;DATE(YEAR(TODAY()),MONTH(TODAY())+1,1),B$2:B$88,$B$162),"")</f>
        <v/>
      </c>
      <c r="E162" s="10">
        <f>IFERROR(AVERAGEIFS(E$2:E$88,A$2:A$88,"&gt;="&amp;DATE(YEAR(TODAY()),MONTH(TODAY()),1),A$2:A$88,"&lt;"&amp;DATE(YEAR(TODAY()),MONTH(TODAY())+1,1),B$2:B$88,$B$162),"")</f>
        <v/>
      </c>
      <c r="F162" s="11">
        <f>IFERROR(SUMPRODUCT((YEAR(A$2:A$88)=YEAR(TODAY()))*(MONTH(A$2:A$88)=MONTH(TODAY()))*(B$2:B$88=$B$162)*(F$2:F$88),"")</f>
        <v/>
      </c>
    </row>
    <row r="163">
      <c r="B163" s="2" t="inlineStr">
        <is>
          <t>锰酸锂圆柱钢壳</t>
        </is>
      </c>
      <c r="C163" s="10">
        <f>IFERROR(AVERAGEIFS(C$2:C$88,A$2:A$88,"&gt;="&amp;DATE(YEAR(TODAY()),MONTH(TODAY()),1),A$2:A$88,"&lt;"&amp;DATE(YEAR(TODAY()),MONTH(TODAY())+1,1),B$2:B$88,$B$163),"")</f>
        <v/>
      </c>
      <c r="D163" s="10">
        <f>IFERROR(AVERAGEIFS(D$2:D$88,A$2:A$88,"&gt;="&amp;DATE(YEAR(TODAY()),MONTH(TODAY()),1),A$2:A$88,"&lt;"&amp;DATE(YEAR(TODAY()),MONTH(TODAY())+1,1),B$2:B$88,$B$163),"")</f>
        <v/>
      </c>
      <c r="E163" s="10">
        <f>IFERROR(AVERAGEIFS(E$2:E$88,A$2:A$88,"&gt;="&amp;DATE(YEAR(TODAY()),MONTH(TODAY()),1),A$2:A$88,"&lt;"&amp;DATE(YEAR(TODAY()),MONTH(TODAY())+1,1),B$2:B$88,$B$163),"")</f>
        <v/>
      </c>
      <c r="F163" s="11">
        <f>IFERROR(SUMPRODUCT((YEAR(A$2:A$88)=YEAR(TODAY()))*(MONTH(A$2:A$88)=MONTH(TODAY()))*(B$2:B$88=$B$163)*(F$2:F$88),"")</f>
        <v/>
      </c>
    </row>
    <row r="164">
      <c r="B164" s="2" t="inlineStr">
        <is>
          <t>非洲硫酸锂(CIF中国)</t>
        </is>
      </c>
      <c r="C164" s="10">
        <f>IFERROR(AVERAGEIFS(C$2:C$88,A$2:A$88,"&gt;="&amp;DATE(YEAR(TODAY()),MONTH(TODAY()),1),A$2:A$88,"&lt;"&amp;DATE(YEAR(TODAY()),MONTH(TODAY())+1,1),B$2:B$88,$B$164),"")</f>
        <v/>
      </c>
      <c r="D164" s="10">
        <f>IFERROR(AVERAGEIFS(D$2:D$88,A$2:A$88,"&gt;="&amp;DATE(YEAR(TODAY()),MONTH(TODAY()),1),A$2:A$88,"&lt;"&amp;DATE(YEAR(TODAY()),MONTH(TODAY())+1,1),B$2:B$88,$B$164),"")</f>
        <v/>
      </c>
      <c r="E164" s="10">
        <f>IFERROR(AVERAGEIFS(E$2:E$88,A$2:A$88,"&gt;="&amp;DATE(YEAR(TODAY()),MONTH(TODAY()),1),A$2:A$88,"&lt;"&amp;DATE(YEAR(TODAY()),MONTH(TODAY())+1,1),B$2:B$88,$B$164),"")</f>
        <v/>
      </c>
      <c r="F164" s="11">
        <f>IFERROR(SUMPRODUCT((YEAR(A$2:A$88)=YEAR(TODAY()))*(MONTH(A$2:A$88)=MONTH(TODAY()))*(B$2:B$88=$B$164)*(F$2:F$88),"")</f>
        <v/>
      </c>
    </row>
    <row r="165">
      <c r="B165" s="2" t="inlineStr">
        <is>
          <t>非洲锂辉石精矿（CIF中国）指数</t>
        </is>
      </c>
      <c r="C165" s="10">
        <f>IFERROR(AVERAGEIFS(C$2:C$88,A$2:A$88,"&gt;="&amp;DATE(YEAR(TODAY()),MONTH(TODAY()),1),A$2:A$88,"&lt;"&amp;DATE(YEAR(TODAY()),MONTH(TODAY())+1,1),B$2:B$88,$B$165),"")</f>
        <v/>
      </c>
      <c r="D165" s="10">
        <f>IFERROR(AVERAGEIFS(D$2:D$88,A$2:A$88,"&gt;="&amp;DATE(YEAR(TODAY()),MONTH(TODAY()),1),A$2:A$88,"&lt;"&amp;DATE(YEAR(TODAY()),MONTH(TODAY())+1,1),B$2:B$88,$B$165),"")</f>
        <v/>
      </c>
      <c r="E165" s="10">
        <f>IFERROR(AVERAGEIFS(E$2:E$88,A$2:A$88,"&gt;="&amp;DATE(YEAR(TODAY()),MONTH(TODAY()),1),A$2:A$88,"&lt;"&amp;DATE(YEAR(TODAY()),MONTH(TODAY())+1,1),B$2:B$88,$B$165),"")</f>
        <v/>
      </c>
      <c r="F165" s="11">
        <f>IFERROR(SUMPRODUCT((YEAR(A$2:A$88)=YEAR(TODAY()))*(MONTH(A$2:A$88)=MONTH(TODAY()))*(B$2:B$88=$B$165)*(F$2:F$88),"")</f>
        <v/>
      </c>
    </row>
  </sheetData>
  <autoFilter ref="A1:H88"/>
  <mergeCells count="1">
    <mergeCell ref="A90:H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1">
      <c r="A11" s="8" t="inlineStr">
        <is>
          <t>当月均价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C12" s="2" t="inlineStr">
        <is>
          <t>CME氢氧化锂</t>
        </is>
      </c>
      <c r="D12" s="10">
        <f>IFERROR(AVERAGEIFS(D$2:D$9,A$2:A$9,"&gt;="&amp;DATE(YEAR(TODAY()),MONTH(TODAY()),1),A$2:A$9,"&lt;"&amp;DATE(YEAR(TODAY()),MONTH(TODAY())+1,1),C$2:C$9,$C$12),"")</f>
        <v/>
      </c>
      <c r="E12" s="10">
        <f>IFERROR(AVERAGEIFS(E$2:E$9,A$2:A$9,"&gt;="&amp;DATE(YEAR(TODAY()),MONTH(TODAY()),1),A$2:A$9,"&lt;"&amp;DATE(YEAR(TODAY()),MONTH(TODAY())+1,1),C$2:C$9,$C$12),"")</f>
        <v/>
      </c>
      <c r="F12" s="10">
        <f>IFERROR(AVERAGEIFS(F$2:F$9,A$2:A$9,"&gt;="&amp;DATE(YEAR(TODAY()),MONTH(TODAY()),1),A$2:A$9,"&lt;"&amp;DATE(YEAR(TODAY()),MONTH(TODAY())+1,1),C$2:C$9,$C$12),"")</f>
        <v/>
      </c>
      <c r="G12" s="10">
        <f>IFERROR(AVERAGEIFS(G$2:G$9,A$2:A$9,"&gt;="&amp;DATE(YEAR(TODAY()),MONTH(TODAY()),1),A$2:A$9,"&lt;"&amp;DATE(YEAR(TODAY()),MONTH(TODAY())+1,1),C$2:C$9,$C$12),"")</f>
        <v/>
      </c>
      <c r="H12" s="11">
        <f>IFERROR(SUMPRODUCT((YEAR(A$2:A$9)=YEAR(TODAY()))*(MONTH(A$2:A$9)=MONTH(TODAY()))*(C$2:C$9=$C$12)*(H$2:H$9),"")</f>
        <v/>
      </c>
    </row>
    <row r="13">
      <c r="C13" s="2" t="inlineStr">
        <is>
          <t>CME钴</t>
        </is>
      </c>
      <c r="D13" s="10">
        <f>IFERROR(AVERAGEIFS(D$2:D$9,A$2:A$9,"&gt;="&amp;DATE(YEAR(TODAY()),MONTH(TODAY()),1),A$2:A$9,"&lt;"&amp;DATE(YEAR(TODAY()),MONTH(TODAY())+1,1),C$2:C$9,$C$13),"")</f>
        <v/>
      </c>
      <c r="E13" s="10">
        <f>IFERROR(AVERAGEIFS(E$2:E$9,A$2:A$9,"&gt;="&amp;DATE(YEAR(TODAY()),MONTH(TODAY()),1),A$2:A$9,"&lt;"&amp;DATE(YEAR(TODAY()),MONTH(TODAY())+1,1),C$2:C$9,$C$13),"")</f>
        <v/>
      </c>
      <c r="F13" s="10">
        <f>IFERROR(AVERAGEIFS(F$2:F$9,A$2:A$9,"&gt;="&amp;DATE(YEAR(TODAY()),MONTH(TODAY()),1),A$2:A$9,"&lt;"&amp;DATE(YEAR(TODAY()),MONTH(TODAY())+1,1),C$2:C$9,$C$13),"")</f>
        <v/>
      </c>
      <c r="G13" s="10">
        <f>IFERROR(AVERAGEIFS(G$2:G$9,A$2:A$9,"&gt;="&amp;DATE(YEAR(TODAY()),MONTH(TODAY()),1),A$2:A$9,"&lt;"&amp;DATE(YEAR(TODAY()),MONTH(TODAY())+1,1),C$2:C$9,$C$13),"")</f>
        <v/>
      </c>
      <c r="H13" s="11">
        <f>IFERROR(SUMPRODUCT((YEAR(A$2:A$9)=YEAR(TODAY()))*(MONTH(A$2:A$9)=MONTH(TODAY()))*(C$2:C$9=$C$13)*(H$2:H$9),"")</f>
        <v/>
      </c>
    </row>
    <row r="14">
      <c r="C14" s="2" t="inlineStr">
        <is>
          <t>沪镍(NI)连续</t>
        </is>
      </c>
      <c r="D14" s="10">
        <f>IFERROR(AVERAGEIFS(D$2:D$9,A$2:A$9,"&gt;="&amp;DATE(YEAR(TODAY()),MONTH(TODAY()),1),A$2:A$9,"&lt;"&amp;DATE(YEAR(TODAY()),MONTH(TODAY())+1,1),C$2:C$9,$C$14),"")</f>
        <v/>
      </c>
      <c r="E14" s="10">
        <f>IFERROR(AVERAGEIFS(E$2:E$9,A$2:A$9,"&gt;="&amp;DATE(YEAR(TODAY()),MONTH(TODAY()),1),A$2:A$9,"&lt;"&amp;DATE(YEAR(TODAY()),MONTH(TODAY())+1,1),C$2:C$9,$C$14),"")</f>
        <v/>
      </c>
      <c r="F14" s="10">
        <f>IFERROR(AVERAGEIFS(F$2:F$9,A$2:A$9,"&gt;="&amp;DATE(YEAR(TODAY()),MONTH(TODAY()),1),A$2:A$9,"&lt;"&amp;DATE(YEAR(TODAY()),MONTH(TODAY())+1,1),C$2:C$9,$C$14),"")</f>
        <v/>
      </c>
      <c r="G14" s="10">
        <f>IFERROR(AVERAGEIFS(G$2:G$9,A$2:A$9,"&gt;="&amp;DATE(YEAR(TODAY()),MONTH(TODAY()),1),A$2:A$9,"&lt;"&amp;DATE(YEAR(TODAY()),MONTH(TODAY())+1,1),C$2:C$9,$C$14),"")</f>
        <v/>
      </c>
      <c r="H14" s="11">
        <f>IFERROR(SUMPRODUCT((YEAR(A$2:A$9)=YEAR(TODAY()))*(MONTH(A$2:A$9)=MONTH(TODAY()))*(C$2:C$9=$C$14)*(H$2:H$9),"")</f>
        <v/>
      </c>
    </row>
    <row r="15">
      <c r="C15" s="2" t="inlineStr">
        <is>
          <t>美元/人民币(USDCNY)</t>
        </is>
      </c>
      <c r="D15" s="10">
        <f>IFERROR(AVERAGEIFS(D$2:D$9,A$2:A$9,"&gt;="&amp;DATE(YEAR(TODAY()),MONTH(TODAY()),1),A$2:A$9,"&lt;"&amp;DATE(YEAR(TODAY()),MONTH(TODAY())+1,1),C$2:C$9,$C$15),"")</f>
        <v/>
      </c>
      <c r="E15" s="10">
        <f>IFERROR(AVERAGEIFS(E$2:E$9,A$2:A$9,"&gt;="&amp;DATE(YEAR(TODAY()),MONTH(TODAY()),1),A$2:A$9,"&lt;"&amp;DATE(YEAR(TODAY()),MONTH(TODAY())+1,1),C$2:C$9,$C$15),"")</f>
        <v/>
      </c>
      <c r="F15" s="10">
        <f>IFERROR(AVERAGEIFS(F$2:F$9,A$2:A$9,"&gt;="&amp;DATE(YEAR(TODAY()),MONTH(TODAY()),1),A$2:A$9,"&lt;"&amp;DATE(YEAR(TODAY()),MONTH(TODAY())+1,1),C$2:C$9,$C$15),"")</f>
        <v/>
      </c>
      <c r="G15" s="10">
        <f>IFERROR(AVERAGEIFS(G$2:G$9,A$2:A$9,"&gt;="&amp;DATE(YEAR(TODAY()),MONTH(TODAY()),1),A$2:A$9,"&lt;"&amp;DATE(YEAR(TODAY()),MONTH(TODAY())+1,1),C$2:C$9,$C$15),"")</f>
        <v/>
      </c>
      <c r="H15" s="11">
        <f>IFERROR(SUMPRODUCT((YEAR(A$2:A$9)=YEAR(TODAY()))*(MONTH(A$2:A$9)=MONTH(TODAY()))*(C$2:C$9=$C$15)*(H$2:H$9),"")</f>
        <v/>
      </c>
    </row>
  </sheetData>
  <autoFilter ref="A1:J9"/>
  <mergeCells count="1"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2026-06-15T08:32:51Z</dcterms:created>
  <dcterms:modified xmlns:dcterms="http://purl.org/dc/terms/" xmlns:xsi="http://www.w3.org/2001/XMLSchema-instance" xsi:type="dcterms:W3CDTF">2026-06-15T08:32:51Z</dcterms:modified>
</cp:coreProperties>
</file>