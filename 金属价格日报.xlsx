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现货" sheetId="1" state="visible" r:id="rId1"/>
    <sheet xmlns:r="http://schemas.openxmlformats.org/officeDocument/2006/relationships" name="期货" sheetId="2" state="visible" r:id="rId2"/>
    <sheet xmlns:r="http://schemas.openxmlformats.org/officeDocument/2006/relationships" name="黑粉计价" sheetId="3" state="visible" r:id="rId3"/>
  </sheets>
  <definedNames>
    <definedName name="_xlnm._FilterDatabase" localSheetId="0" hidden="1">'现货'!$A$1:$H$613</definedName>
    <definedName name="_xlnm._FilterDatabase" localSheetId="1" hidden="1">'期货'!$A$1:$J$44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"/>
    <numFmt numFmtId="165" formatCode="+#,##0;-#,##0;0"/>
    <numFmt numFmtId="166" formatCode="#,##0.0"/>
    <numFmt numFmtId="167" formatCode="0.0"/>
  </numFmts>
  <fonts count="12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color rgb="002F5496"/>
      <sz val="11"/>
    </font>
    <font>
      <name val="Microsoft YaHei"/>
      <b val="1"/>
      <color rgb="00806000"/>
      <sz val="10"/>
    </font>
    <font>
      <name val="Microsoft YaHei"/>
      <b val="1"/>
      <color rgb="00FFFFFF"/>
      <sz val="14"/>
    </font>
    <font>
      <name val="Microsoft YaHei"/>
      <color rgb="00808080"/>
      <sz val="9"/>
    </font>
    <font>
      <name val="Microsoft YaHei"/>
      <color rgb="00666666"/>
      <sz val="10"/>
    </font>
    <font>
      <name val="Microsoft YaHei"/>
      <b val="1"/>
      <color rgb="00C65911"/>
      <sz val="10"/>
    </font>
    <font>
      <name val="Microsoft YaHei"/>
      <b val="1"/>
      <color rgb="00375623"/>
      <sz val="10"/>
    </font>
    <font>
      <name val="Microsoft YaHei"/>
      <b val="1"/>
      <color rgb="00006100"/>
      <sz val="12"/>
    </font>
    <font>
      <name val="Microsoft YaHei"/>
      <b val="1"/>
      <sz val="10"/>
    </font>
  </fonts>
  <fills count="9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C65911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C6EF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medium">
        <color rgb="00ED7D31"/>
      </left>
      <right style="medium">
        <color rgb="00ED7D31"/>
      </right>
      <top style="medium">
        <color rgb="00ED7D31"/>
      </top>
      <bottom style="medium">
        <color rgb="00ED7D31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3" fontId="4" fillId="4" borderId="1" applyAlignment="1" pivotButton="0" quotePrefix="0" xfId="0">
      <alignment horizontal="right" vertical="center"/>
    </xf>
    <xf numFmtId="165" fontId="4" fillId="4" borderId="1" applyAlignment="1" pivotButton="0" quotePrefix="0" xfId="0">
      <alignment horizontal="right" vertical="center"/>
    </xf>
    <xf numFmtId="0" fontId="5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3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166" fontId="8" fillId="6" borderId="2" applyAlignment="1" pivotButton="0" quotePrefix="0" xfId="0">
      <alignment horizontal="center" vertical="center"/>
    </xf>
    <xf numFmtId="167" fontId="8" fillId="6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2" fillId="0" borderId="1" applyAlignment="1" pivotButton="0" quotePrefix="0" xfId="0">
      <alignment horizontal="left" vertical="center"/>
    </xf>
    <xf numFmtId="167" fontId="6" fillId="0" borderId="1" pivotButton="0" quotePrefix="0" xfId="0"/>
    <xf numFmtId="4" fontId="6" fillId="0" borderId="1" pivotButton="0" quotePrefix="0" xfId="0"/>
    <xf numFmtId="0" fontId="9" fillId="7" borderId="1" applyAlignment="1" pivotButton="0" quotePrefix="0" xfId="0">
      <alignment horizontal="left" vertical="center"/>
    </xf>
    <xf numFmtId="3" fontId="9" fillId="7" borderId="1" applyAlignment="1" pivotButton="0" quotePrefix="0" xfId="0">
      <alignment horizontal="right" vertical="center"/>
    </xf>
    <xf numFmtId="0" fontId="10" fillId="8" borderId="1" applyAlignment="1" pivotButton="0" quotePrefix="0" xfId="0">
      <alignment horizontal="left" vertical="center"/>
    </xf>
    <xf numFmtId="3" fontId="10" fillId="8" borderId="1" applyAlignment="1" pivotButton="0" quotePrefix="0" xfId="0">
      <alignment horizontal="right" vertical="center"/>
    </xf>
    <xf numFmtId="0" fontId="10" fillId="8" borderId="1" pivotButton="0" quotePrefix="0" xfId="0"/>
    <xf numFmtId="0" fontId="11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0" customWidth="1" min="7" max="7"/>
    <col width="14" customWidth="1" min="8" max="8"/>
  </cols>
  <sheetData>
    <row r="1">
      <c r="A1" s="1" t="inlineStr">
        <is>
          <t>日期</t>
        </is>
      </c>
      <c r="B1" s="1" t="inlineStr">
        <is>
          <t>产品</t>
        </is>
      </c>
      <c r="C1" s="1" t="inlineStr">
        <is>
          <t>最低价</t>
        </is>
      </c>
      <c r="D1" s="1" t="inlineStr">
        <is>
          <t>最高价</t>
        </is>
      </c>
      <c r="E1" s="1" t="inlineStr">
        <is>
          <t>均价</t>
        </is>
      </c>
      <c r="F1" s="1" t="inlineStr">
        <is>
          <t>涨跌</t>
        </is>
      </c>
      <c r="G1" s="1" t="inlineStr">
        <is>
          <t>单位</t>
        </is>
      </c>
      <c r="H1" s="1" t="inlineStr">
        <is>
          <t>数据来源</t>
        </is>
      </c>
    </row>
    <row r="2">
      <c r="A2" s="2" t="inlineStr">
        <is>
          <t>2026/06/14</t>
        </is>
      </c>
      <c r="B2" s="2" t="inlineStr">
        <is>
          <t>SMM电池级氢氧化锂指数</t>
        </is>
      </c>
      <c r="C2" s="3" t="n">
        <v>157638</v>
      </c>
      <c r="D2" s="4" t="n">
        <v>157638</v>
      </c>
      <c r="E2" s="4" t="n">
        <v>157638</v>
      </c>
      <c r="F2" s="4" t="n">
        <v>2899</v>
      </c>
      <c r="G2" s="5" t="inlineStr">
        <is>
          <t>元/吨</t>
        </is>
      </c>
      <c r="H2" s="5" t="inlineStr">
        <is>
          <t>SMM</t>
        </is>
      </c>
    </row>
    <row r="3">
      <c r="A3" s="2" t="inlineStr">
        <is>
          <t>2026/06/14</t>
        </is>
      </c>
      <c r="B3" s="2" t="inlineStr">
        <is>
          <t>SMM电池级硫酸镍指数</t>
        </is>
      </c>
      <c r="C3" s="3" t="n">
        <v>33038</v>
      </c>
      <c r="D3" s="4" t="n">
        <v>33038</v>
      </c>
      <c r="E3" s="4" t="n">
        <v>33038</v>
      </c>
      <c r="F3" s="4" t="n">
        <v>-135</v>
      </c>
      <c r="G3" s="5" t="inlineStr">
        <is>
          <t>元/吨</t>
        </is>
      </c>
      <c r="H3" s="5" t="inlineStr">
        <is>
          <t>SMM</t>
        </is>
      </c>
    </row>
    <row r="4">
      <c r="A4" s="2" t="inlineStr">
        <is>
          <t>2026/06/14</t>
        </is>
      </c>
      <c r="B4" s="2" t="inlineStr">
        <is>
          <t>SMM电池级碳酸锂指数</t>
        </is>
      </c>
      <c r="C4" s="3" t="n">
        <v>170621</v>
      </c>
      <c r="D4" s="4" t="n">
        <v>170621</v>
      </c>
      <c r="E4" s="4" t="n">
        <v>170621</v>
      </c>
      <c r="F4" s="4" t="n">
        <v>3941</v>
      </c>
      <c r="G4" s="5" t="inlineStr">
        <is>
          <t>元/吨</t>
        </is>
      </c>
      <c r="H4" s="5" t="inlineStr">
        <is>
          <t>SMM</t>
        </is>
      </c>
    </row>
    <row r="5">
      <c r="A5" s="2" t="inlineStr">
        <is>
          <t>2026/06/14</t>
        </is>
      </c>
      <c r="B5" s="2" t="inlineStr">
        <is>
          <t>SMM硫酸钴指数</t>
        </is>
      </c>
      <c r="C5" s="3" t="n">
        <v>89724</v>
      </c>
      <c r="D5" s="4" t="n">
        <v>89724</v>
      </c>
      <c r="E5" s="4" t="n">
        <v>89724</v>
      </c>
      <c r="F5" s="6" t="n">
        <v>-16</v>
      </c>
      <c r="G5" s="5" t="inlineStr">
        <is>
          <t>元/吨</t>
        </is>
      </c>
      <c r="H5" s="5" t="inlineStr">
        <is>
          <t>SMM</t>
        </is>
      </c>
    </row>
    <row r="6">
      <c r="A6" s="2" t="inlineStr">
        <is>
          <t>2026/06/14</t>
        </is>
      </c>
      <c r="B6" s="2" t="inlineStr">
        <is>
          <t>四氧化三钴</t>
        </is>
      </c>
      <c r="C6" s="3" t="n">
        <v>341000</v>
      </c>
      <c r="D6" s="4" t="n">
        <v>350000</v>
      </c>
      <c r="E6" s="4" t="n">
        <v>345500</v>
      </c>
      <c r="F6" s="4" t="n">
        <v>-1500</v>
      </c>
      <c r="G6" s="5" t="inlineStr">
        <is>
          <t>元/吨</t>
        </is>
      </c>
      <c r="H6" s="5" t="inlineStr">
        <is>
          <t>SMM</t>
        </is>
      </c>
    </row>
    <row r="7">
      <c r="A7" s="2" t="inlineStr">
        <is>
          <t>2026/06/14</t>
        </is>
      </c>
      <c r="B7" s="2" t="inlineStr">
        <is>
          <t>工业级碳酸锂</t>
        </is>
      </c>
      <c r="C7" s="3" t="n">
        <v>162000</v>
      </c>
      <c r="D7" s="4" t="n">
        <v>171000</v>
      </c>
      <c r="E7" s="4" t="n">
        <v>166500</v>
      </c>
      <c r="F7" s="4" t="n">
        <v>4000</v>
      </c>
      <c r="G7" s="5" t="inlineStr">
        <is>
          <t>元/吨</t>
        </is>
      </c>
      <c r="H7" s="5" t="inlineStr">
        <is>
          <t>SMM</t>
        </is>
      </c>
    </row>
    <row r="8">
      <c r="A8" s="2" t="inlineStr">
        <is>
          <t>2026/06/14</t>
        </is>
      </c>
      <c r="B8" s="2" t="inlineStr">
        <is>
          <t>氯化钴</t>
        </is>
      </c>
      <c r="C8" s="3" t="n">
        <v>110000</v>
      </c>
      <c r="D8" s="4" t="n">
        <v>115000</v>
      </c>
      <c r="E8" s="4" t="n">
        <v>112500</v>
      </c>
      <c r="F8" s="4" t="n">
        <v>0</v>
      </c>
      <c r="G8" s="5" t="inlineStr">
        <is>
          <t>元/吨</t>
        </is>
      </c>
      <c r="H8" s="5" t="inlineStr">
        <is>
          <t>SMM</t>
        </is>
      </c>
    </row>
    <row r="9">
      <c r="A9" s="2" t="inlineStr">
        <is>
          <t>2026/06/14</t>
        </is>
      </c>
      <c r="B9" s="2" t="inlineStr">
        <is>
          <t>电池级氢氧化锂（粗颗粒）</t>
        </is>
      </c>
      <c r="C9" s="3" t="n">
        <v>149000</v>
      </c>
      <c r="D9" s="4" t="n">
        <v>164000</v>
      </c>
      <c r="E9" s="4" t="n">
        <v>156500</v>
      </c>
      <c r="F9" s="4" t="n">
        <v>4000</v>
      </c>
      <c r="G9" s="5" t="inlineStr">
        <is>
          <t>元/吨</t>
        </is>
      </c>
      <c r="H9" s="5" t="inlineStr">
        <is>
          <t>SMM</t>
        </is>
      </c>
    </row>
    <row r="10">
      <c r="A10" s="2" t="inlineStr">
        <is>
          <t>2026/06/14</t>
        </is>
      </c>
      <c r="B10" s="2" t="inlineStr">
        <is>
          <t>电池级硫酸镍</t>
        </is>
      </c>
      <c r="C10" s="3" t="n">
        <v>33400</v>
      </c>
      <c r="D10" s="4" t="n">
        <v>33800</v>
      </c>
      <c r="E10" s="4" t="n">
        <v>33600</v>
      </c>
      <c r="F10" s="4" t="n">
        <v>-100</v>
      </c>
      <c r="G10" s="5" t="inlineStr">
        <is>
          <t>元/吨</t>
        </is>
      </c>
      <c r="H10" s="5" t="inlineStr">
        <is>
          <t>SMM</t>
        </is>
      </c>
    </row>
    <row r="11">
      <c r="A11" s="2" t="inlineStr">
        <is>
          <t>2026/06/14</t>
        </is>
      </c>
      <c r="B11" s="2" t="inlineStr">
        <is>
          <t>电池级碳酸锂</t>
        </is>
      </c>
      <c r="C11" s="3" t="n">
        <v>166000</v>
      </c>
      <c r="D11" s="4" t="n">
        <v>175000</v>
      </c>
      <c r="E11" s="4" t="n">
        <v>170500</v>
      </c>
      <c r="F11" s="4" t="n">
        <v>4000</v>
      </c>
      <c r="G11" s="5" t="inlineStr">
        <is>
          <t>元/吨</t>
        </is>
      </c>
      <c r="H11" s="5" t="inlineStr">
        <is>
          <t>SMM</t>
        </is>
      </c>
    </row>
    <row r="12">
      <c r="A12" s="2" t="inlineStr">
        <is>
          <t>2026/06/14</t>
        </is>
      </c>
      <c r="B12" s="2" t="inlineStr">
        <is>
          <t>电解钴</t>
        </is>
      </c>
      <c r="C12" s="3" t="n">
        <v>385000</v>
      </c>
      <c r="D12" s="4" t="n">
        <v>412000</v>
      </c>
      <c r="E12" s="4" t="n">
        <v>398500</v>
      </c>
      <c r="F12" s="4" t="n">
        <v>-4000</v>
      </c>
      <c r="G12" s="5" t="inlineStr">
        <is>
          <t>元/吨</t>
        </is>
      </c>
      <c r="H12" s="5" t="inlineStr">
        <is>
          <t>SMM</t>
        </is>
      </c>
    </row>
    <row r="13">
      <c r="A13" s="2" t="inlineStr">
        <is>
          <t>2026/06/14</t>
        </is>
      </c>
      <c r="B13" s="2" t="inlineStr">
        <is>
          <t>硫酸钴</t>
        </is>
      </c>
      <c r="C13" s="3" t="n">
        <v>88500</v>
      </c>
      <c r="D13" s="4" t="n">
        <v>91500</v>
      </c>
      <c r="E13" s="4" t="n">
        <v>90000</v>
      </c>
      <c r="F13" s="4" t="n">
        <v>0</v>
      </c>
      <c r="G13" s="5" t="inlineStr">
        <is>
          <t>元/吨</t>
        </is>
      </c>
      <c r="H13" s="5" t="inlineStr">
        <is>
          <t>SMM</t>
        </is>
      </c>
    </row>
    <row r="14">
      <c r="A14" s="2" t="inlineStr">
        <is>
          <t>2026/06/15</t>
        </is>
      </c>
      <c r="B14" s="2" t="inlineStr">
        <is>
          <t>5系三元前驱体</t>
        </is>
      </c>
      <c r="C14" s="3" t="n">
        <v>101450</v>
      </c>
      <c r="D14" s="4" t="n">
        <v>106650</v>
      </c>
      <c r="E14" s="4" t="n">
        <v>104050</v>
      </c>
      <c r="F14" s="4" t="n">
        <v>-200</v>
      </c>
      <c r="G14" s="5" t="inlineStr">
        <is>
          <t>元/吨</t>
        </is>
      </c>
      <c r="H14" s="5" t="inlineStr">
        <is>
          <t>SMM</t>
        </is>
      </c>
    </row>
    <row r="15">
      <c r="A15" s="2" t="inlineStr">
        <is>
          <t>2026/06/15</t>
        </is>
      </c>
      <c r="B15" s="2" t="inlineStr">
        <is>
          <t>5系三元材料</t>
        </is>
      </c>
      <c r="C15" s="3" t="n">
        <v>186900</v>
      </c>
      <c r="D15" s="4" t="n">
        <v>195800</v>
      </c>
      <c r="E15" s="4" t="n">
        <v>191350</v>
      </c>
      <c r="F15" s="4" t="n">
        <v>-400</v>
      </c>
      <c r="G15" s="5" t="inlineStr">
        <is>
          <t>元/吨</t>
        </is>
      </c>
      <c r="H15" s="5" t="inlineStr">
        <is>
          <t>SMM</t>
        </is>
      </c>
    </row>
    <row r="16">
      <c r="A16" s="2" t="inlineStr">
        <is>
          <t>2026/06/15</t>
        </is>
      </c>
      <c r="B16" s="2" t="inlineStr">
        <is>
          <t>6系三元前驱体（单晶/动力型）</t>
        </is>
      </c>
      <c r="C16" s="3" t="n">
        <v>94200</v>
      </c>
      <c r="D16" s="4" t="n">
        <v>98900</v>
      </c>
      <c r="E16" s="4" t="n">
        <v>96550</v>
      </c>
      <c r="F16" s="4" t="n">
        <v>-100</v>
      </c>
      <c r="G16" s="5" t="inlineStr">
        <is>
          <t>元/吨</t>
        </is>
      </c>
      <c r="H16" s="5" t="inlineStr">
        <is>
          <t>SMM</t>
        </is>
      </c>
    </row>
    <row r="17">
      <c r="A17" s="2" t="inlineStr">
        <is>
          <t>2026/06/15</t>
        </is>
      </c>
      <c r="B17" s="2" t="inlineStr">
        <is>
          <t>6系三元材料（单晶/动力型）</t>
        </is>
      </c>
      <c r="C17" s="3" t="n">
        <v>191000</v>
      </c>
      <c r="D17" s="4" t="n">
        <v>200500</v>
      </c>
      <c r="E17" s="4" t="n">
        <v>195750</v>
      </c>
      <c r="F17" s="4" t="n">
        <v>-300</v>
      </c>
      <c r="G17" s="5" t="inlineStr">
        <is>
          <t>元/吨</t>
        </is>
      </c>
      <c r="H17" s="5" t="inlineStr">
        <is>
          <t>SMM</t>
        </is>
      </c>
    </row>
    <row r="18">
      <c r="A18" s="2" t="inlineStr">
        <is>
          <t>2026/06/15</t>
        </is>
      </c>
      <c r="B18" s="2" t="inlineStr">
        <is>
          <t>8系三元前驱体（多晶/动力型）</t>
        </is>
      </c>
      <c r="C18" s="3" t="n">
        <v>116650</v>
      </c>
      <c r="D18" s="4" t="n">
        <v>122450</v>
      </c>
      <c r="E18" s="4" t="n">
        <v>119550</v>
      </c>
      <c r="F18" s="4" t="n">
        <v>-150</v>
      </c>
      <c r="G18" s="5" t="inlineStr">
        <is>
          <t>元/吨</t>
        </is>
      </c>
      <c r="H18" s="5" t="inlineStr">
        <is>
          <t>SMM</t>
        </is>
      </c>
    </row>
    <row r="19">
      <c r="A19" s="2" t="inlineStr">
        <is>
          <t>2026/06/15</t>
        </is>
      </c>
      <c r="B19" s="2" t="inlineStr">
        <is>
          <t>8系三元材料</t>
        </is>
      </c>
      <c r="C19" s="3" t="n">
        <v>214300</v>
      </c>
      <c r="D19" s="4" t="n">
        <v>223900</v>
      </c>
      <c r="E19" s="4" t="n">
        <v>219100</v>
      </c>
      <c r="F19" s="4" t="n">
        <v>-400</v>
      </c>
      <c r="G19" s="5" t="inlineStr">
        <is>
          <t>元/吨</t>
        </is>
      </c>
      <c r="H19" s="5" t="inlineStr">
        <is>
          <t>SMM</t>
        </is>
      </c>
    </row>
    <row r="20">
      <c r="A20" s="2" t="inlineStr">
        <is>
          <t>2026/06/15</t>
        </is>
      </c>
      <c r="B20" s="2" t="inlineStr">
        <is>
          <t>MHP系数（对SMM电池级硫酸镍指数）</t>
        </is>
      </c>
      <c r="C20" s="7" t="n">
        <v>85</v>
      </c>
      <c r="D20" s="6" t="n">
        <v>86</v>
      </c>
      <c r="E20" s="6" t="n">
        <v>85.5</v>
      </c>
      <c r="F20" s="6" t="n">
        <v>0.5</v>
      </c>
      <c r="G20" s="5" t="inlineStr">
        <is>
          <t>%</t>
        </is>
      </c>
      <c r="H20" s="5" t="inlineStr">
        <is>
          <t>SMM</t>
        </is>
      </c>
    </row>
    <row r="21">
      <c r="A21" s="2" t="inlineStr">
        <is>
          <t>2026/06/15</t>
        </is>
      </c>
      <c r="B21" s="2" t="inlineStr">
        <is>
          <t>MHP钴元素计价系数（对SMM硫酸钴均价）</t>
        </is>
      </c>
      <c r="C21" s="7" t="n">
        <v>92</v>
      </c>
      <c r="D21" s="6" t="n">
        <v>93</v>
      </c>
      <c r="E21" s="6" t="n">
        <v>92.5</v>
      </c>
      <c r="F21" s="4" t="n">
        <v>0</v>
      </c>
      <c r="G21" s="5" t="inlineStr">
        <is>
          <t>%</t>
        </is>
      </c>
      <c r="H21" s="5" t="inlineStr">
        <is>
          <t>SMM</t>
        </is>
      </c>
    </row>
    <row r="22">
      <c r="A22" s="2" t="inlineStr">
        <is>
          <t>2026/06/15</t>
        </is>
      </c>
      <c r="B22" s="2" t="inlineStr">
        <is>
          <t>NCA三元材料</t>
        </is>
      </c>
      <c r="C22" s="3" t="n">
        <v>211600</v>
      </c>
      <c r="D22" s="4" t="n">
        <v>219900</v>
      </c>
      <c r="E22" s="4" t="n">
        <v>215750</v>
      </c>
      <c r="F22" s="4" t="n">
        <v>-600</v>
      </c>
      <c r="G22" s="5" t="inlineStr">
        <is>
          <t>元/吨</t>
        </is>
      </c>
      <c r="H22" s="5" t="inlineStr">
        <is>
          <t>SMM</t>
        </is>
      </c>
    </row>
    <row r="23">
      <c r="A23" s="2" t="inlineStr">
        <is>
          <t>2026/06/15</t>
        </is>
      </c>
      <c r="B23" s="2" t="inlineStr">
        <is>
          <t>SMM三元极片粉钴系数指数</t>
        </is>
      </c>
      <c r="C23" s="7" t="n">
        <v>79</v>
      </c>
      <c r="D23" s="6" t="n">
        <v>79</v>
      </c>
      <c r="E23" s="6" t="n">
        <v>79</v>
      </c>
      <c r="F23" s="4" t="n">
        <v>0</v>
      </c>
      <c r="G23" s="5" t="inlineStr">
        <is>
          <t>%</t>
        </is>
      </c>
      <c r="H23" s="5" t="inlineStr">
        <is>
          <t>SMM</t>
        </is>
      </c>
    </row>
    <row r="24">
      <c r="A24" s="2" t="inlineStr">
        <is>
          <t>2026/06/15</t>
        </is>
      </c>
      <c r="B24" s="2" t="inlineStr">
        <is>
          <t>SMM三元极片粉锂系数指数</t>
        </is>
      </c>
      <c r="C24" s="7" t="n">
        <v>79.05</v>
      </c>
      <c r="D24" s="6" t="n">
        <v>79.05</v>
      </c>
      <c r="E24" s="6" t="n">
        <v>79.05</v>
      </c>
      <c r="F24" s="4" t="n">
        <v>0</v>
      </c>
      <c r="G24" s="5" t="inlineStr">
        <is>
          <t>%</t>
        </is>
      </c>
      <c r="H24" s="5" t="inlineStr">
        <is>
          <t>SMM</t>
        </is>
      </c>
    </row>
    <row r="25">
      <c r="A25" s="2" t="inlineStr">
        <is>
          <t>2026/06/15</t>
        </is>
      </c>
      <c r="B25" s="2" t="inlineStr">
        <is>
          <t>SMM三元极片粉镍系数指数</t>
        </is>
      </c>
      <c r="C25" s="7" t="n">
        <v>79.05</v>
      </c>
      <c r="D25" s="6" t="n">
        <v>79.05</v>
      </c>
      <c r="E25" s="6" t="n">
        <v>79.05</v>
      </c>
      <c r="F25" s="4" t="n">
        <v>0</v>
      </c>
      <c r="G25" s="5" t="inlineStr">
        <is>
          <t>%</t>
        </is>
      </c>
      <c r="H25" s="5" t="inlineStr">
        <is>
          <t>SMM</t>
        </is>
      </c>
    </row>
    <row r="26">
      <c r="A26" s="2" t="inlineStr">
        <is>
          <t>2026/06/15</t>
        </is>
      </c>
      <c r="B26" s="2" t="inlineStr">
        <is>
          <t>SMM三元电池粉钴系数指数</t>
        </is>
      </c>
      <c r="C26" s="7" t="n">
        <v>75.72</v>
      </c>
      <c r="D26" s="6" t="n">
        <v>75.72</v>
      </c>
      <c r="E26" s="6" t="n">
        <v>75.72</v>
      </c>
      <c r="F26" s="6" t="n">
        <v>-0.13</v>
      </c>
      <c r="G26" s="5" t="inlineStr">
        <is>
          <t>%</t>
        </is>
      </c>
      <c r="H26" s="5" t="inlineStr">
        <is>
          <t>SMM</t>
        </is>
      </c>
    </row>
    <row r="27">
      <c r="A27" s="2" t="inlineStr">
        <is>
          <t>2026/06/15</t>
        </is>
      </c>
      <c r="B27" s="2" t="inlineStr">
        <is>
          <t>SMM三元电池粉锂系数指数</t>
        </is>
      </c>
      <c r="C27" s="7" t="n">
        <v>75.83</v>
      </c>
      <c r="D27" s="6" t="n">
        <v>75.83</v>
      </c>
      <c r="E27" s="6" t="n">
        <v>75.83</v>
      </c>
      <c r="F27" s="6" t="n">
        <v>-0.16</v>
      </c>
      <c r="G27" s="5" t="inlineStr">
        <is>
          <t>%</t>
        </is>
      </c>
      <c r="H27" s="5" t="inlineStr">
        <is>
          <t>SMM</t>
        </is>
      </c>
    </row>
    <row r="28">
      <c r="A28" s="2" t="inlineStr">
        <is>
          <t>2026/06/15</t>
        </is>
      </c>
      <c r="B28" s="2" t="inlineStr">
        <is>
          <t>SMM三元电池粉镍系数指数</t>
        </is>
      </c>
      <c r="C28" s="7" t="n">
        <v>75.83</v>
      </c>
      <c r="D28" s="6" t="n">
        <v>75.83</v>
      </c>
      <c r="E28" s="6" t="n">
        <v>75.83</v>
      </c>
      <c r="F28" s="6" t="n">
        <v>-0.16</v>
      </c>
      <c r="G28" s="5" t="inlineStr">
        <is>
          <t>%</t>
        </is>
      </c>
      <c r="H28" s="5" t="inlineStr">
        <is>
          <t>SMM</t>
        </is>
      </c>
    </row>
    <row r="29">
      <c r="A29" s="2" t="inlineStr">
        <is>
          <t>2026/06/15</t>
        </is>
      </c>
      <c r="B29" s="2" t="inlineStr">
        <is>
          <t>SMM六氟磷酸锂指数</t>
        </is>
      </c>
      <c r="C29" s="3" t="n">
        <v>102407</v>
      </c>
      <c r="D29" s="4" t="n">
        <v>106587</v>
      </c>
      <c r="E29" s="4" t="n">
        <v>104497</v>
      </c>
      <c r="F29" s="6" t="n">
        <v>-76.5</v>
      </c>
      <c r="G29" s="5" t="inlineStr">
        <is>
          <t>元/吨</t>
        </is>
      </c>
      <c r="H29" s="5" t="inlineStr">
        <is>
          <t>SMM</t>
        </is>
      </c>
    </row>
    <row r="30">
      <c r="A30" s="2" t="inlineStr">
        <is>
          <t>2026/06/15</t>
        </is>
      </c>
      <c r="B30" s="2" t="inlineStr">
        <is>
          <t>SMM电池级氢氧化锂指数</t>
        </is>
      </c>
      <c r="C30" s="3" t="n">
        <v>155318</v>
      </c>
      <c r="D30" s="4" t="n">
        <v>155318</v>
      </c>
      <c r="E30" s="4" t="n">
        <v>155318</v>
      </c>
      <c r="F30" s="4" t="n">
        <v>-2320</v>
      </c>
      <c r="G30" s="5" t="inlineStr">
        <is>
          <t>元/吨</t>
        </is>
      </c>
      <c r="H30" s="5" t="inlineStr">
        <is>
          <t>SMM</t>
        </is>
      </c>
    </row>
    <row r="31">
      <c r="A31" s="2" t="inlineStr">
        <is>
          <t>2026/06/15</t>
        </is>
      </c>
      <c r="B31" s="2" t="inlineStr">
        <is>
          <t>SMM电池级硫酸锰指数</t>
        </is>
      </c>
      <c r="C31" s="3" t="n">
        <v>7646</v>
      </c>
      <c r="D31" s="4" t="n">
        <v>7646</v>
      </c>
      <c r="E31" s="4" t="n">
        <v>7646</v>
      </c>
      <c r="F31" s="6" t="n">
        <v>6</v>
      </c>
      <c r="G31" s="5" t="inlineStr">
        <is>
          <t>元/吨</t>
        </is>
      </c>
      <c r="H31" s="5" t="inlineStr">
        <is>
          <t>SMM</t>
        </is>
      </c>
    </row>
    <row r="32">
      <c r="A32" s="2" t="inlineStr">
        <is>
          <t>2026/06/15</t>
        </is>
      </c>
      <c r="B32" s="2" t="inlineStr">
        <is>
          <t>SMM电池级硫酸镍指数</t>
        </is>
      </c>
      <c r="C32" s="3" t="n">
        <v>33050</v>
      </c>
      <c r="D32" s="4" t="n">
        <v>33050</v>
      </c>
      <c r="E32" s="4" t="n">
        <v>33050</v>
      </c>
      <c r="F32" s="6" t="n">
        <v>12</v>
      </c>
      <c r="G32" s="5" t="inlineStr">
        <is>
          <t>元/吨</t>
        </is>
      </c>
      <c r="H32" s="5" t="inlineStr">
        <is>
          <t>SMM</t>
        </is>
      </c>
    </row>
    <row r="33">
      <c r="A33" s="2" t="inlineStr">
        <is>
          <t>2026/06/15</t>
        </is>
      </c>
      <c r="B33" s="2" t="inlineStr">
        <is>
          <t>SMM电池级碳酸锂指数</t>
        </is>
      </c>
      <c r="C33" s="3" t="n">
        <v>170885</v>
      </c>
      <c r="D33" s="4" t="n">
        <v>170885</v>
      </c>
      <c r="E33" s="4" t="n">
        <v>170885</v>
      </c>
      <c r="F33" s="4" t="n">
        <v>264</v>
      </c>
      <c r="G33" s="5" t="inlineStr">
        <is>
          <t>元/吨</t>
        </is>
      </c>
      <c r="H33" s="5" t="inlineStr">
        <is>
          <t>SMM</t>
        </is>
      </c>
    </row>
    <row r="34">
      <c r="A34" s="2" t="inlineStr">
        <is>
          <t>2026/06/15</t>
        </is>
      </c>
      <c r="B34" s="2" t="inlineStr">
        <is>
          <t>SMM硫酸钴指数</t>
        </is>
      </c>
      <c r="C34" s="3" t="n">
        <v>89058</v>
      </c>
      <c r="D34" s="4" t="n">
        <v>89058</v>
      </c>
      <c r="E34" s="4" t="n">
        <v>89058</v>
      </c>
      <c r="F34" s="4" t="n">
        <v>-666</v>
      </c>
      <c r="G34" s="5" t="inlineStr">
        <is>
          <t>元/吨</t>
        </is>
      </c>
      <c r="H34" s="5" t="inlineStr">
        <is>
          <t>SMM</t>
        </is>
      </c>
    </row>
    <row r="35">
      <c r="A35" s="2" t="inlineStr">
        <is>
          <t>2026/06/15</t>
        </is>
      </c>
      <c r="B35" s="2" t="inlineStr">
        <is>
          <t>SMM磷酸铁锂极片粉指数</t>
        </is>
      </c>
      <c r="C35" s="3" t="n">
        <v>7494</v>
      </c>
      <c r="D35" s="4" t="n">
        <v>7494</v>
      </c>
      <c r="E35" s="4" t="n">
        <v>7494</v>
      </c>
      <c r="F35" s="6" t="n">
        <v>58</v>
      </c>
      <c r="G35" s="5" t="inlineStr">
        <is>
          <t>元/锂点</t>
        </is>
      </c>
      <c r="H35" s="5" t="inlineStr">
        <is>
          <t>SMM</t>
        </is>
      </c>
    </row>
    <row r="36">
      <c r="A36" s="2" t="inlineStr">
        <is>
          <t>2026/06/15</t>
        </is>
      </c>
      <c r="B36" s="2" t="inlineStr">
        <is>
          <t>SMM磷酸铁锂电池粉指数</t>
        </is>
      </c>
      <c r="C36" s="3" t="n">
        <v>7062</v>
      </c>
      <c r="D36" s="4" t="n">
        <v>7062</v>
      </c>
      <c r="E36" s="4" t="n">
        <v>7062</v>
      </c>
      <c r="F36" s="6" t="n">
        <v>1</v>
      </c>
      <c r="G36" s="5" t="inlineStr">
        <is>
          <t>元/锂点</t>
        </is>
      </c>
      <c r="H36" s="5" t="inlineStr">
        <is>
          <t>SMM</t>
        </is>
      </c>
    </row>
    <row r="37">
      <c r="A37" s="2" t="inlineStr">
        <is>
          <t>2026/06/15</t>
        </is>
      </c>
      <c r="B37" s="2" t="inlineStr">
        <is>
          <t>SMM钴酸锂极片粉钴系数指数</t>
        </is>
      </c>
      <c r="C37" s="7" t="n">
        <v>82.53</v>
      </c>
      <c r="D37" s="6" t="n">
        <v>82.53</v>
      </c>
      <c r="E37" s="6" t="n">
        <v>82.53</v>
      </c>
      <c r="F37" s="6" t="n">
        <v>-0.78</v>
      </c>
      <c r="G37" s="5" t="inlineStr">
        <is>
          <t>%</t>
        </is>
      </c>
      <c r="H37" s="5" t="inlineStr">
        <is>
          <t>SMM</t>
        </is>
      </c>
    </row>
    <row r="38">
      <c r="A38" s="2" t="inlineStr">
        <is>
          <t>2026/06/15</t>
        </is>
      </c>
      <c r="B38" s="2" t="inlineStr">
        <is>
          <t>SMM钴酸锂极片粉锂系数指数</t>
        </is>
      </c>
      <c r="C38" s="7" t="n">
        <v>76.5</v>
      </c>
      <c r="D38" s="6" t="n">
        <v>76.5</v>
      </c>
      <c r="E38" s="6" t="n">
        <v>76.5</v>
      </c>
      <c r="F38" s="6" t="n">
        <v>-0.26</v>
      </c>
      <c r="G38" s="5" t="inlineStr">
        <is>
          <t>%</t>
        </is>
      </c>
      <c r="H38" s="5" t="inlineStr">
        <is>
          <t>SMM</t>
        </is>
      </c>
    </row>
    <row r="39">
      <c r="A39" s="2" t="inlineStr">
        <is>
          <t>2026/06/15</t>
        </is>
      </c>
      <c r="B39" s="2" t="inlineStr">
        <is>
          <t>SMM钴酸锂电池粉钴系数指数</t>
        </is>
      </c>
      <c r="C39" s="7" t="n">
        <v>80.13</v>
      </c>
      <c r="D39" s="6" t="n">
        <v>80.13</v>
      </c>
      <c r="E39" s="6" t="n">
        <v>80.13</v>
      </c>
      <c r="F39" s="6" t="n">
        <v>-0.92</v>
      </c>
      <c r="G39" s="5" t="inlineStr">
        <is>
          <t>%</t>
        </is>
      </c>
      <c r="H39" s="5" t="inlineStr">
        <is>
          <t>SMM</t>
        </is>
      </c>
    </row>
    <row r="40">
      <c r="A40" s="2" t="inlineStr">
        <is>
          <t>2026/06/15</t>
        </is>
      </c>
      <c r="B40" s="2" t="inlineStr">
        <is>
          <t>SMM钴酸锂电池粉锂系数指数</t>
        </is>
      </c>
      <c r="C40" s="7" t="n">
        <v>76.11</v>
      </c>
      <c r="D40" s="6" t="n">
        <v>76.11</v>
      </c>
      <c r="E40" s="6" t="n">
        <v>76.11</v>
      </c>
      <c r="F40" s="6" t="n">
        <v>-0.31</v>
      </c>
      <c r="G40" s="5" t="inlineStr">
        <is>
          <t>%</t>
        </is>
      </c>
      <c r="H40" s="5" t="inlineStr">
        <is>
          <t>SMM</t>
        </is>
      </c>
    </row>
    <row r="41">
      <c r="A41" s="2" t="inlineStr">
        <is>
          <t>2026/06/15</t>
        </is>
      </c>
      <c r="B41" s="2" t="inlineStr">
        <is>
          <t>三元方壳锂电B品</t>
        </is>
      </c>
      <c r="C41" s="7" t="n">
        <v>0.75</v>
      </c>
      <c r="D41" s="6" t="n">
        <v>0.85</v>
      </c>
      <c r="E41" s="6" t="n">
        <v>0.8</v>
      </c>
      <c r="F41" s="4" t="n">
        <v>0</v>
      </c>
      <c r="G41" s="5" t="inlineStr">
        <is>
          <t>元/Ah</t>
        </is>
      </c>
      <c r="H41" s="5" t="inlineStr">
        <is>
          <t>SMM</t>
        </is>
      </c>
    </row>
    <row r="42">
      <c r="A42" s="2" t="inlineStr">
        <is>
          <t>2026/06/15</t>
        </is>
      </c>
      <c r="B42" s="2" t="inlineStr">
        <is>
          <t>六氟磷酸锂（国产）</t>
        </is>
      </c>
      <c r="C42" s="3" t="n">
        <v>110000</v>
      </c>
      <c r="D42" s="4" t="n">
        <v>118000</v>
      </c>
      <c r="E42" s="4" t="n">
        <v>114000</v>
      </c>
      <c r="F42" s="4" t="n">
        <v>0</v>
      </c>
      <c r="G42" s="5" t="inlineStr">
        <is>
          <t>元/吨</t>
        </is>
      </c>
      <c r="H42" s="5" t="inlineStr">
        <is>
          <t>SMM</t>
        </is>
      </c>
    </row>
    <row r="43">
      <c r="A43" s="2" t="inlineStr">
        <is>
          <t>2026/06/15</t>
        </is>
      </c>
      <c r="B43" s="2" t="inlineStr">
        <is>
          <t>四氧化三钴</t>
        </is>
      </c>
      <c r="C43" s="3" t="n">
        <v>339000</v>
      </c>
      <c r="D43" s="4" t="n">
        <v>350000</v>
      </c>
      <c r="E43" s="4" t="n">
        <v>344500</v>
      </c>
      <c r="F43" s="4" t="n">
        <v>-1000</v>
      </c>
      <c r="G43" s="5" t="inlineStr">
        <is>
          <t>元/吨</t>
        </is>
      </c>
      <c r="H43" s="5" t="inlineStr">
        <is>
          <t>SMM</t>
        </is>
      </c>
    </row>
    <row r="44">
      <c r="A44" s="2" t="inlineStr">
        <is>
          <t>2026/06/15</t>
        </is>
      </c>
      <c r="B44" s="2" t="inlineStr">
        <is>
          <t>四氧化三锰（电池级）</t>
        </is>
      </c>
      <c r="C44" s="3" t="n">
        <v>14000</v>
      </c>
      <c r="D44" s="4" t="n">
        <v>16000</v>
      </c>
      <c r="E44" s="4" t="n">
        <v>15000</v>
      </c>
      <c r="F44" s="4" t="n">
        <v>0</v>
      </c>
      <c r="G44" s="5" t="inlineStr">
        <is>
          <t>元/吨</t>
        </is>
      </c>
      <c r="H44" s="5" t="inlineStr">
        <is>
          <t>SMM</t>
        </is>
      </c>
    </row>
    <row r="45">
      <c r="A45" s="2" t="inlineStr">
        <is>
          <t>2026/06/15</t>
        </is>
      </c>
      <c r="B45" s="2" t="inlineStr">
        <is>
          <t>工业级氢氧化锂</t>
        </is>
      </c>
      <c r="C45" s="3" t="n">
        <v>139000</v>
      </c>
      <c r="D45" s="4" t="n">
        <v>146000</v>
      </c>
      <c r="E45" s="4" t="n">
        <v>142500</v>
      </c>
      <c r="F45" s="4" t="n">
        <v>-1500</v>
      </c>
      <c r="G45" s="5" t="inlineStr">
        <is>
          <t>元/吨</t>
        </is>
      </c>
      <c r="H45" s="5" t="inlineStr">
        <is>
          <t>SMM</t>
        </is>
      </c>
    </row>
    <row r="46">
      <c r="A46" s="2" t="inlineStr">
        <is>
          <t>2026/06/15</t>
        </is>
      </c>
      <c r="B46" s="2" t="inlineStr">
        <is>
          <t>工业级碳酸锂</t>
        </is>
      </c>
      <c r="C46" s="3" t="n">
        <v>162000</v>
      </c>
      <c r="D46" s="4" t="n">
        <v>171000</v>
      </c>
      <c r="E46" s="4" t="n">
        <v>166500</v>
      </c>
      <c r="F46" s="4" t="n">
        <v>0</v>
      </c>
      <c r="G46" s="5" t="inlineStr">
        <is>
          <t>元/吨</t>
        </is>
      </c>
      <c r="H46" s="5" t="inlineStr">
        <is>
          <t>SMM</t>
        </is>
      </c>
    </row>
    <row r="47">
      <c r="A47" s="2" t="inlineStr">
        <is>
          <t>2026/06/15</t>
        </is>
      </c>
      <c r="B47" s="2" t="inlineStr">
        <is>
          <t>工业级金属锂</t>
        </is>
      </c>
      <c r="C47" s="3" t="n">
        <v>1070000</v>
      </c>
      <c r="D47" s="4" t="n">
        <v>1140000</v>
      </c>
      <c r="E47" s="4" t="n">
        <v>1105000</v>
      </c>
      <c r="F47" s="4" t="n">
        <v>0</v>
      </c>
      <c r="G47" s="5" t="inlineStr">
        <is>
          <t>元/吨</t>
        </is>
      </c>
      <c r="H47" s="5" t="inlineStr">
        <is>
          <t>SMM</t>
        </is>
      </c>
    </row>
    <row r="48">
      <c r="A48" s="2" t="inlineStr">
        <is>
          <t>2026/06/15</t>
        </is>
      </c>
      <c r="B48" s="2" t="inlineStr">
        <is>
          <t>巴西锂辉石精矿（CIF中国）现货</t>
        </is>
      </c>
      <c r="C48" s="3" t="n">
        <v>2430</v>
      </c>
      <c r="D48" s="4" t="n">
        <v>2550</v>
      </c>
      <c r="E48" s="4" t="n">
        <v>2490</v>
      </c>
      <c r="F48" s="6" t="n">
        <v>-5</v>
      </c>
      <c r="G48" s="5" t="inlineStr">
        <is>
          <t>美元/吨</t>
        </is>
      </c>
      <c r="H48" s="5" t="inlineStr">
        <is>
          <t>SMM</t>
        </is>
      </c>
    </row>
    <row r="49">
      <c r="A49" s="2" t="inlineStr">
        <is>
          <t>2026/06/15</t>
        </is>
      </c>
      <c r="B49" s="2" t="inlineStr">
        <is>
          <t>废旧磷酸铁锂储能正极片</t>
        </is>
      </c>
      <c r="C49" s="3" t="n">
        <v>22400</v>
      </c>
      <c r="D49" s="4" t="n">
        <v>25550</v>
      </c>
      <c r="E49" s="4" t="n">
        <v>23975</v>
      </c>
      <c r="F49" s="4" t="n">
        <v>325</v>
      </c>
      <c r="G49" s="5" t="inlineStr">
        <is>
          <t>元/吨</t>
        </is>
      </c>
      <c r="H49" s="5" t="inlineStr">
        <is>
          <t>SMM</t>
        </is>
      </c>
    </row>
    <row r="50">
      <c r="A50" s="2" t="inlineStr">
        <is>
          <t>2026/06/15</t>
        </is>
      </c>
      <c r="B50" s="2" t="inlineStr">
        <is>
          <t>废旧磷酸铁锂动力正极片</t>
        </is>
      </c>
      <c r="C50" s="3" t="n">
        <v>26600</v>
      </c>
      <c r="D50" s="4" t="n">
        <v>30750</v>
      </c>
      <c r="E50" s="4" t="n">
        <v>28675</v>
      </c>
      <c r="F50" s="4" t="n">
        <v>425</v>
      </c>
      <c r="G50" s="5" t="inlineStr">
        <is>
          <t>元/吨</t>
        </is>
      </c>
      <c r="H50" s="5" t="inlineStr">
        <is>
          <t>SMM</t>
        </is>
      </c>
    </row>
    <row r="51">
      <c r="A51" s="2" t="inlineStr">
        <is>
          <t>2026/06/15</t>
        </is>
      </c>
      <c r="B51" s="2" t="inlineStr">
        <is>
          <t>废旧磷酸铁锂软包电池</t>
        </is>
      </c>
      <c r="C51" s="3" t="n">
        <v>16600</v>
      </c>
      <c r="D51" s="4" t="n">
        <v>18300</v>
      </c>
      <c r="E51" s="4" t="n">
        <v>17450</v>
      </c>
      <c r="F51" s="4" t="n">
        <v>0</v>
      </c>
      <c r="G51" s="5" t="inlineStr">
        <is>
          <t>元/吨</t>
        </is>
      </c>
      <c r="H51" s="5" t="inlineStr">
        <is>
          <t>SMM</t>
        </is>
      </c>
    </row>
    <row r="52">
      <c r="A52" s="2" t="inlineStr">
        <is>
          <t>2026/06/15</t>
        </is>
      </c>
      <c r="B52" s="2" t="inlineStr">
        <is>
          <t>废旧磷酸铁锂钢壳电池</t>
        </is>
      </c>
      <c r="C52" s="3" t="n">
        <v>10800</v>
      </c>
      <c r="D52" s="4" t="n">
        <v>11800</v>
      </c>
      <c r="E52" s="4" t="n">
        <v>11300</v>
      </c>
      <c r="F52" s="4" t="n">
        <v>0</v>
      </c>
      <c r="G52" s="5" t="inlineStr">
        <is>
          <t>元/吨</t>
        </is>
      </c>
      <c r="H52" s="5" t="inlineStr">
        <is>
          <t>SMM</t>
        </is>
      </c>
    </row>
    <row r="53">
      <c r="A53" s="2" t="inlineStr">
        <is>
          <t>2026/06/15</t>
        </is>
      </c>
      <c r="B53" s="2" t="inlineStr">
        <is>
          <t>废旧磷酸铁锂铝壳电池</t>
        </is>
      </c>
      <c r="C53" s="3" t="n">
        <v>17800</v>
      </c>
      <c r="D53" s="4" t="n">
        <v>19300</v>
      </c>
      <c r="E53" s="4" t="n">
        <v>18550</v>
      </c>
      <c r="F53" s="4" t="n">
        <v>0</v>
      </c>
      <c r="G53" s="5" t="inlineStr">
        <is>
          <t>元/吨</t>
        </is>
      </c>
      <c r="H53" s="5" t="inlineStr">
        <is>
          <t>SMM</t>
        </is>
      </c>
    </row>
    <row r="54">
      <c r="A54" s="2" t="inlineStr">
        <is>
          <t>2026/06/15</t>
        </is>
      </c>
      <c r="B54" s="2" t="inlineStr">
        <is>
          <t>方形磷酸铁锂电池B品</t>
        </is>
      </c>
      <c r="C54" s="7" t="n">
        <v>0.68</v>
      </c>
      <c r="D54" s="6" t="n">
        <v>0.8</v>
      </c>
      <c r="E54" s="6" t="n">
        <v>0.74</v>
      </c>
      <c r="F54" s="4" t="n">
        <v>0</v>
      </c>
      <c r="G54" s="5" t="inlineStr">
        <is>
          <t>元/Ah</t>
        </is>
      </c>
      <c r="H54" s="5" t="inlineStr">
        <is>
          <t>SMM</t>
        </is>
      </c>
    </row>
    <row r="55">
      <c r="A55" s="2" t="inlineStr">
        <is>
          <t>2026/06/15</t>
        </is>
      </c>
      <c r="B55" s="2" t="inlineStr">
        <is>
          <t>氧化亚镍</t>
        </is>
      </c>
      <c r="C55" s="3" t="n">
        <v>118000</v>
      </c>
      <c r="D55" s="4" t="n">
        <v>126000</v>
      </c>
      <c r="E55" s="4" t="n">
        <v>122000</v>
      </c>
      <c r="F55" s="4" t="n">
        <v>0</v>
      </c>
      <c r="G55" s="5" t="inlineStr">
        <is>
          <t>元/吨</t>
        </is>
      </c>
      <c r="H55" s="5" t="inlineStr">
        <is>
          <t>SMM</t>
        </is>
      </c>
    </row>
    <row r="56">
      <c r="A56" s="2" t="inlineStr">
        <is>
          <t>2026/06/15</t>
        </is>
      </c>
      <c r="B56" s="2" t="inlineStr">
        <is>
          <t>氧化钴</t>
        </is>
      </c>
      <c r="C56" s="3" t="n">
        <v>315000</v>
      </c>
      <c r="D56" s="4" t="n">
        <v>330000</v>
      </c>
      <c r="E56" s="4" t="n">
        <v>322500</v>
      </c>
      <c r="F56" s="4" t="n">
        <v>-5500</v>
      </c>
      <c r="G56" s="5" t="inlineStr">
        <is>
          <t>元/吨</t>
        </is>
      </c>
      <c r="H56" s="5" t="inlineStr">
        <is>
          <t>SMM</t>
        </is>
      </c>
    </row>
    <row r="57">
      <c r="A57" s="2" t="inlineStr">
        <is>
          <t>2026/06/15</t>
        </is>
      </c>
      <c r="B57" s="2" t="inlineStr">
        <is>
          <t>氯化钴</t>
        </is>
      </c>
      <c r="C57" s="3" t="n">
        <v>108000</v>
      </c>
      <c r="D57" s="4" t="n">
        <v>114000</v>
      </c>
      <c r="E57" s="4" t="n">
        <v>111000</v>
      </c>
      <c r="F57" s="4" t="n">
        <v>-1500</v>
      </c>
      <c r="G57" s="5" t="inlineStr">
        <is>
          <t>元/吨</t>
        </is>
      </c>
      <c r="H57" s="5" t="inlineStr">
        <is>
          <t>SMM</t>
        </is>
      </c>
    </row>
    <row r="58">
      <c r="A58" s="2" t="inlineStr">
        <is>
          <t>2026/06/15</t>
        </is>
      </c>
      <c r="B58" s="2" t="inlineStr">
        <is>
          <t>氯化镍NiCl₂·6H₂O</t>
        </is>
      </c>
      <c r="C58" s="3" t="n">
        <v>39000</v>
      </c>
      <c r="D58" s="4" t="n">
        <v>41000</v>
      </c>
      <c r="E58" s="4" t="n">
        <v>40000</v>
      </c>
      <c r="F58" s="4" t="n">
        <v>0</v>
      </c>
      <c r="G58" s="5" t="inlineStr">
        <is>
          <t>元/吨</t>
        </is>
      </c>
      <c r="H58" s="5" t="inlineStr">
        <is>
          <t>SMM</t>
        </is>
      </c>
    </row>
    <row r="59">
      <c r="A59" s="2" t="inlineStr">
        <is>
          <t>2026/06/15</t>
        </is>
      </c>
      <c r="B59" s="2" t="inlineStr">
        <is>
          <t>津巴布韦锂辉石精矿（CIF中国）现货</t>
        </is>
      </c>
      <c r="C59" s="3" t="n">
        <v>2420</v>
      </c>
      <c r="D59" s="4" t="n">
        <v>2530</v>
      </c>
      <c r="E59" s="4" t="n">
        <v>2475</v>
      </c>
      <c r="F59" s="4" t="n">
        <v>125</v>
      </c>
      <c r="G59" s="5" t="inlineStr">
        <is>
          <t>美元/吨</t>
        </is>
      </c>
      <c r="H59" s="5" t="inlineStr">
        <is>
          <t>SMM</t>
        </is>
      </c>
    </row>
    <row r="60">
      <c r="A60" s="2" t="inlineStr">
        <is>
          <t>2026/06/15</t>
        </is>
      </c>
      <c r="B60" s="2" t="inlineStr">
        <is>
          <t>澳大利亚锂辉石精矿（CIF中国）现货</t>
        </is>
      </c>
      <c r="C60" s="3" t="n">
        <v>2450</v>
      </c>
      <c r="D60" s="4" t="n">
        <v>2560</v>
      </c>
      <c r="E60" s="4" t="n">
        <v>2505</v>
      </c>
      <c r="F60" s="6" t="n">
        <v>-5</v>
      </c>
      <c r="G60" s="5" t="inlineStr">
        <is>
          <t>美元/吨</t>
        </is>
      </c>
      <c r="H60" s="5" t="inlineStr">
        <is>
          <t>SMM</t>
        </is>
      </c>
    </row>
    <row r="61">
      <c r="A61" s="2" t="inlineStr">
        <is>
          <t>2026/06/15</t>
        </is>
      </c>
      <c r="B61" s="2" t="inlineStr">
        <is>
          <t>电池级无水氯化锂</t>
        </is>
      </c>
      <c r="C61" s="3" t="n">
        <v>235</v>
      </c>
      <c r="D61" s="4" t="n">
        <v>295</v>
      </c>
      <c r="E61" s="4" t="n">
        <v>265</v>
      </c>
      <c r="F61" s="4" t="n">
        <v>0</v>
      </c>
      <c r="G61" s="5" t="inlineStr">
        <is>
          <t>元/千克</t>
        </is>
      </c>
      <c r="H61" s="5" t="inlineStr">
        <is>
          <t>SMM</t>
        </is>
      </c>
    </row>
    <row r="62">
      <c r="A62" s="2" t="inlineStr">
        <is>
          <t>2026/06/15</t>
        </is>
      </c>
      <c r="B62" s="2" t="inlineStr">
        <is>
          <t>电池级氟化锂</t>
        </is>
      </c>
      <c r="C62" s="3" t="n">
        <v>288000</v>
      </c>
      <c r="D62" s="4" t="n">
        <v>295000</v>
      </c>
      <c r="E62" s="4" t="n">
        <v>291500</v>
      </c>
      <c r="F62" s="4" t="n">
        <v>0</v>
      </c>
      <c r="G62" s="5" t="inlineStr">
        <is>
          <t>元/吨</t>
        </is>
      </c>
      <c r="H62" s="5" t="inlineStr">
        <is>
          <t>SMM</t>
        </is>
      </c>
    </row>
    <row r="63">
      <c r="A63" s="2" t="inlineStr">
        <is>
          <t>2026/06/15</t>
        </is>
      </c>
      <c r="B63" s="2" t="inlineStr">
        <is>
          <t>电池级氢氧化锂(CIF中日韩)</t>
        </is>
      </c>
      <c r="C63" s="7" t="n">
        <v>18.25</v>
      </c>
      <c r="D63" s="6" t="n">
        <v>21.15</v>
      </c>
      <c r="E63" s="6" t="n">
        <v>19.7</v>
      </c>
      <c r="F63" s="6" t="n">
        <v>-0.125</v>
      </c>
      <c r="G63" s="5" t="inlineStr">
        <is>
          <t>美元/千克</t>
        </is>
      </c>
      <c r="H63" s="5" t="inlineStr">
        <is>
          <t>SMM</t>
        </is>
      </c>
    </row>
    <row r="64">
      <c r="A64" s="2" t="inlineStr">
        <is>
          <t>2026/06/15</t>
        </is>
      </c>
      <c r="B64" s="2" t="inlineStr">
        <is>
          <t>电池级氢氧化锂(CIF韩国)</t>
        </is>
      </c>
      <c r="C64" s="7" t="n">
        <v>18.1</v>
      </c>
      <c r="D64" s="6" t="n">
        <v>21.1</v>
      </c>
      <c r="E64" s="6" t="n">
        <v>19.6</v>
      </c>
      <c r="F64" s="6" t="n">
        <v>-0.13</v>
      </c>
      <c r="G64" s="5" t="inlineStr">
        <is>
          <t>美元/千克</t>
        </is>
      </c>
      <c r="H64" s="5" t="inlineStr">
        <is>
          <t>SMM</t>
        </is>
      </c>
    </row>
    <row r="65">
      <c r="A65" s="2" t="inlineStr">
        <is>
          <t>2026/06/15</t>
        </is>
      </c>
      <c r="B65" s="2" t="inlineStr">
        <is>
          <t>电池级氢氧化锂(微粉）</t>
        </is>
      </c>
      <c r="C65" s="3" t="n">
        <v>154000</v>
      </c>
      <c r="D65" s="4" t="n">
        <v>168000</v>
      </c>
      <c r="E65" s="4" t="n">
        <v>161000</v>
      </c>
      <c r="F65" s="4" t="n">
        <v>-1500</v>
      </c>
      <c r="G65" s="5" t="inlineStr">
        <is>
          <t>元/吨</t>
        </is>
      </c>
      <c r="H65" s="5" t="inlineStr">
        <is>
          <t>SMM</t>
        </is>
      </c>
    </row>
    <row r="66">
      <c r="A66" s="2" t="inlineStr">
        <is>
          <t>2026/06/15</t>
        </is>
      </c>
      <c r="B66" s="2" t="inlineStr">
        <is>
          <t>电池级氢氧化锂（粗颗粒）</t>
        </is>
      </c>
      <c r="C66" s="3" t="n">
        <v>148000</v>
      </c>
      <c r="D66" s="4" t="n">
        <v>162000</v>
      </c>
      <c r="E66" s="4" t="n">
        <v>155000</v>
      </c>
      <c r="F66" s="4" t="n">
        <v>-1500</v>
      </c>
      <c r="G66" s="5" t="inlineStr">
        <is>
          <t>元/吨</t>
        </is>
      </c>
      <c r="H66" s="5" t="inlineStr">
        <is>
          <t>SMM</t>
        </is>
      </c>
    </row>
    <row r="67">
      <c r="A67" s="2" t="inlineStr">
        <is>
          <t>2026/06/15</t>
        </is>
      </c>
      <c r="B67" s="2" t="inlineStr">
        <is>
          <t>电池级硫酸锰（出厂价）</t>
        </is>
      </c>
      <c r="C67" s="3" t="n">
        <v>7590</v>
      </c>
      <c r="D67" s="4" t="n">
        <v>7790</v>
      </c>
      <c r="E67" s="4" t="n">
        <v>7690</v>
      </c>
      <c r="F67" s="4" t="n">
        <v>0</v>
      </c>
      <c r="G67" s="5" t="inlineStr">
        <is>
          <t>元/吨</t>
        </is>
      </c>
      <c r="H67" s="5" t="inlineStr">
        <is>
          <t>SMM</t>
        </is>
      </c>
    </row>
    <row r="68">
      <c r="A68" s="2" t="inlineStr">
        <is>
          <t>2026/06/15</t>
        </is>
      </c>
      <c r="B68" s="2" t="inlineStr">
        <is>
          <t>电池级硫酸镍</t>
        </is>
      </c>
      <c r="C68" s="3" t="n">
        <v>33400</v>
      </c>
      <c r="D68" s="4" t="n">
        <v>33820</v>
      </c>
      <c r="E68" s="4" t="n">
        <v>33610</v>
      </c>
      <c r="F68" s="6" t="n">
        <v>10</v>
      </c>
      <c r="G68" s="5" t="inlineStr">
        <is>
          <t>元/吨</t>
        </is>
      </c>
      <c r="H68" s="5" t="inlineStr">
        <is>
          <t>SMM</t>
        </is>
      </c>
    </row>
    <row r="69">
      <c r="A69" s="2" t="inlineStr">
        <is>
          <t>2026/06/15</t>
        </is>
      </c>
      <c r="B69" s="2" t="inlineStr">
        <is>
          <t>电池级碳酸锂</t>
        </is>
      </c>
      <c r="C69" s="3" t="n">
        <v>166000</v>
      </c>
      <c r="D69" s="4" t="n">
        <v>175000</v>
      </c>
      <c r="E69" s="4" t="n">
        <v>170500</v>
      </c>
      <c r="F69" s="4" t="n">
        <v>0</v>
      </c>
      <c r="G69" s="5" t="inlineStr">
        <is>
          <t>元/吨</t>
        </is>
      </c>
      <c r="H69" s="5" t="inlineStr">
        <is>
          <t>SMM</t>
        </is>
      </c>
    </row>
    <row r="70">
      <c r="A70" s="2" t="inlineStr">
        <is>
          <t>2026/06/15</t>
        </is>
      </c>
      <c r="B70" s="2" t="inlineStr">
        <is>
          <t>电池级碳酸锂(CIF韩国)</t>
        </is>
      </c>
      <c r="C70" s="7" t="n">
        <v>20.15</v>
      </c>
      <c r="D70" s="6" t="n">
        <v>22.25</v>
      </c>
      <c r="E70" s="6" t="n">
        <v>21.2</v>
      </c>
      <c r="F70" s="4" t="n">
        <v>0</v>
      </c>
      <c r="G70" s="5" t="inlineStr">
        <is>
          <t>美元/千克</t>
        </is>
      </c>
      <c r="H70" s="5" t="inlineStr">
        <is>
          <t>SMM</t>
        </is>
      </c>
    </row>
    <row r="71">
      <c r="A71" s="2" t="inlineStr">
        <is>
          <t>2026/06/15</t>
        </is>
      </c>
      <c r="B71" s="2" t="inlineStr">
        <is>
          <t>电池级碳酸锂（CIF中日韩）</t>
        </is>
      </c>
      <c r="C71" s="7" t="n">
        <v>20.35</v>
      </c>
      <c r="D71" s="6" t="n">
        <v>22.3</v>
      </c>
      <c r="E71" s="6" t="n">
        <v>21.33</v>
      </c>
      <c r="F71" s="4" t="n">
        <v>0</v>
      </c>
      <c r="G71" s="5" t="inlineStr">
        <is>
          <t>美元/千克</t>
        </is>
      </c>
      <c r="H71" s="5" t="inlineStr">
        <is>
          <t>SMM</t>
        </is>
      </c>
    </row>
    <row r="72">
      <c r="A72" s="2" t="inlineStr">
        <is>
          <t>2026/06/15</t>
        </is>
      </c>
      <c r="B72" s="2" t="inlineStr">
        <is>
          <t>电池级金属锂</t>
        </is>
      </c>
      <c r="C72" s="3" t="n">
        <v>1100000</v>
      </c>
      <c r="D72" s="4" t="n">
        <v>1170000</v>
      </c>
      <c r="E72" s="4" t="n">
        <v>1135000</v>
      </c>
      <c r="F72" s="4" t="n">
        <v>0</v>
      </c>
      <c r="G72" s="5" t="inlineStr">
        <is>
          <t>元/吨</t>
        </is>
      </c>
      <c r="H72" s="5" t="inlineStr">
        <is>
          <t>SMM</t>
        </is>
      </c>
    </row>
    <row r="73">
      <c r="A73" s="2" t="inlineStr">
        <is>
          <t>2026/06/15</t>
        </is>
      </c>
      <c r="B73" s="2" t="inlineStr">
        <is>
          <t>电解钴</t>
        </is>
      </c>
      <c r="C73" s="3" t="n">
        <v>385000</v>
      </c>
      <c r="D73" s="4" t="n">
        <v>410000</v>
      </c>
      <c r="E73" s="4" t="n">
        <v>397500</v>
      </c>
      <c r="F73" s="4" t="n">
        <v>-1000</v>
      </c>
      <c r="G73" s="5" t="inlineStr">
        <is>
          <t>元/吨</t>
        </is>
      </c>
      <c r="H73" s="5" t="inlineStr">
        <is>
          <t>SMM</t>
        </is>
      </c>
    </row>
    <row r="74">
      <c r="A74" s="2" t="inlineStr">
        <is>
          <t>2026/06/15</t>
        </is>
      </c>
      <c r="B74" s="2" t="inlineStr">
        <is>
          <t>电解钴（鹿特丹仓库）</t>
        </is>
      </c>
      <c r="C74" s="7" t="n">
        <v>25.5</v>
      </c>
      <c r="D74" s="6" t="n">
        <v>26.8</v>
      </c>
      <c r="E74" s="6" t="n">
        <v>26.15</v>
      </c>
      <c r="F74" s="6" t="n">
        <v>0.03</v>
      </c>
      <c r="G74" s="5" t="inlineStr">
        <is>
          <t>美元/磅</t>
        </is>
      </c>
      <c r="H74" s="5" t="inlineStr">
        <is>
          <t>SMM</t>
        </is>
      </c>
    </row>
    <row r="75">
      <c r="A75" s="2" t="inlineStr">
        <is>
          <t>2026/06/15</t>
        </is>
      </c>
      <c r="B75" s="2" t="inlineStr">
        <is>
          <t>电镀级硫酸镍</t>
        </is>
      </c>
      <c r="C75" s="3" t="n">
        <v>34500</v>
      </c>
      <c r="D75" s="4" t="n">
        <v>39000</v>
      </c>
      <c r="E75" s="4" t="n">
        <v>36750</v>
      </c>
      <c r="F75" s="4" t="n">
        <v>0</v>
      </c>
      <c r="G75" s="5" t="inlineStr">
        <is>
          <t>元/吨</t>
        </is>
      </c>
      <c r="H75" s="5" t="inlineStr">
        <is>
          <t>SMM</t>
        </is>
      </c>
    </row>
    <row r="76">
      <c r="A76" s="2" t="inlineStr">
        <is>
          <t>2026/06/15</t>
        </is>
      </c>
      <c r="B76" s="2" t="inlineStr">
        <is>
          <t>硫酸钴</t>
        </is>
      </c>
      <c r="C76" s="3" t="n">
        <v>88000</v>
      </c>
      <c r="D76" s="4" t="n">
        <v>90500</v>
      </c>
      <c r="E76" s="4" t="n">
        <v>89250</v>
      </c>
      <c r="F76" s="4" t="n">
        <v>-750</v>
      </c>
      <c r="G76" s="5" t="inlineStr">
        <is>
          <t>元/吨</t>
        </is>
      </c>
      <c r="H76" s="5" t="inlineStr">
        <is>
          <t>SMM</t>
        </is>
      </c>
    </row>
    <row r="77">
      <c r="A77" s="2" t="inlineStr">
        <is>
          <t>2026/06/15</t>
        </is>
      </c>
      <c r="B77" s="2" t="inlineStr">
        <is>
          <t>碳酸钴</t>
        </is>
      </c>
      <c r="C77" s="3" t="n">
        <v>215000</v>
      </c>
      <c r="D77" s="4" t="n">
        <v>232000</v>
      </c>
      <c r="E77" s="4" t="n">
        <v>223500</v>
      </c>
      <c r="F77" s="4" t="n">
        <v>-4000</v>
      </c>
      <c r="G77" s="5" t="inlineStr">
        <is>
          <t>元/吨</t>
        </is>
      </c>
      <c r="H77" s="5" t="inlineStr">
        <is>
          <t>SMM</t>
        </is>
      </c>
    </row>
    <row r="78">
      <c r="A78" s="2" t="inlineStr">
        <is>
          <t>2026/06/15</t>
        </is>
      </c>
      <c r="B78" s="2" t="inlineStr">
        <is>
          <t>磷酸铁锂</t>
        </is>
      </c>
      <c r="C78" s="3" t="n">
        <v>59570</v>
      </c>
      <c r="D78" s="4" t="n">
        <v>60570</v>
      </c>
      <c r="E78" s="4" t="n">
        <v>60070</v>
      </c>
      <c r="F78" s="4" t="n">
        <v>0</v>
      </c>
      <c r="G78" s="5" t="inlineStr">
        <is>
          <t>元/吨</t>
        </is>
      </c>
      <c r="H78" s="5" t="inlineStr">
        <is>
          <t>SMM</t>
        </is>
      </c>
    </row>
    <row r="79">
      <c r="A79" s="2" t="inlineStr">
        <is>
          <t>2026/06/15</t>
        </is>
      </c>
      <c r="B79" s="2" t="inlineStr">
        <is>
          <t>磷酸锰铁锂</t>
        </is>
      </c>
      <c r="C79" s="3" t="n">
        <v>64500</v>
      </c>
      <c r="D79" s="4" t="n">
        <v>69500</v>
      </c>
      <c r="E79" s="4" t="n">
        <v>67000</v>
      </c>
      <c r="F79" s="4" t="n">
        <v>0</v>
      </c>
      <c r="G79" s="5" t="inlineStr">
        <is>
          <t>元/吨</t>
        </is>
      </c>
      <c r="H79" s="5" t="inlineStr">
        <is>
          <t>SMM</t>
        </is>
      </c>
    </row>
    <row r="80">
      <c r="A80" s="2" t="inlineStr">
        <is>
          <t>2026/06/15</t>
        </is>
      </c>
      <c r="B80" s="2" t="inlineStr">
        <is>
          <t>金属钴FOB</t>
        </is>
      </c>
      <c r="C80" s="7" t="n">
        <v>25</v>
      </c>
      <c r="D80" s="6" t="n">
        <v>25.5</v>
      </c>
      <c r="E80" s="6" t="n">
        <v>25.25</v>
      </c>
      <c r="F80" s="4" t="n">
        <v>0</v>
      </c>
      <c r="G80" s="5" t="inlineStr">
        <is>
          <t>美元/磅</t>
        </is>
      </c>
      <c r="H80" s="5" t="inlineStr">
        <is>
          <t>SMM</t>
        </is>
      </c>
    </row>
    <row r="81">
      <c r="A81" s="2" t="inlineStr">
        <is>
          <t>2026/06/15</t>
        </is>
      </c>
      <c r="B81" s="2" t="inlineStr">
        <is>
          <t>钴中间品中钴含量≥30%</t>
        </is>
      </c>
      <c r="C81" s="3" t="n">
        <v>25737</v>
      </c>
      <c r="D81" s="4" t="n">
        <v>25737</v>
      </c>
      <c r="E81" s="4" t="n">
        <v>25737</v>
      </c>
      <c r="F81" s="4" t="n">
        <v>-925</v>
      </c>
      <c r="G81" s="5" t="inlineStr">
        <is>
          <t>元/金属吨</t>
        </is>
      </c>
      <c r="H81" s="5" t="inlineStr">
        <is>
          <t>SMM</t>
        </is>
      </c>
    </row>
    <row r="82">
      <c r="A82" s="2" t="inlineStr">
        <is>
          <t>2026/06/15</t>
        </is>
      </c>
      <c r="B82" s="2" t="inlineStr">
        <is>
          <t>钴中间品原料计价系数（对SMM硫酸钴均价）</t>
        </is>
      </c>
      <c r="C82" s="7" t="n">
        <v>99</v>
      </c>
      <c r="D82" s="4" t="n">
        <v>100</v>
      </c>
      <c r="E82" s="6" t="n">
        <v>99.5</v>
      </c>
      <c r="F82" s="4" t="n">
        <v>0</v>
      </c>
      <c r="G82" s="5" t="inlineStr">
        <is>
          <t>%</t>
        </is>
      </c>
      <c r="H82" s="5" t="inlineStr">
        <is>
          <t>SMM</t>
        </is>
      </c>
    </row>
    <row r="83">
      <c r="A83" s="2" t="inlineStr">
        <is>
          <t>2026/06/15</t>
        </is>
      </c>
      <c r="B83" s="2" t="inlineStr">
        <is>
          <t>钴酸锂</t>
        </is>
      </c>
      <c r="C83" s="3" t="n">
        <v>382000</v>
      </c>
      <c r="D83" s="4" t="n">
        <v>385000</v>
      </c>
      <c r="E83" s="4" t="n">
        <v>383500</v>
      </c>
      <c r="F83" s="4" t="n">
        <v>0</v>
      </c>
      <c r="G83" s="5" t="inlineStr">
        <is>
          <t>元/吨</t>
        </is>
      </c>
      <c r="H83" s="5" t="inlineStr">
        <is>
          <t>SMM</t>
        </is>
      </c>
    </row>
    <row r="84">
      <c r="A84" s="2" t="inlineStr">
        <is>
          <t>2026/06/15</t>
        </is>
      </c>
      <c r="B84" s="2" t="inlineStr">
        <is>
          <t>钴酸锂聚合物软包</t>
        </is>
      </c>
      <c r="C84" s="3" t="n">
        <v>98000</v>
      </c>
      <c r="D84" s="4" t="n">
        <v>101600</v>
      </c>
      <c r="E84" s="4" t="n">
        <v>99800</v>
      </c>
      <c r="F84" s="4" t="n">
        <v>0</v>
      </c>
      <c r="G84" s="5" t="inlineStr">
        <is>
          <t>元/吨</t>
        </is>
      </c>
      <c r="H84" s="5" t="inlineStr">
        <is>
          <t>SMM</t>
        </is>
      </c>
    </row>
    <row r="85">
      <c r="A85" s="2" t="inlineStr">
        <is>
          <t>2026/06/15</t>
        </is>
      </c>
      <c r="B85" s="2" t="inlineStr">
        <is>
          <t>钴酸锂铝壳</t>
        </is>
      </c>
      <c r="C85" s="3" t="n">
        <v>84000</v>
      </c>
      <c r="D85" s="4" t="n">
        <v>94000</v>
      </c>
      <c r="E85" s="4" t="n">
        <v>89000</v>
      </c>
      <c r="F85" s="4" t="n">
        <v>0</v>
      </c>
      <c r="G85" s="5" t="inlineStr">
        <is>
          <t>元/吨</t>
        </is>
      </c>
      <c r="H85" s="5" t="inlineStr">
        <is>
          <t>SMM</t>
        </is>
      </c>
    </row>
    <row r="86">
      <c r="A86" s="2" t="inlineStr">
        <is>
          <t>2026/06/15</t>
        </is>
      </c>
      <c r="B86" s="2" t="inlineStr">
        <is>
          <t>锰酸锂圆柱钢壳</t>
        </is>
      </c>
      <c r="C86" s="3" t="n">
        <v>5000</v>
      </c>
      <c r="D86" s="4" t="n">
        <v>7400</v>
      </c>
      <c r="E86" s="4" t="n">
        <v>6200</v>
      </c>
      <c r="F86" s="4" t="n">
        <v>0</v>
      </c>
      <c r="G86" s="5" t="inlineStr">
        <is>
          <t>元/吨</t>
        </is>
      </c>
      <c r="H86" s="5" t="inlineStr">
        <is>
          <t>SMM</t>
        </is>
      </c>
    </row>
    <row r="87">
      <c r="A87" s="2" t="inlineStr">
        <is>
          <t>2026/06/15</t>
        </is>
      </c>
      <c r="B87" s="2" t="inlineStr">
        <is>
          <t>非洲硫酸锂(CIF中国)</t>
        </is>
      </c>
      <c r="C87" s="3" t="n">
        <v>8108</v>
      </c>
      <c r="D87" s="4" t="n">
        <v>8598</v>
      </c>
      <c r="E87" s="4" t="n">
        <v>8353</v>
      </c>
      <c r="F87" s="6" t="n">
        <v>9.5</v>
      </c>
      <c r="G87" s="5" t="inlineStr">
        <is>
          <t>美元/吨</t>
        </is>
      </c>
      <c r="H87" s="5" t="inlineStr">
        <is>
          <t>SMM</t>
        </is>
      </c>
    </row>
    <row r="88">
      <c r="A88" s="2" t="inlineStr">
        <is>
          <t>2026/06/15</t>
        </is>
      </c>
      <c r="B88" s="2" t="inlineStr">
        <is>
          <t>非洲锂辉石精矿（CIF中国）指数</t>
        </is>
      </c>
      <c r="C88" s="3" t="n">
        <v>2470</v>
      </c>
      <c r="D88" s="4" t="n">
        <v>2470</v>
      </c>
      <c r="E88" s="4" t="n">
        <v>2470</v>
      </c>
      <c r="F88" s="4" t="n">
        <v>172</v>
      </c>
      <c r="G88" s="5" t="inlineStr">
        <is>
          <t>美元/吨</t>
        </is>
      </c>
      <c r="H88" s="5" t="inlineStr">
        <is>
          <t>SMM</t>
        </is>
      </c>
    </row>
    <row r="89">
      <c r="A89" s="2" t="inlineStr">
        <is>
          <t>2026/06/16</t>
        </is>
      </c>
      <c r="B89" s="2" t="inlineStr">
        <is>
          <t>5系三元前驱体</t>
        </is>
      </c>
      <c r="C89" s="3" t="n">
        <v>101150</v>
      </c>
      <c r="D89" s="4" t="n">
        <v>106350</v>
      </c>
      <c r="E89" s="4" t="n">
        <v>103750</v>
      </c>
      <c r="F89" s="4" t="n">
        <v>-300</v>
      </c>
      <c r="G89" s="5" t="inlineStr">
        <is>
          <t>元/吨</t>
        </is>
      </c>
      <c r="H89" s="5" t="inlineStr">
        <is>
          <t>SMM</t>
        </is>
      </c>
    </row>
    <row r="90">
      <c r="A90" s="2" t="inlineStr">
        <is>
          <t>2026/06/16</t>
        </is>
      </c>
      <c r="B90" s="2" t="inlineStr">
        <is>
          <t>5系三元材料</t>
        </is>
      </c>
      <c r="C90" s="3" t="n">
        <v>186300</v>
      </c>
      <c r="D90" s="4" t="n">
        <v>194800</v>
      </c>
      <c r="E90" s="4" t="n">
        <v>190550</v>
      </c>
      <c r="F90" s="4" t="n">
        <v>-800</v>
      </c>
      <c r="G90" s="5" t="inlineStr">
        <is>
          <t>元/吨</t>
        </is>
      </c>
      <c r="H90" s="5" t="inlineStr">
        <is>
          <t>SMM</t>
        </is>
      </c>
    </row>
    <row r="91">
      <c r="A91" s="2" t="inlineStr">
        <is>
          <t>2026/06/16</t>
        </is>
      </c>
      <c r="B91" s="2" t="inlineStr">
        <is>
          <t>6系三元前驱体（单晶/动力型）</t>
        </is>
      </c>
      <c r="C91" s="3" t="n">
        <v>94000</v>
      </c>
      <c r="D91" s="4" t="n">
        <v>98700</v>
      </c>
      <c r="E91" s="4" t="n">
        <v>96350</v>
      </c>
      <c r="F91" s="4" t="n">
        <v>-200</v>
      </c>
      <c r="G91" s="5" t="inlineStr">
        <is>
          <t>元/吨</t>
        </is>
      </c>
      <c r="H91" s="5" t="inlineStr">
        <is>
          <t>SMM</t>
        </is>
      </c>
    </row>
    <row r="92">
      <c r="A92" s="2" t="inlineStr">
        <is>
          <t>2026/06/16</t>
        </is>
      </c>
      <c r="B92" s="2" t="inlineStr">
        <is>
          <t>6系三元材料（单晶/动力型）</t>
        </is>
      </c>
      <c r="C92" s="3" t="n">
        <v>190700</v>
      </c>
      <c r="D92" s="4" t="n">
        <v>200200</v>
      </c>
      <c r="E92" s="4" t="n">
        <v>195450</v>
      </c>
      <c r="F92" s="4" t="n">
        <v>-300</v>
      </c>
      <c r="G92" s="5" t="inlineStr">
        <is>
          <t>元/吨</t>
        </is>
      </c>
      <c r="H92" s="5" t="inlineStr">
        <is>
          <t>SMM</t>
        </is>
      </c>
    </row>
    <row r="93">
      <c r="A93" s="2" t="inlineStr">
        <is>
          <t>2026/06/16</t>
        </is>
      </c>
      <c r="B93" s="2" t="inlineStr">
        <is>
          <t>8系三元前驱体（多晶/动力型）</t>
        </is>
      </c>
      <c r="C93" s="3" t="n">
        <v>116550</v>
      </c>
      <c r="D93" s="4" t="n">
        <v>122250</v>
      </c>
      <c r="E93" s="4" t="n">
        <v>119400</v>
      </c>
      <c r="F93" s="4" t="n">
        <v>-150</v>
      </c>
      <c r="G93" s="5" t="inlineStr">
        <is>
          <t>元/吨</t>
        </is>
      </c>
      <c r="H93" s="5" t="inlineStr">
        <is>
          <t>SMM</t>
        </is>
      </c>
    </row>
    <row r="94">
      <c r="A94" s="2" t="inlineStr">
        <is>
          <t>2026/06/16</t>
        </is>
      </c>
      <c r="B94" s="2" t="inlineStr">
        <is>
          <t>8系三元材料</t>
        </is>
      </c>
      <c r="C94" s="3" t="n">
        <v>214000</v>
      </c>
      <c r="D94" s="4" t="n">
        <v>223600</v>
      </c>
      <c r="E94" s="4" t="n">
        <v>218800</v>
      </c>
      <c r="F94" s="4" t="n">
        <v>-300</v>
      </c>
      <c r="G94" s="5" t="inlineStr">
        <is>
          <t>元/吨</t>
        </is>
      </c>
      <c r="H94" s="5" t="inlineStr">
        <is>
          <t>SMM</t>
        </is>
      </c>
    </row>
    <row r="95">
      <c r="A95" s="2" t="inlineStr">
        <is>
          <t>2026/06/16</t>
        </is>
      </c>
      <c r="B95" s="2" t="inlineStr">
        <is>
          <t>MHP系数（对SMM电池级硫酸镍指数）</t>
        </is>
      </c>
      <c r="C95" s="7" t="n">
        <v>85.5</v>
      </c>
      <c r="D95" s="6" t="n">
        <v>87</v>
      </c>
      <c r="E95" s="6" t="n">
        <v>86.25</v>
      </c>
      <c r="F95" s="6" t="n">
        <v>0.75</v>
      </c>
      <c r="G95" s="5" t="inlineStr">
        <is>
          <t>%</t>
        </is>
      </c>
      <c r="H95" s="5" t="inlineStr">
        <is>
          <t>SMM</t>
        </is>
      </c>
    </row>
    <row r="96">
      <c r="A96" s="2" t="inlineStr">
        <is>
          <t>2026/06/16</t>
        </is>
      </c>
      <c r="B96" s="2" t="inlineStr">
        <is>
          <t>MHP钴元素计价系数（对SMM硫酸钴均价）</t>
        </is>
      </c>
      <c r="C96" s="7" t="n">
        <v>92</v>
      </c>
      <c r="D96" s="6" t="n">
        <v>93</v>
      </c>
      <c r="E96" s="6" t="n">
        <v>92.5</v>
      </c>
      <c r="F96" s="4" t="n">
        <v>0</v>
      </c>
      <c r="G96" s="5" t="inlineStr">
        <is>
          <t>%</t>
        </is>
      </c>
      <c r="H96" s="5" t="inlineStr">
        <is>
          <t>SMM</t>
        </is>
      </c>
    </row>
    <row r="97">
      <c r="A97" s="2" t="inlineStr">
        <is>
          <t>2026/06/16</t>
        </is>
      </c>
      <c r="B97" s="2" t="inlineStr">
        <is>
          <t>NCA三元材料</t>
        </is>
      </c>
      <c r="C97" s="3" t="n">
        <v>211100</v>
      </c>
      <c r="D97" s="4" t="n">
        <v>219400</v>
      </c>
      <c r="E97" s="4" t="n">
        <v>215250</v>
      </c>
      <c r="F97" s="4" t="n">
        <v>-500</v>
      </c>
      <c r="G97" s="5" t="inlineStr">
        <is>
          <t>元/吨</t>
        </is>
      </c>
      <c r="H97" s="5" t="inlineStr">
        <is>
          <t>SMM</t>
        </is>
      </c>
    </row>
    <row r="98">
      <c r="A98" s="2" t="inlineStr">
        <is>
          <t>2026/06/16</t>
        </is>
      </c>
      <c r="B98" s="2" t="inlineStr">
        <is>
          <t>SMM三元极片粉钴系数指数</t>
        </is>
      </c>
      <c r="C98" s="7" t="n">
        <v>79</v>
      </c>
      <c r="D98" s="6" t="n">
        <v>79</v>
      </c>
      <c r="E98" s="6" t="n">
        <v>79</v>
      </c>
      <c r="F98" s="4" t="n">
        <v>0</v>
      </c>
      <c r="G98" s="5" t="inlineStr">
        <is>
          <t>%</t>
        </is>
      </c>
      <c r="H98" s="5" t="inlineStr">
        <is>
          <t>SMM</t>
        </is>
      </c>
    </row>
    <row r="99">
      <c r="A99" s="2" t="inlineStr">
        <is>
          <t>2026/06/16</t>
        </is>
      </c>
      <c r="B99" s="2" t="inlineStr">
        <is>
          <t>SMM三元极片粉锂系数指数</t>
        </is>
      </c>
      <c r="C99" s="7" t="n">
        <v>79.05</v>
      </c>
      <c r="D99" s="6" t="n">
        <v>79.05</v>
      </c>
      <c r="E99" s="6" t="n">
        <v>79.05</v>
      </c>
      <c r="F99" s="4" t="n">
        <v>0</v>
      </c>
      <c r="G99" s="5" t="inlineStr">
        <is>
          <t>%</t>
        </is>
      </c>
      <c r="H99" s="5" t="inlineStr">
        <is>
          <t>SMM</t>
        </is>
      </c>
    </row>
    <row r="100">
      <c r="A100" s="2" t="inlineStr">
        <is>
          <t>2026/06/16</t>
        </is>
      </c>
      <c r="B100" s="2" t="inlineStr">
        <is>
          <t>SMM三元极片粉镍系数指数</t>
        </is>
      </c>
      <c r="C100" s="7" t="n">
        <v>79.05</v>
      </c>
      <c r="D100" s="6" t="n">
        <v>79.05</v>
      </c>
      <c r="E100" s="6" t="n">
        <v>79.05</v>
      </c>
      <c r="F100" s="4" t="n">
        <v>0</v>
      </c>
      <c r="G100" s="5" t="inlineStr">
        <is>
          <t>%</t>
        </is>
      </c>
      <c r="H100" s="5" t="inlineStr">
        <is>
          <t>SMM</t>
        </is>
      </c>
    </row>
    <row r="101">
      <c r="A101" s="2" t="inlineStr">
        <is>
          <t>2026/06/16</t>
        </is>
      </c>
      <c r="B101" s="2" t="inlineStr">
        <is>
          <t>SMM三元电池粉钴系数指数</t>
        </is>
      </c>
      <c r="C101" s="7" t="n">
        <v>75.72</v>
      </c>
      <c r="D101" s="6" t="n">
        <v>75.72</v>
      </c>
      <c r="E101" s="6" t="n">
        <v>75.72</v>
      </c>
      <c r="F101" s="4" t="n">
        <v>0</v>
      </c>
      <c r="G101" s="5" t="inlineStr">
        <is>
          <t>%</t>
        </is>
      </c>
      <c r="H101" s="5" t="inlineStr">
        <is>
          <t>SMM</t>
        </is>
      </c>
    </row>
    <row r="102">
      <c r="A102" s="2" t="inlineStr">
        <is>
          <t>2026/06/16</t>
        </is>
      </c>
      <c r="B102" s="2" t="inlineStr">
        <is>
          <t>SMM三元电池粉锂系数指数</t>
        </is>
      </c>
      <c r="C102" s="7" t="n">
        <v>75.83</v>
      </c>
      <c r="D102" s="6" t="n">
        <v>75.83</v>
      </c>
      <c r="E102" s="6" t="n">
        <v>75.83</v>
      </c>
      <c r="F102" s="4" t="n">
        <v>0</v>
      </c>
      <c r="G102" s="5" t="inlineStr">
        <is>
          <t>%</t>
        </is>
      </c>
      <c r="H102" s="5" t="inlineStr">
        <is>
          <t>SMM</t>
        </is>
      </c>
    </row>
    <row r="103">
      <c r="A103" s="2" t="inlineStr">
        <is>
          <t>2026/06/16</t>
        </is>
      </c>
      <c r="B103" s="2" t="inlineStr">
        <is>
          <t>SMM三元电池粉镍系数指数</t>
        </is>
      </c>
      <c r="C103" s="7" t="n">
        <v>75.83</v>
      </c>
      <c r="D103" s="6" t="n">
        <v>75.83</v>
      </c>
      <c r="E103" s="6" t="n">
        <v>75.83</v>
      </c>
      <c r="F103" s="4" t="n">
        <v>0</v>
      </c>
      <c r="G103" s="5" t="inlineStr">
        <is>
          <t>%</t>
        </is>
      </c>
      <c r="H103" s="5" t="inlineStr">
        <is>
          <t>SMM</t>
        </is>
      </c>
    </row>
    <row r="104">
      <c r="A104" s="2" t="inlineStr">
        <is>
          <t>2026/06/16</t>
        </is>
      </c>
      <c r="B104" s="2" t="inlineStr">
        <is>
          <t>SMM六氟磷酸锂指数</t>
        </is>
      </c>
      <c r="C104" s="3" t="n">
        <v>102322</v>
      </c>
      <c r="D104" s="4" t="n">
        <v>106498</v>
      </c>
      <c r="E104" s="4" t="n">
        <v>104410</v>
      </c>
      <c r="F104" s="6" t="n">
        <v>-87</v>
      </c>
      <c r="G104" s="5" t="inlineStr">
        <is>
          <t>元/吨</t>
        </is>
      </c>
      <c r="H104" s="5" t="inlineStr">
        <is>
          <t>SMM</t>
        </is>
      </c>
    </row>
    <row r="105">
      <c r="A105" s="2" t="inlineStr">
        <is>
          <t>2026/06/16</t>
        </is>
      </c>
      <c r="B105" s="2" t="inlineStr">
        <is>
          <t>SMM电池级氢氧化锂指数</t>
        </is>
      </c>
      <c r="C105" s="3" t="n">
        <v>154204</v>
      </c>
      <c r="D105" s="4" t="n">
        <v>154204</v>
      </c>
      <c r="E105" s="4" t="n">
        <v>154204</v>
      </c>
      <c r="F105" s="4" t="n">
        <v>-1114</v>
      </c>
      <c r="G105" s="5" t="inlineStr">
        <is>
          <t>元/吨</t>
        </is>
      </c>
      <c r="H105" s="5" t="inlineStr">
        <is>
          <t>SMM</t>
        </is>
      </c>
    </row>
    <row r="106">
      <c r="A106" s="2" t="inlineStr">
        <is>
          <t>2026/06/16</t>
        </is>
      </c>
      <c r="B106" s="2" t="inlineStr">
        <is>
          <t>SMM电池级硫酸锰指数</t>
        </is>
      </c>
      <c r="C106" s="3" t="n">
        <v>7651</v>
      </c>
      <c r="D106" s="4" t="n">
        <v>7651</v>
      </c>
      <c r="E106" s="4" t="n">
        <v>7651</v>
      </c>
      <c r="F106" s="6" t="n">
        <v>5</v>
      </c>
      <c r="G106" s="5" t="inlineStr">
        <is>
          <t>元/吨</t>
        </is>
      </c>
      <c r="H106" s="5" t="inlineStr">
        <is>
          <t>SMM</t>
        </is>
      </c>
    </row>
    <row r="107">
      <c r="A107" s="2" t="inlineStr">
        <is>
          <t>2026/06/16</t>
        </is>
      </c>
      <c r="B107" s="2" t="inlineStr">
        <is>
          <t>SMM电池级硫酸镍指数</t>
        </is>
      </c>
      <c r="C107" s="3" t="n">
        <v>33051</v>
      </c>
      <c r="D107" s="4" t="n">
        <v>33051</v>
      </c>
      <c r="E107" s="4" t="n">
        <v>33051</v>
      </c>
      <c r="F107" s="6" t="n">
        <v>1</v>
      </c>
      <c r="G107" s="5" t="inlineStr">
        <is>
          <t>元/吨</t>
        </is>
      </c>
      <c r="H107" s="5" t="inlineStr">
        <is>
          <t>SMM</t>
        </is>
      </c>
    </row>
    <row r="108">
      <c r="A108" s="2" t="inlineStr">
        <is>
          <t>2026/06/16</t>
        </is>
      </c>
      <c r="B108" s="2" t="inlineStr">
        <is>
          <t>SMM电池级碳酸锂指数</t>
        </is>
      </c>
      <c r="C108" s="3" t="n">
        <v>168094</v>
      </c>
      <c r="D108" s="4" t="n">
        <v>168094</v>
      </c>
      <c r="E108" s="4" t="n">
        <v>168094</v>
      </c>
      <c r="F108" s="4" t="n">
        <v>-2791</v>
      </c>
      <c r="G108" s="5" t="inlineStr">
        <is>
          <t>元/吨</t>
        </is>
      </c>
      <c r="H108" s="5" t="inlineStr">
        <is>
          <t>SMM</t>
        </is>
      </c>
    </row>
    <row r="109">
      <c r="A109" s="2" t="inlineStr">
        <is>
          <t>2026/06/16</t>
        </is>
      </c>
      <c r="B109" s="2" t="inlineStr">
        <is>
          <t>SMM硫酸钴指数</t>
        </is>
      </c>
      <c r="C109" s="3" t="n">
        <v>88576</v>
      </c>
      <c r="D109" s="4" t="n">
        <v>88576</v>
      </c>
      <c r="E109" s="4" t="n">
        <v>88576</v>
      </c>
      <c r="F109" s="4" t="n">
        <v>-482</v>
      </c>
      <c r="G109" s="5" t="inlineStr">
        <is>
          <t>元/吨</t>
        </is>
      </c>
      <c r="H109" s="5" t="inlineStr">
        <is>
          <t>SMM</t>
        </is>
      </c>
    </row>
    <row r="110">
      <c r="A110" s="2" t="inlineStr">
        <is>
          <t>2026/06/16</t>
        </is>
      </c>
      <c r="B110" s="2" t="inlineStr">
        <is>
          <t>SMM磷酸铁锂极片粉指数</t>
        </is>
      </c>
      <c r="C110" s="3" t="n">
        <v>7489</v>
      </c>
      <c r="D110" s="4" t="n">
        <v>7489</v>
      </c>
      <c r="E110" s="4" t="n">
        <v>7489</v>
      </c>
      <c r="F110" s="6" t="n">
        <v>-5</v>
      </c>
      <c r="G110" s="5" t="inlineStr">
        <is>
          <t>元/锂点</t>
        </is>
      </c>
      <c r="H110" s="5" t="inlineStr">
        <is>
          <t>SMM</t>
        </is>
      </c>
    </row>
    <row r="111">
      <c r="A111" s="2" t="inlineStr">
        <is>
          <t>2026/06/16</t>
        </is>
      </c>
      <c r="B111" s="2" t="inlineStr">
        <is>
          <t>SMM磷酸铁锂电池粉指数</t>
        </is>
      </c>
      <c r="C111" s="3" t="n">
        <v>7062</v>
      </c>
      <c r="D111" s="4" t="n">
        <v>7062</v>
      </c>
      <c r="E111" s="4" t="n">
        <v>7062</v>
      </c>
      <c r="F111" s="4" t="n">
        <v>0</v>
      </c>
      <c r="G111" s="5" t="inlineStr">
        <is>
          <t>元/锂点</t>
        </is>
      </c>
      <c r="H111" s="5" t="inlineStr">
        <is>
          <t>SMM</t>
        </is>
      </c>
    </row>
    <row r="112">
      <c r="A112" s="2" t="inlineStr">
        <is>
          <t>2026/06/16</t>
        </is>
      </c>
      <c r="B112" s="2" t="inlineStr">
        <is>
          <t>SMM钴酸锂极片粉钴系数指数</t>
        </is>
      </c>
      <c r="C112" s="7" t="n">
        <v>82.53</v>
      </c>
      <c r="D112" s="6" t="n">
        <v>82.53</v>
      </c>
      <c r="E112" s="6" t="n">
        <v>82.53</v>
      </c>
      <c r="F112" s="4" t="n">
        <v>0</v>
      </c>
      <c r="G112" s="5" t="inlineStr">
        <is>
          <t>%</t>
        </is>
      </c>
      <c r="H112" s="5" t="inlineStr">
        <is>
          <t>SMM</t>
        </is>
      </c>
    </row>
    <row r="113">
      <c r="A113" s="2" t="inlineStr">
        <is>
          <t>2026/06/16</t>
        </is>
      </c>
      <c r="B113" s="2" t="inlineStr">
        <is>
          <t>SMM钴酸锂极片粉锂系数指数</t>
        </is>
      </c>
      <c r="C113" s="7" t="n">
        <v>76.5</v>
      </c>
      <c r="D113" s="6" t="n">
        <v>76.5</v>
      </c>
      <c r="E113" s="6" t="n">
        <v>76.5</v>
      </c>
      <c r="F113" s="4" t="n">
        <v>0</v>
      </c>
      <c r="G113" s="5" t="inlineStr">
        <is>
          <t>%</t>
        </is>
      </c>
      <c r="H113" s="5" t="inlineStr">
        <is>
          <t>SMM</t>
        </is>
      </c>
    </row>
    <row r="114">
      <c r="A114" s="2" t="inlineStr">
        <is>
          <t>2026/06/16</t>
        </is>
      </c>
      <c r="B114" s="2" t="inlineStr">
        <is>
          <t>SMM钴酸锂电池粉钴系数指数</t>
        </is>
      </c>
      <c r="C114" s="7" t="n">
        <v>80.13</v>
      </c>
      <c r="D114" s="6" t="n">
        <v>80.13</v>
      </c>
      <c r="E114" s="6" t="n">
        <v>80.13</v>
      </c>
      <c r="F114" s="4" t="n">
        <v>0</v>
      </c>
      <c r="G114" s="5" t="inlineStr">
        <is>
          <t>%</t>
        </is>
      </c>
      <c r="H114" s="5" t="inlineStr">
        <is>
          <t>SMM</t>
        </is>
      </c>
    </row>
    <row r="115">
      <c r="A115" s="2" t="inlineStr">
        <is>
          <t>2026/06/16</t>
        </is>
      </c>
      <c r="B115" s="2" t="inlineStr">
        <is>
          <t>SMM钴酸锂电池粉锂系数指数</t>
        </is>
      </c>
      <c r="C115" s="7" t="n">
        <v>76.11</v>
      </c>
      <c r="D115" s="6" t="n">
        <v>76.11</v>
      </c>
      <c r="E115" s="6" t="n">
        <v>76.11</v>
      </c>
      <c r="F115" s="4" t="n">
        <v>0</v>
      </c>
      <c r="G115" s="5" t="inlineStr">
        <is>
          <t>%</t>
        </is>
      </c>
      <c r="H115" s="5" t="inlineStr">
        <is>
          <t>SMM</t>
        </is>
      </c>
    </row>
    <row r="116">
      <c r="A116" s="2" t="inlineStr">
        <is>
          <t>2026/06/16</t>
        </is>
      </c>
      <c r="B116" s="2" t="inlineStr">
        <is>
          <t>三元方壳锂电B品</t>
        </is>
      </c>
      <c r="C116" s="7" t="n">
        <v>0.75</v>
      </c>
      <c r="D116" s="6" t="n">
        <v>0.85</v>
      </c>
      <c r="E116" s="6" t="n">
        <v>0.8</v>
      </c>
      <c r="F116" s="4" t="n">
        <v>0</v>
      </c>
      <c r="G116" s="5" t="inlineStr">
        <is>
          <t>元/Ah</t>
        </is>
      </c>
      <c r="H116" s="5" t="inlineStr">
        <is>
          <t>SMM</t>
        </is>
      </c>
    </row>
    <row r="117">
      <c r="A117" s="2" t="inlineStr">
        <is>
          <t>2026/06/16</t>
        </is>
      </c>
      <c r="B117" s="2" t="inlineStr">
        <is>
          <t>六氟磷酸锂（国产）</t>
        </is>
      </c>
      <c r="C117" s="3" t="n">
        <v>110000</v>
      </c>
      <c r="D117" s="4" t="n">
        <v>118000</v>
      </c>
      <c r="E117" s="4" t="n">
        <v>114000</v>
      </c>
      <c r="F117" s="4" t="n">
        <v>0</v>
      </c>
      <c r="G117" s="5" t="inlineStr">
        <is>
          <t>元/吨</t>
        </is>
      </c>
      <c r="H117" s="5" t="inlineStr">
        <is>
          <t>SMM</t>
        </is>
      </c>
    </row>
    <row r="118">
      <c r="A118" s="2" t="inlineStr">
        <is>
          <t>2026/06/16</t>
        </is>
      </c>
      <c r="B118" s="2" t="inlineStr">
        <is>
          <t>四氧化三钴</t>
        </is>
      </c>
      <c r="C118" s="3" t="n">
        <v>335000</v>
      </c>
      <c r="D118" s="4" t="n">
        <v>348000</v>
      </c>
      <c r="E118" s="4" t="n">
        <v>341500</v>
      </c>
      <c r="F118" s="4" t="n">
        <v>-3000</v>
      </c>
      <c r="G118" s="5" t="inlineStr">
        <is>
          <t>元/吨</t>
        </is>
      </c>
      <c r="H118" s="5" t="inlineStr">
        <is>
          <t>SMM</t>
        </is>
      </c>
    </row>
    <row r="119">
      <c r="A119" s="2" t="inlineStr">
        <is>
          <t>2026/06/16</t>
        </is>
      </c>
      <c r="B119" s="2" t="inlineStr">
        <is>
          <t>四氧化三锰（电池级）</t>
        </is>
      </c>
      <c r="C119" s="3" t="n">
        <v>14000</v>
      </c>
      <c r="D119" s="4" t="n">
        <v>16000</v>
      </c>
      <c r="E119" s="4" t="n">
        <v>15000</v>
      </c>
      <c r="F119" s="4" t="n">
        <v>0</v>
      </c>
      <c r="G119" s="5" t="inlineStr">
        <is>
          <t>元/吨</t>
        </is>
      </c>
      <c r="H119" s="5" t="inlineStr">
        <is>
          <t>SMM</t>
        </is>
      </c>
    </row>
    <row r="120">
      <c r="A120" s="2" t="inlineStr">
        <is>
          <t>2026/06/16</t>
        </is>
      </c>
      <c r="B120" s="2" t="inlineStr">
        <is>
          <t>工业级氢氧化锂</t>
        </is>
      </c>
      <c r="C120" s="3" t="n">
        <v>138000</v>
      </c>
      <c r="D120" s="4" t="n">
        <v>145000</v>
      </c>
      <c r="E120" s="4" t="n">
        <v>141500</v>
      </c>
      <c r="F120" s="4" t="n">
        <v>-1000</v>
      </c>
      <c r="G120" s="5" t="inlineStr">
        <is>
          <t>元/吨</t>
        </is>
      </c>
      <c r="H120" s="5" t="inlineStr">
        <is>
          <t>SMM</t>
        </is>
      </c>
    </row>
    <row r="121">
      <c r="A121" s="2" t="inlineStr">
        <is>
          <t>2026/06/16</t>
        </is>
      </c>
      <c r="B121" s="2" t="inlineStr">
        <is>
          <t>工业级碳酸锂</t>
        </is>
      </c>
      <c r="C121" s="3" t="n">
        <v>162000</v>
      </c>
      <c r="D121" s="4" t="n">
        <v>168000</v>
      </c>
      <c r="E121" s="4" t="n">
        <v>165000</v>
      </c>
      <c r="F121" s="4" t="n">
        <v>-1500</v>
      </c>
      <c r="G121" s="5" t="inlineStr">
        <is>
          <t>元/吨</t>
        </is>
      </c>
      <c r="H121" s="5" t="inlineStr">
        <is>
          <t>SMM</t>
        </is>
      </c>
    </row>
    <row r="122">
      <c r="A122" s="2" t="inlineStr">
        <is>
          <t>2026/06/16</t>
        </is>
      </c>
      <c r="B122" s="2" t="inlineStr">
        <is>
          <t>工业级金属锂</t>
        </is>
      </c>
      <c r="C122" s="3" t="n">
        <v>1070000</v>
      </c>
      <c r="D122" s="4" t="n">
        <v>1140000</v>
      </c>
      <c r="E122" s="4" t="n">
        <v>1105000</v>
      </c>
      <c r="F122" s="4" t="n">
        <v>0</v>
      </c>
      <c r="G122" s="5" t="inlineStr">
        <is>
          <t>元/吨</t>
        </is>
      </c>
      <c r="H122" s="5" t="inlineStr">
        <is>
          <t>SMM</t>
        </is>
      </c>
    </row>
    <row r="123">
      <c r="A123" s="2" t="inlineStr">
        <is>
          <t>2026/06/16</t>
        </is>
      </c>
      <c r="B123" s="2" t="inlineStr">
        <is>
          <t>巴西锂辉石精矿（CIF中国）现货</t>
        </is>
      </c>
      <c r="C123" s="3" t="n">
        <v>2425</v>
      </c>
      <c r="D123" s="4" t="n">
        <v>2535</v>
      </c>
      <c r="E123" s="4" t="n">
        <v>2480</v>
      </c>
      <c r="F123" s="6" t="n">
        <v>-10</v>
      </c>
      <c r="G123" s="5" t="inlineStr">
        <is>
          <t>美元/吨</t>
        </is>
      </c>
      <c r="H123" s="5" t="inlineStr">
        <is>
          <t>SMM</t>
        </is>
      </c>
    </row>
    <row r="124">
      <c r="A124" s="2" t="inlineStr">
        <is>
          <t>2026/06/16</t>
        </is>
      </c>
      <c r="B124" s="2" t="inlineStr">
        <is>
          <t>废旧磷酸铁锂储能正极片</t>
        </is>
      </c>
      <c r="C124" s="3" t="n">
        <v>22050</v>
      </c>
      <c r="D124" s="4" t="n">
        <v>25550</v>
      </c>
      <c r="E124" s="4" t="n">
        <v>23800</v>
      </c>
      <c r="F124" s="4" t="n">
        <v>-175</v>
      </c>
      <c r="G124" s="5" t="inlineStr">
        <is>
          <t>元/吨</t>
        </is>
      </c>
      <c r="H124" s="5" t="inlineStr">
        <is>
          <t>SMM</t>
        </is>
      </c>
    </row>
    <row r="125">
      <c r="A125" s="2" t="inlineStr">
        <is>
          <t>2026/06/16</t>
        </is>
      </c>
      <c r="B125" s="2" t="inlineStr">
        <is>
          <t>废旧磷酸铁锂动力正极片</t>
        </is>
      </c>
      <c r="C125" s="3" t="n">
        <v>26200</v>
      </c>
      <c r="D125" s="4" t="n">
        <v>30750</v>
      </c>
      <c r="E125" s="4" t="n">
        <v>28475</v>
      </c>
      <c r="F125" s="4" t="n">
        <v>-200</v>
      </c>
      <c r="G125" s="5" t="inlineStr">
        <is>
          <t>元/吨</t>
        </is>
      </c>
      <c r="H125" s="5" t="inlineStr">
        <is>
          <t>SMM</t>
        </is>
      </c>
    </row>
    <row r="126">
      <c r="A126" s="2" t="inlineStr">
        <is>
          <t>2026/06/16</t>
        </is>
      </c>
      <c r="B126" s="2" t="inlineStr">
        <is>
          <t>废旧磷酸铁锂软包电池</t>
        </is>
      </c>
      <c r="C126" s="3" t="n">
        <v>16500</v>
      </c>
      <c r="D126" s="4" t="n">
        <v>18000</v>
      </c>
      <c r="E126" s="4" t="n">
        <v>17250</v>
      </c>
      <c r="F126" s="4" t="n">
        <v>-200</v>
      </c>
      <c r="G126" s="5" t="inlineStr">
        <is>
          <t>元/吨</t>
        </is>
      </c>
      <c r="H126" s="5" t="inlineStr">
        <is>
          <t>SMM</t>
        </is>
      </c>
    </row>
    <row r="127">
      <c r="A127" s="2" t="inlineStr">
        <is>
          <t>2026/06/16</t>
        </is>
      </c>
      <c r="B127" s="2" t="inlineStr">
        <is>
          <t>废旧磷酸铁锂钢壳电池</t>
        </is>
      </c>
      <c r="C127" s="3" t="n">
        <v>10500</v>
      </c>
      <c r="D127" s="4" t="n">
        <v>11800</v>
      </c>
      <c r="E127" s="4" t="n">
        <v>11150</v>
      </c>
      <c r="F127" s="4" t="n">
        <v>-150</v>
      </c>
      <c r="G127" s="5" t="inlineStr">
        <is>
          <t>元/吨</t>
        </is>
      </c>
      <c r="H127" s="5" t="inlineStr">
        <is>
          <t>SMM</t>
        </is>
      </c>
    </row>
    <row r="128">
      <c r="A128" s="2" t="inlineStr">
        <is>
          <t>2026/06/16</t>
        </is>
      </c>
      <c r="B128" s="2" t="inlineStr">
        <is>
          <t>废旧磷酸铁锂铝壳电池</t>
        </is>
      </c>
      <c r="C128" s="3" t="n">
        <v>17800</v>
      </c>
      <c r="D128" s="4" t="n">
        <v>19000</v>
      </c>
      <c r="E128" s="4" t="n">
        <v>18400</v>
      </c>
      <c r="F128" s="4" t="n">
        <v>-150</v>
      </c>
      <c r="G128" s="5" t="inlineStr">
        <is>
          <t>元/吨</t>
        </is>
      </c>
      <c r="H128" s="5" t="inlineStr">
        <is>
          <t>SMM</t>
        </is>
      </c>
    </row>
    <row r="129">
      <c r="A129" s="2" t="inlineStr">
        <is>
          <t>2026/06/16</t>
        </is>
      </c>
      <c r="B129" s="2" t="inlineStr">
        <is>
          <t>方形磷酸铁锂电池B品</t>
        </is>
      </c>
      <c r="C129" s="7" t="n">
        <v>0.68</v>
      </c>
      <c r="D129" s="6" t="n">
        <v>0.8</v>
      </c>
      <c r="E129" s="6" t="n">
        <v>0.74</v>
      </c>
      <c r="F129" s="4" t="n">
        <v>0</v>
      </c>
      <c r="G129" s="5" t="inlineStr">
        <is>
          <t>元/Ah</t>
        </is>
      </c>
      <c r="H129" s="5" t="inlineStr">
        <is>
          <t>SMM</t>
        </is>
      </c>
    </row>
    <row r="130">
      <c r="A130" s="2" t="inlineStr">
        <is>
          <t>2026/06/16</t>
        </is>
      </c>
      <c r="B130" s="2" t="inlineStr">
        <is>
          <t>氧化亚镍</t>
        </is>
      </c>
      <c r="C130" s="3" t="n">
        <v>118000</v>
      </c>
      <c r="D130" s="4" t="n">
        <v>126000</v>
      </c>
      <c r="E130" s="4" t="n">
        <v>122000</v>
      </c>
      <c r="F130" s="4" t="n">
        <v>0</v>
      </c>
      <c r="G130" s="5" t="inlineStr">
        <is>
          <t>元/吨</t>
        </is>
      </c>
      <c r="H130" s="5" t="inlineStr">
        <is>
          <t>SMM</t>
        </is>
      </c>
    </row>
    <row r="131">
      <c r="A131" s="2" t="inlineStr">
        <is>
          <t>2026/06/16</t>
        </is>
      </c>
      <c r="B131" s="2" t="inlineStr">
        <is>
          <t>氧化钴</t>
        </is>
      </c>
      <c r="C131" s="3" t="n">
        <v>310000</v>
      </c>
      <c r="D131" s="4" t="n">
        <v>325000</v>
      </c>
      <c r="E131" s="4" t="n">
        <v>317500</v>
      </c>
      <c r="F131" s="4" t="n">
        <v>-5000</v>
      </c>
      <c r="G131" s="5" t="inlineStr">
        <is>
          <t>元/吨</t>
        </is>
      </c>
      <c r="H131" s="5" t="inlineStr">
        <is>
          <t>SMM</t>
        </is>
      </c>
    </row>
    <row r="132">
      <c r="A132" s="2" t="inlineStr">
        <is>
          <t>2026/06/16</t>
        </is>
      </c>
      <c r="B132" s="2" t="inlineStr">
        <is>
          <t>氯化钴</t>
        </is>
      </c>
      <c r="C132" s="3" t="n">
        <v>106000</v>
      </c>
      <c r="D132" s="4" t="n">
        <v>112000</v>
      </c>
      <c r="E132" s="4" t="n">
        <v>109000</v>
      </c>
      <c r="F132" s="4" t="n">
        <v>-2000</v>
      </c>
      <c r="G132" s="5" t="inlineStr">
        <is>
          <t>元/吨</t>
        </is>
      </c>
      <c r="H132" s="5" t="inlineStr">
        <is>
          <t>SMM</t>
        </is>
      </c>
    </row>
    <row r="133">
      <c r="A133" s="2" t="inlineStr">
        <is>
          <t>2026/06/16</t>
        </is>
      </c>
      <c r="B133" s="2" t="inlineStr">
        <is>
          <t>氯化镍NiCl₂·6H₂O</t>
        </is>
      </c>
      <c r="C133" s="3" t="n">
        <v>39000</v>
      </c>
      <c r="D133" s="4" t="n">
        <v>41000</v>
      </c>
      <c r="E133" s="4" t="n">
        <v>40000</v>
      </c>
      <c r="F133" s="4" t="n">
        <v>0</v>
      </c>
      <c r="G133" s="5" t="inlineStr">
        <is>
          <t>元/吨</t>
        </is>
      </c>
      <c r="H133" s="5" t="inlineStr">
        <is>
          <t>SMM</t>
        </is>
      </c>
    </row>
    <row r="134">
      <c r="A134" s="2" t="inlineStr">
        <is>
          <t>2026/06/16</t>
        </is>
      </c>
      <c r="B134" s="2" t="inlineStr">
        <is>
          <t>津巴布韦锂辉石精矿（CIF中国）现货</t>
        </is>
      </c>
      <c r="C134" s="3" t="n">
        <v>2420</v>
      </c>
      <c r="D134" s="4" t="n">
        <v>2530</v>
      </c>
      <c r="E134" s="4" t="n">
        <v>2475</v>
      </c>
      <c r="F134" s="4" t="n">
        <v>125</v>
      </c>
      <c r="G134" s="5" t="inlineStr">
        <is>
          <t>美元/吨</t>
        </is>
      </c>
      <c r="H134" s="5" t="inlineStr">
        <is>
          <t>SMM</t>
        </is>
      </c>
    </row>
    <row r="135">
      <c r="A135" s="2" t="inlineStr">
        <is>
          <t>2026/06/16</t>
        </is>
      </c>
      <c r="B135" s="2" t="inlineStr">
        <is>
          <t>澳大利亚锂辉石精矿（CIF中国）现货</t>
        </is>
      </c>
      <c r="C135" s="3" t="n">
        <v>2445</v>
      </c>
      <c r="D135" s="4" t="n">
        <v>2545</v>
      </c>
      <c r="E135" s="4" t="n">
        <v>2495</v>
      </c>
      <c r="F135" s="6" t="n">
        <v>-10</v>
      </c>
      <c r="G135" s="5" t="inlineStr">
        <is>
          <t>美元/吨</t>
        </is>
      </c>
      <c r="H135" s="5" t="inlineStr">
        <is>
          <t>SMM</t>
        </is>
      </c>
    </row>
    <row r="136">
      <c r="A136" s="2" t="inlineStr">
        <is>
          <t>2026/06/16</t>
        </is>
      </c>
      <c r="B136" s="2" t="inlineStr">
        <is>
          <t>电池级无水氯化锂</t>
        </is>
      </c>
      <c r="C136" s="3" t="n">
        <v>235</v>
      </c>
      <c r="D136" s="4" t="n">
        <v>291</v>
      </c>
      <c r="E136" s="4" t="n">
        <v>263</v>
      </c>
      <c r="F136" s="6" t="n">
        <v>-2</v>
      </c>
      <c r="G136" s="5" t="inlineStr">
        <is>
          <t>元/千克</t>
        </is>
      </c>
      <c r="H136" s="5" t="inlineStr">
        <is>
          <t>SMM</t>
        </is>
      </c>
    </row>
    <row r="137">
      <c r="A137" s="2" t="inlineStr">
        <is>
          <t>2026/06/16</t>
        </is>
      </c>
      <c r="B137" s="2" t="inlineStr">
        <is>
          <t>电池级氟化锂</t>
        </is>
      </c>
      <c r="C137" s="3" t="n">
        <v>288000</v>
      </c>
      <c r="D137" s="4" t="n">
        <v>295000</v>
      </c>
      <c r="E137" s="4" t="n">
        <v>291500</v>
      </c>
      <c r="F137" s="4" t="n">
        <v>0</v>
      </c>
      <c r="G137" s="5" t="inlineStr">
        <is>
          <t>元/吨</t>
        </is>
      </c>
      <c r="H137" s="5" t="inlineStr">
        <is>
          <t>SMM</t>
        </is>
      </c>
    </row>
    <row r="138">
      <c r="A138" s="2" t="inlineStr">
        <is>
          <t>2026/06/16</t>
        </is>
      </c>
      <c r="B138" s="2" t="inlineStr">
        <is>
          <t>电池级氢氧化锂(CIF中日韩)</t>
        </is>
      </c>
      <c r="C138" s="7" t="n">
        <v>18.05</v>
      </c>
      <c r="D138" s="6" t="n">
        <v>21.15</v>
      </c>
      <c r="E138" s="6" t="n">
        <v>19.6</v>
      </c>
      <c r="F138" s="6" t="n">
        <v>-0.1</v>
      </c>
      <c r="G138" s="5" t="inlineStr">
        <is>
          <t>美元/千克</t>
        </is>
      </c>
      <c r="H138" s="5" t="inlineStr">
        <is>
          <t>SMM</t>
        </is>
      </c>
    </row>
    <row r="139">
      <c r="A139" s="2" t="inlineStr">
        <is>
          <t>2026/06/16</t>
        </is>
      </c>
      <c r="B139" s="2" t="inlineStr">
        <is>
          <t>电池级氢氧化锂(CIF韩国)</t>
        </is>
      </c>
      <c r="C139" s="7" t="n">
        <v>17.9</v>
      </c>
      <c r="D139" s="6" t="n">
        <v>21.1</v>
      </c>
      <c r="E139" s="6" t="n">
        <v>19.5</v>
      </c>
      <c r="F139" s="6" t="n">
        <v>-0.1</v>
      </c>
      <c r="G139" s="5" t="inlineStr">
        <is>
          <t>美元/千克</t>
        </is>
      </c>
      <c r="H139" s="5" t="inlineStr">
        <is>
          <t>SMM</t>
        </is>
      </c>
    </row>
    <row r="140">
      <c r="A140" s="2" t="inlineStr">
        <is>
          <t>2026/06/16</t>
        </is>
      </c>
      <c r="B140" s="2" t="inlineStr">
        <is>
          <t>电池级氢氧化锂(微粉）</t>
        </is>
      </c>
      <c r="C140" s="3" t="n">
        <v>153000</v>
      </c>
      <c r="D140" s="4" t="n">
        <v>167000</v>
      </c>
      <c r="E140" s="4" t="n">
        <v>160000</v>
      </c>
      <c r="F140" s="4" t="n">
        <v>-1000</v>
      </c>
      <c r="G140" s="5" t="inlineStr">
        <is>
          <t>元/吨</t>
        </is>
      </c>
      <c r="H140" s="5" t="inlineStr">
        <is>
          <t>SMM</t>
        </is>
      </c>
    </row>
    <row r="141">
      <c r="A141" s="2" t="inlineStr">
        <is>
          <t>2026/06/16</t>
        </is>
      </c>
      <c r="B141" s="2" t="inlineStr">
        <is>
          <t>电池级氢氧化锂（粗颗粒）</t>
        </is>
      </c>
      <c r="C141" s="3" t="n">
        <v>146000</v>
      </c>
      <c r="D141" s="4" t="n">
        <v>162000</v>
      </c>
      <c r="E141" s="4" t="n">
        <v>154000</v>
      </c>
      <c r="F141" s="4" t="n">
        <v>-1000</v>
      </c>
      <c r="G141" s="5" t="inlineStr">
        <is>
          <t>元/吨</t>
        </is>
      </c>
      <c r="H141" s="5" t="inlineStr">
        <is>
          <t>SMM</t>
        </is>
      </c>
    </row>
    <row r="142">
      <c r="A142" s="2" t="inlineStr">
        <is>
          <t>2026/06/16</t>
        </is>
      </c>
      <c r="B142" s="2" t="inlineStr">
        <is>
          <t>电池级硫酸锰（出厂价）</t>
        </is>
      </c>
      <c r="C142" s="3" t="n">
        <v>7590</v>
      </c>
      <c r="D142" s="4" t="n">
        <v>7790</v>
      </c>
      <c r="E142" s="4" t="n">
        <v>7690</v>
      </c>
      <c r="F142" s="4" t="n">
        <v>0</v>
      </c>
      <c r="G142" s="5" t="inlineStr">
        <is>
          <t>元/吨</t>
        </is>
      </c>
      <c r="H142" s="5" t="inlineStr">
        <is>
          <t>SMM</t>
        </is>
      </c>
    </row>
    <row r="143">
      <c r="A143" s="2" t="inlineStr">
        <is>
          <t>2026/06/16</t>
        </is>
      </c>
      <c r="B143" s="2" t="inlineStr">
        <is>
          <t>电池级硫酸镍</t>
        </is>
      </c>
      <c r="C143" s="3" t="n">
        <v>33400</v>
      </c>
      <c r="D143" s="4" t="n">
        <v>33820</v>
      </c>
      <c r="E143" s="4" t="n">
        <v>33610</v>
      </c>
      <c r="F143" s="4" t="n">
        <v>0</v>
      </c>
      <c r="G143" s="5" t="inlineStr">
        <is>
          <t>元/吨</t>
        </is>
      </c>
      <c r="H143" s="5" t="inlineStr">
        <is>
          <t>SMM</t>
        </is>
      </c>
    </row>
    <row r="144">
      <c r="A144" s="2" t="inlineStr">
        <is>
          <t>2026/06/16</t>
        </is>
      </c>
      <c r="B144" s="2" t="inlineStr">
        <is>
          <t>电池级碳酸锂</t>
        </is>
      </c>
      <c r="C144" s="3" t="n">
        <v>166000</v>
      </c>
      <c r="D144" s="4" t="n">
        <v>172000</v>
      </c>
      <c r="E144" s="4" t="n">
        <v>169000</v>
      </c>
      <c r="F144" s="4" t="n">
        <v>-1500</v>
      </c>
      <c r="G144" s="5" t="inlineStr">
        <is>
          <t>元/吨</t>
        </is>
      </c>
      <c r="H144" s="5" t="inlineStr">
        <is>
          <t>SMM</t>
        </is>
      </c>
    </row>
    <row r="145">
      <c r="A145" s="2" t="inlineStr">
        <is>
          <t>2026/06/16</t>
        </is>
      </c>
      <c r="B145" s="2" t="inlineStr">
        <is>
          <t>电池级碳酸锂(CIF韩国)</t>
        </is>
      </c>
      <c r="C145" s="7" t="n">
        <v>20.15</v>
      </c>
      <c r="D145" s="6" t="n">
        <v>22.05</v>
      </c>
      <c r="E145" s="6" t="n">
        <v>21.1</v>
      </c>
      <c r="F145" s="6" t="n">
        <v>-0.1</v>
      </c>
      <c r="G145" s="5" t="inlineStr">
        <is>
          <t>美元/千克</t>
        </is>
      </c>
      <c r="H145" s="5" t="inlineStr">
        <is>
          <t>SMM</t>
        </is>
      </c>
    </row>
    <row r="146">
      <c r="A146" s="2" t="inlineStr">
        <is>
          <t>2026/06/16</t>
        </is>
      </c>
      <c r="B146" s="2" t="inlineStr">
        <is>
          <t>电池级碳酸锂（CIF中日韩）</t>
        </is>
      </c>
      <c r="C146" s="7" t="n">
        <v>20.35</v>
      </c>
      <c r="D146" s="6" t="n">
        <v>22.1</v>
      </c>
      <c r="E146" s="6" t="n">
        <v>21.23</v>
      </c>
      <c r="F146" s="6" t="n">
        <v>-0.1</v>
      </c>
      <c r="G146" s="5" t="inlineStr">
        <is>
          <t>美元/千克</t>
        </is>
      </c>
      <c r="H146" s="5" t="inlineStr">
        <is>
          <t>SMM</t>
        </is>
      </c>
    </row>
    <row r="147">
      <c r="A147" s="2" t="inlineStr">
        <is>
          <t>2026/06/16</t>
        </is>
      </c>
      <c r="B147" s="2" t="inlineStr">
        <is>
          <t>电池级金属锂</t>
        </is>
      </c>
      <c r="C147" s="3" t="n">
        <v>1100000</v>
      </c>
      <c r="D147" s="4" t="n">
        <v>1170000</v>
      </c>
      <c r="E147" s="4" t="n">
        <v>1135000</v>
      </c>
      <c r="F147" s="4" t="n">
        <v>0</v>
      </c>
      <c r="G147" s="5" t="inlineStr">
        <is>
          <t>元/吨</t>
        </is>
      </c>
      <c r="H147" s="5" t="inlineStr">
        <is>
          <t>SMM</t>
        </is>
      </c>
    </row>
    <row r="148">
      <c r="A148" s="2" t="inlineStr">
        <is>
          <t>2026/06/16</t>
        </is>
      </c>
      <c r="B148" s="2" t="inlineStr">
        <is>
          <t>电解钴</t>
        </is>
      </c>
      <c r="C148" s="3" t="n">
        <v>384000</v>
      </c>
      <c r="D148" s="4" t="n">
        <v>410000</v>
      </c>
      <c r="E148" s="4" t="n">
        <v>397000</v>
      </c>
      <c r="F148" s="4" t="n">
        <v>-500</v>
      </c>
      <c r="G148" s="5" t="inlineStr">
        <is>
          <t>元/吨</t>
        </is>
      </c>
      <c r="H148" s="5" t="inlineStr">
        <is>
          <t>SMM</t>
        </is>
      </c>
    </row>
    <row r="149">
      <c r="A149" s="2" t="inlineStr">
        <is>
          <t>2026/06/16</t>
        </is>
      </c>
      <c r="B149" s="2" t="inlineStr">
        <is>
          <t>电解钴（鹿特丹仓库）</t>
        </is>
      </c>
      <c r="C149" s="7" t="n">
        <v>25.5</v>
      </c>
      <c r="D149" s="6" t="n">
        <v>27</v>
      </c>
      <c r="E149" s="6" t="n">
        <v>26.25</v>
      </c>
      <c r="F149" s="6" t="n">
        <v>0.1</v>
      </c>
      <c r="G149" s="5" t="inlineStr">
        <is>
          <t>美元/磅</t>
        </is>
      </c>
      <c r="H149" s="5" t="inlineStr">
        <is>
          <t>SMM</t>
        </is>
      </c>
    </row>
    <row r="150">
      <c r="A150" s="2" t="inlineStr">
        <is>
          <t>2026/06/16</t>
        </is>
      </c>
      <c r="B150" s="2" t="inlineStr">
        <is>
          <t>电镀级硫酸镍</t>
        </is>
      </c>
      <c r="C150" s="3" t="n">
        <v>34500</v>
      </c>
      <c r="D150" s="4" t="n">
        <v>39000</v>
      </c>
      <c r="E150" s="4" t="n">
        <v>36750</v>
      </c>
      <c r="F150" s="4" t="n">
        <v>0</v>
      </c>
      <c r="G150" s="5" t="inlineStr">
        <is>
          <t>元/吨</t>
        </is>
      </c>
      <c r="H150" s="5" t="inlineStr">
        <is>
          <t>SMM</t>
        </is>
      </c>
    </row>
    <row r="151">
      <c r="A151" s="2" t="inlineStr">
        <is>
          <t>2026/06/16</t>
        </is>
      </c>
      <c r="B151" s="2" t="inlineStr">
        <is>
          <t>硫酸钴</t>
        </is>
      </c>
      <c r="C151" s="3" t="n">
        <v>87500</v>
      </c>
      <c r="D151" s="4" t="n">
        <v>90000</v>
      </c>
      <c r="E151" s="4" t="n">
        <v>88750</v>
      </c>
      <c r="F151" s="4" t="n">
        <v>-500</v>
      </c>
      <c r="G151" s="5" t="inlineStr">
        <is>
          <t>元/吨</t>
        </is>
      </c>
      <c r="H151" s="5" t="inlineStr">
        <is>
          <t>SMM</t>
        </is>
      </c>
    </row>
    <row r="152">
      <c r="A152" s="2" t="inlineStr">
        <is>
          <t>2026/06/16</t>
        </is>
      </c>
      <c r="B152" s="2" t="inlineStr">
        <is>
          <t>碳酸钴</t>
        </is>
      </c>
      <c r="C152" s="3" t="n">
        <v>210000</v>
      </c>
      <c r="D152" s="4" t="n">
        <v>230000</v>
      </c>
      <c r="E152" s="4" t="n">
        <v>220000</v>
      </c>
      <c r="F152" s="4" t="n">
        <v>-3500</v>
      </c>
      <c r="G152" s="5" t="inlineStr">
        <is>
          <t>元/吨</t>
        </is>
      </c>
      <c r="H152" s="5" t="inlineStr">
        <is>
          <t>SMM</t>
        </is>
      </c>
    </row>
    <row r="153">
      <c r="A153" s="2" t="inlineStr">
        <is>
          <t>2026/06/16</t>
        </is>
      </c>
      <c r="B153" s="2" t="inlineStr">
        <is>
          <t>磷酸铁锂</t>
        </is>
      </c>
      <c r="C153" s="3" t="n">
        <v>59410</v>
      </c>
      <c r="D153" s="4" t="n">
        <v>60210</v>
      </c>
      <c r="E153" s="4" t="n">
        <v>59810</v>
      </c>
      <c r="F153" s="4" t="n">
        <v>-260</v>
      </c>
      <c r="G153" s="5" t="inlineStr">
        <is>
          <t>元/吨</t>
        </is>
      </c>
      <c r="H153" s="5" t="inlineStr">
        <is>
          <t>SMM</t>
        </is>
      </c>
    </row>
    <row r="154">
      <c r="A154" s="2" t="inlineStr">
        <is>
          <t>2026/06/16</t>
        </is>
      </c>
      <c r="B154" s="2" t="inlineStr">
        <is>
          <t>磷酸锰铁锂</t>
        </is>
      </c>
      <c r="C154" s="3" t="n">
        <v>64500</v>
      </c>
      <c r="D154" s="4" t="n">
        <v>69500</v>
      </c>
      <c r="E154" s="4" t="n">
        <v>67000</v>
      </c>
      <c r="F154" s="4" t="n">
        <v>0</v>
      </c>
      <c r="G154" s="5" t="inlineStr">
        <is>
          <t>元/吨</t>
        </is>
      </c>
      <c r="H154" s="5" t="inlineStr">
        <is>
          <t>SMM</t>
        </is>
      </c>
    </row>
    <row r="155">
      <c r="A155" s="2" t="inlineStr">
        <is>
          <t>2026/06/16</t>
        </is>
      </c>
      <c r="B155" s="2" t="inlineStr">
        <is>
          <t>金属钴FOB</t>
        </is>
      </c>
      <c r="C155" s="7" t="n">
        <v>25</v>
      </c>
      <c r="D155" s="6" t="n">
        <v>25.5</v>
      </c>
      <c r="E155" s="6" t="n">
        <v>25.25</v>
      </c>
      <c r="F155" s="4" t="n">
        <v>0</v>
      </c>
      <c r="G155" s="5" t="inlineStr">
        <is>
          <t>美元/磅</t>
        </is>
      </c>
      <c r="H155" s="5" t="inlineStr">
        <is>
          <t>SMM</t>
        </is>
      </c>
    </row>
    <row r="156">
      <c r="A156" s="2" t="inlineStr">
        <is>
          <t>2026/06/16</t>
        </is>
      </c>
      <c r="B156" s="2" t="inlineStr">
        <is>
          <t>钴中间品中钴含量≥30%</t>
        </is>
      </c>
      <c r="C156" s="3" t="n">
        <v>25737</v>
      </c>
      <c r="D156" s="4" t="n">
        <v>25737</v>
      </c>
      <c r="E156" s="4" t="n">
        <v>25737</v>
      </c>
      <c r="F156" s="4" t="n">
        <v>-925</v>
      </c>
      <c r="G156" s="5" t="inlineStr">
        <is>
          <t>元/金属吨</t>
        </is>
      </c>
      <c r="H156" s="5" t="inlineStr">
        <is>
          <t>SMM</t>
        </is>
      </c>
    </row>
    <row r="157">
      <c r="A157" s="2" t="inlineStr">
        <is>
          <t>2026/06/16</t>
        </is>
      </c>
      <c r="B157" s="2" t="inlineStr">
        <is>
          <t>钴中间品原料计价系数（对SMM硫酸钴均价）</t>
        </is>
      </c>
      <c r="C157" s="7" t="n">
        <v>99</v>
      </c>
      <c r="D157" s="4" t="n">
        <v>100</v>
      </c>
      <c r="E157" s="6" t="n">
        <v>99.5</v>
      </c>
      <c r="F157" s="4" t="n">
        <v>0</v>
      </c>
      <c r="G157" s="5" t="inlineStr">
        <is>
          <t>%</t>
        </is>
      </c>
      <c r="H157" s="5" t="inlineStr">
        <is>
          <t>SMM</t>
        </is>
      </c>
    </row>
    <row r="158">
      <c r="A158" s="2" t="inlineStr">
        <is>
          <t>2026/06/16</t>
        </is>
      </c>
      <c r="B158" s="2" t="inlineStr">
        <is>
          <t>钴酸锂</t>
        </is>
      </c>
      <c r="C158" s="3" t="n">
        <v>381000</v>
      </c>
      <c r="D158" s="4" t="n">
        <v>384000</v>
      </c>
      <c r="E158" s="4" t="n">
        <v>382500</v>
      </c>
      <c r="F158" s="4" t="n">
        <v>-1000</v>
      </c>
      <c r="G158" s="5" t="inlineStr">
        <is>
          <t>元/吨</t>
        </is>
      </c>
      <c r="H158" s="5" t="inlineStr">
        <is>
          <t>SMM</t>
        </is>
      </c>
    </row>
    <row r="159">
      <c r="A159" s="2" t="inlineStr">
        <is>
          <t>2026/06/16</t>
        </is>
      </c>
      <c r="B159" s="2" t="inlineStr">
        <is>
          <t>钴酸锂聚合物软包</t>
        </is>
      </c>
      <c r="C159" s="3" t="n">
        <v>98000</v>
      </c>
      <c r="D159" s="4" t="n">
        <v>101200</v>
      </c>
      <c r="E159" s="4" t="n">
        <v>99600</v>
      </c>
      <c r="F159" s="4" t="n">
        <v>-200</v>
      </c>
      <c r="G159" s="5" t="inlineStr">
        <is>
          <t>元/吨</t>
        </is>
      </c>
      <c r="H159" s="5" t="inlineStr">
        <is>
          <t>SMM</t>
        </is>
      </c>
    </row>
    <row r="160">
      <c r="A160" s="2" t="inlineStr">
        <is>
          <t>2026/06/16</t>
        </is>
      </c>
      <c r="B160" s="2" t="inlineStr">
        <is>
          <t>钴酸锂铝壳</t>
        </is>
      </c>
      <c r="C160" s="3" t="n">
        <v>84000</v>
      </c>
      <c r="D160" s="4" t="n">
        <v>94000</v>
      </c>
      <c r="E160" s="4" t="n">
        <v>89000</v>
      </c>
      <c r="F160" s="4" t="n">
        <v>0</v>
      </c>
      <c r="G160" s="5" t="inlineStr">
        <is>
          <t>元/吨</t>
        </is>
      </c>
      <c r="H160" s="5" t="inlineStr">
        <is>
          <t>SMM</t>
        </is>
      </c>
    </row>
    <row r="161">
      <c r="A161" s="2" t="inlineStr">
        <is>
          <t>2026/06/16</t>
        </is>
      </c>
      <c r="B161" s="2" t="inlineStr">
        <is>
          <t>锰酸锂圆柱钢壳</t>
        </is>
      </c>
      <c r="C161" s="3" t="n">
        <v>5000</v>
      </c>
      <c r="D161" s="4" t="n">
        <v>7400</v>
      </c>
      <c r="E161" s="4" t="n">
        <v>6200</v>
      </c>
      <c r="F161" s="4" t="n">
        <v>0</v>
      </c>
      <c r="G161" s="5" t="inlineStr">
        <is>
          <t>元/吨</t>
        </is>
      </c>
      <c r="H161" s="5" t="inlineStr">
        <is>
          <t>SMM</t>
        </is>
      </c>
    </row>
    <row r="162">
      <c r="A162" s="2" t="inlineStr">
        <is>
          <t>2026/06/16</t>
        </is>
      </c>
      <c r="B162" s="2" t="inlineStr">
        <is>
          <t>非洲硫酸锂(CIF中国)</t>
        </is>
      </c>
      <c r="C162" s="3" t="n">
        <v>8104</v>
      </c>
      <c r="D162" s="4" t="n">
        <v>8431</v>
      </c>
      <c r="E162" s="4" t="n">
        <v>8267.5</v>
      </c>
      <c r="F162" s="6" t="n">
        <v>-85.5</v>
      </c>
      <c r="G162" s="5" t="inlineStr">
        <is>
          <t>美元/吨</t>
        </is>
      </c>
      <c r="H162" s="5" t="inlineStr">
        <is>
          <t>SMM</t>
        </is>
      </c>
    </row>
    <row r="163">
      <c r="A163" s="2" t="inlineStr">
        <is>
          <t>2026/06/16</t>
        </is>
      </c>
      <c r="B163" s="2" t="inlineStr">
        <is>
          <t>非洲锂辉石精矿（CIF中国）指数</t>
        </is>
      </c>
      <c r="C163" s="3" t="n">
        <v>2470</v>
      </c>
      <c r="D163" s="4" t="n">
        <v>2470</v>
      </c>
      <c r="E163" s="4" t="n">
        <v>2470</v>
      </c>
      <c r="F163" s="4" t="n">
        <v>172</v>
      </c>
      <c r="G163" s="5" t="inlineStr">
        <is>
          <t>美元/吨</t>
        </is>
      </c>
      <c r="H163" s="5" t="inlineStr">
        <is>
          <t>SMM</t>
        </is>
      </c>
    </row>
    <row r="164">
      <c r="A164" s="2" t="inlineStr">
        <is>
          <t>2026/06/18</t>
        </is>
      </c>
      <c r="B164" s="2" t="inlineStr">
        <is>
          <t>5系三元前驱体</t>
        </is>
      </c>
      <c r="C164" s="3" t="n">
        <v>100900</v>
      </c>
      <c r="D164" s="4" t="n">
        <v>106100</v>
      </c>
      <c r="E164" s="4" t="n">
        <v>103500</v>
      </c>
      <c r="F164" s="6" t="n">
        <v>-50</v>
      </c>
      <c r="G164" s="5" t="inlineStr">
        <is>
          <t>元/吨</t>
        </is>
      </c>
      <c r="H164" s="5" t="inlineStr">
        <is>
          <t>SMM</t>
        </is>
      </c>
    </row>
    <row r="165">
      <c r="A165" s="2" t="inlineStr">
        <is>
          <t>2026/06/18</t>
        </is>
      </c>
      <c r="B165" s="2" t="inlineStr">
        <is>
          <t>5系三元材料</t>
        </is>
      </c>
      <c r="C165" s="3" t="n">
        <v>185500</v>
      </c>
      <c r="D165" s="4" t="n">
        <v>193400</v>
      </c>
      <c r="E165" s="4" t="n">
        <v>189450</v>
      </c>
      <c r="F165" s="4" t="n">
        <v>-1100</v>
      </c>
      <c r="G165" s="5" t="inlineStr">
        <is>
          <t>元/吨</t>
        </is>
      </c>
      <c r="H165" s="5" t="inlineStr">
        <is>
          <t>SMM</t>
        </is>
      </c>
    </row>
    <row r="166">
      <c r="A166" s="2" t="inlineStr">
        <is>
          <t>2026/06/18</t>
        </is>
      </c>
      <c r="B166" s="2" t="inlineStr">
        <is>
          <t>6系三元前驱体（单晶/动力型）</t>
        </is>
      </c>
      <c r="C166" s="3" t="n">
        <v>93750</v>
      </c>
      <c r="D166" s="4" t="n">
        <v>98450</v>
      </c>
      <c r="E166" s="4" t="n">
        <v>96100</v>
      </c>
      <c r="F166" s="6" t="n">
        <v>-50</v>
      </c>
      <c r="G166" s="5" t="inlineStr">
        <is>
          <t>元/吨</t>
        </is>
      </c>
      <c r="H166" s="5" t="inlineStr">
        <is>
          <t>SMM</t>
        </is>
      </c>
    </row>
    <row r="167">
      <c r="A167" s="2" t="inlineStr">
        <is>
          <t>2026/06/18</t>
        </is>
      </c>
      <c r="B167" s="2" t="inlineStr">
        <is>
          <t>6系三元材料（单晶/动力型）</t>
        </is>
      </c>
      <c r="C167" s="3" t="n">
        <v>190000</v>
      </c>
      <c r="D167" s="4" t="n">
        <v>199500</v>
      </c>
      <c r="E167" s="4" t="n">
        <v>194750</v>
      </c>
      <c r="F167" s="4" t="n">
        <v>-800</v>
      </c>
      <c r="G167" s="5" t="inlineStr">
        <is>
          <t>元/吨</t>
        </is>
      </c>
      <c r="H167" s="5" t="inlineStr">
        <is>
          <t>SMM</t>
        </is>
      </c>
    </row>
    <row r="168">
      <c r="A168" s="2" t="inlineStr">
        <is>
          <t>2026/06/18</t>
        </is>
      </c>
      <c r="B168" s="2" t="inlineStr">
        <is>
          <t>8系三元前驱体（多晶/动力型）</t>
        </is>
      </c>
      <c r="C168" s="3" t="n">
        <v>116300</v>
      </c>
      <c r="D168" s="4" t="n">
        <v>122000</v>
      </c>
      <c r="E168" s="4" t="n">
        <v>119150</v>
      </c>
      <c r="F168" s="6" t="n">
        <v>-50</v>
      </c>
      <c r="G168" s="5" t="inlineStr">
        <is>
          <t>元/吨</t>
        </is>
      </c>
      <c r="H168" s="5" t="inlineStr">
        <is>
          <t>SMM</t>
        </is>
      </c>
    </row>
    <row r="169">
      <c r="A169" s="2" t="inlineStr">
        <is>
          <t>2026/06/18</t>
        </is>
      </c>
      <c r="B169" s="2" t="inlineStr">
        <is>
          <t>8系三元材料</t>
        </is>
      </c>
      <c r="C169" s="3" t="n">
        <v>213200</v>
      </c>
      <c r="D169" s="4" t="n">
        <v>222800</v>
      </c>
      <c r="E169" s="4" t="n">
        <v>218000</v>
      </c>
      <c r="F169" s="4" t="n">
        <v>-800</v>
      </c>
      <c r="G169" s="5" t="inlineStr">
        <is>
          <t>元/吨</t>
        </is>
      </c>
      <c r="H169" s="5" t="inlineStr">
        <is>
          <t>SMM</t>
        </is>
      </c>
    </row>
    <row r="170">
      <c r="A170" s="2" t="inlineStr">
        <is>
          <t>2026/06/18</t>
        </is>
      </c>
      <c r="B170" s="2" t="inlineStr">
        <is>
          <t>MHP系数（对SMM电池级硫酸镍指数）</t>
        </is>
      </c>
      <c r="C170" s="7" t="n">
        <v>86</v>
      </c>
      <c r="D170" s="6" t="n">
        <v>87</v>
      </c>
      <c r="E170" s="6" t="n">
        <v>86.5</v>
      </c>
      <c r="F170" s="6" t="n">
        <v>1</v>
      </c>
      <c r="G170" s="5" t="inlineStr">
        <is>
          <t>%</t>
        </is>
      </c>
      <c r="H170" s="5" t="inlineStr">
        <is>
          <t>SMM</t>
        </is>
      </c>
    </row>
    <row r="171">
      <c r="A171" s="2" t="inlineStr">
        <is>
          <t>2026/06/18</t>
        </is>
      </c>
      <c r="B171" s="2" t="inlineStr">
        <is>
          <t>MHP钴元素计价系数（对SMM硫酸钴均价）</t>
        </is>
      </c>
      <c r="C171" s="7" t="n">
        <v>92</v>
      </c>
      <c r="D171" s="6" t="n">
        <v>93</v>
      </c>
      <c r="E171" s="6" t="n">
        <v>92.5</v>
      </c>
      <c r="F171" s="4" t="n">
        <v>0</v>
      </c>
      <c r="G171" s="5" t="inlineStr">
        <is>
          <t>%</t>
        </is>
      </c>
      <c r="H171" s="5" t="inlineStr">
        <is>
          <t>SMM</t>
        </is>
      </c>
    </row>
    <row r="172">
      <c r="A172" s="2" t="inlineStr">
        <is>
          <t>2026/06/18</t>
        </is>
      </c>
      <c r="B172" s="2" t="inlineStr">
        <is>
          <t>NCA三元材料</t>
        </is>
      </c>
      <c r="C172" s="3" t="n">
        <v>210300</v>
      </c>
      <c r="D172" s="4" t="n">
        <v>218600</v>
      </c>
      <c r="E172" s="4" t="n">
        <v>214450</v>
      </c>
      <c r="F172" s="4" t="n">
        <v>-800</v>
      </c>
      <c r="G172" s="5" t="inlineStr">
        <is>
          <t>元/吨</t>
        </is>
      </c>
      <c r="H172" s="5" t="inlineStr">
        <is>
          <t>SMM</t>
        </is>
      </c>
    </row>
    <row r="173">
      <c r="A173" s="2" t="inlineStr">
        <is>
          <t>2026/06/18</t>
        </is>
      </c>
      <c r="B173" s="2" t="inlineStr">
        <is>
          <t>SMM三元极片粉钴系数指数</t>
        </is>
      </c>
      <c r="C173" s="7" t="n">
        <v>78.98999999999999</v>
      </c>
      <c r="D173" s="6" t="n">
        <v>78.98999999999999</v>
      </c>
      <c r="E173" s="6" t="n">
        <v>78.98999999999999</v>
      </c>
      <c r="F173" s="6" t="n">
        <v>-0.01</v>
      </c>
      <c r="G173" s="5" t="inlineStr">
        <is>
          <t>%</t>
        </is>
      </c>
      <c r="H173" s="5" t="inlineStr">
        <is>
          <t>SMM</t>
        </is>
      </c>
    </row>
    <row r="174">
      <c r="A174" s="2" t="inlineStr">
        <is>
          <t>2026/06/18</t>
        </is>
      </c>
      <c r="B174" s="2" t="inlineStr">
        <is>
          <t>SMM三元极片粉锂系数指数</t>
        </is>
      </c>
      <c r="C174" s="7" t="n">
        <v>79</v>
      </c>
      <c r="D174" s="6" t="n">
        <v>79</v>
      </c>
      <c r="E174" s="6" t="n">
        <v>79</v>
      </c>
      <c r="F174" s="6" t="n">
        <v>-0.05</v>
      </c>
      <c r="G174" s="5" t="inlineStr">
        <is>
          <t>%</t>
        </is>
      </c>
      <c r="H174" s="5" t="inlineStr">
        <is>
          <t>SMM</t>
        </is>
      </c>
    </row>
    <row r="175">
      <c r="A175" s="2" t="inlineStr">
        <is>
          <t>2026/06/18</t>
        </is>
      </c>
      <c r="B175" s="2" t="inlineStr">
        <is>
          <t>SMM三元极片粉镍系数指数</t>
        </is>
      </c>
      <c r="C175" s="7" t="n">
        <v>79</v>
      </c>
      <c r="D175" s="6" t="n">
        <v>79</v>
      </c>
      <c r="E175" s="6" t="n">
        <v>79</v>
      </c>
      <c r="F175" s="6" t="n">
        <v>-0.05</v>
      </c>
      <c r="G175" s="5" t="inlineStr">
        <is>
          <t>%</t>
        </is>
      </c>
      <c r="H175" s="5" t="inlineStr">
        <is>
          <t>SMM</t>
        </is>
      </c>
    </row>
    <row r="176">
      <c r="A176" s="2" t="inlineStr">
        <is>
          <t>2026/06/18</t>
        </is>
      </c>
      <c r="B176" s="2" t="inlineStr">
        <is>
          <t>SMM三元电池粉钴系数指数</t>
        </is>
      </c>
      <c r="C176" s="7" t="n">
        <v>75.72</v>
      </c>
      <c r="D176" s="6" t="n">
        <v>75.72</v>
      </c>
      <c r="E176" s="6" t="n">
        <v>75.72</v>
      </c>
      <c r="F176" s="4" t="n">
        <v>0</v>
      </c>
      <c r="G176" s="5" t="inlineStr">
        <is>
          <t>%</t>
        </is>
      </c>
      <c r="H176" s="5" t="inlineStr">
        <is>
          <t>SMM</t>
        </is>
      </c>
    </row>
    <row r="177">
      <c r="A177" s="2" t="inlineStr">
        <is>
          <t>2026/06/18</t>
        </is>
      </c>
      <c r="B177" s="2" t="inlineStr">
        <is>
          <t>SMM三元电池粉锂系数指数</t>
        </is>
      </c>
      <c r="C177" s="7" t="n">
        <v>75.73</v>
      </c>
      <c r="D177" s="6" t="n">
        <v>75.73</v>
      </c>
      <c r="E177" s="6" t="n">
        <v>75.73</v>
      </c>
      <c r="F177" s="6" t="n">
        <v>-0.1</v>
      </c>
      <c r="G177" s="5" t="inlineStr">
        <is>
          <t>%</t>
        </is>
      </c>
      <c r="H177" s="5" t="inlineStr">
        <is>
          <t>SMM</t>
        </is>
      </c>
    </row>
    <row r="178">
      <c r="A178" s="2" t="inlineStr">
        <is>
          <t>2026/06/18</t>
        </is>
      </c>
      <c r="B178" s="2" t="inlineStr">
        <is>
          <t>SMM三元电池粉镍系数指数</t>
        </is>
      </c>
      <c r="C178" s="7" t="n">
        <v>75.73</v>
      </c>
      <c r="D178" s="6" t="n">
        <v>75.73</v>
      </c>
      <c r="E178" s="6" t="n">
        <v>75.73</v>
      </c>
      <c r="F178" s="6" t="n">
        <v>-0.1</v>
      </c>
      <c r="G178" s="5" t="inlineStr">
        <is>
          <t>%</t>
        </is>
      </c>
      <c r="H178" s="5" t="inlineStr">
        <is>
          <t>SMM</t>
        </is>
      </c>
    </row>
    <row r="179">
      <c r="A179" s="2" t="inlineStr">
        <is>
          <t>2026/06/18</t>
        </is>
      </c>
      <c r="B179" s="2" t="inlineStr">
        <is>
          <t>SMM六氟磷酸锂指数</t>
        </is>
      </c>
      <c r="C179" s="3" t="n">
        <v>101802</v>
      </c>
      <c r="D179" s="4" t="n">
        <v>105958</v>
      </c>
      <c r="E179" s="4" t="n">
        <v>103880</v>
      </c>
      <c r="F179" s="4" t="n">
        <v>-508.5</v>
      </c>
      <c r="G179" s="5" t="inlineStr">
        <is>
          <t>元/吨</t>
        </is>
      </c>
      <c r="H179" s="5" t="inlineStr">
        <is>
          <t>SMM</t>
        </is>
      </c>
    </row>
    <row r="180">
      <c r="A180" s="2" t="inlineStr">
        <is>
          <t>2026/06/18</t>
        </is>
      </c>
      <c r="B180" s="2" t="inlineStr">
        <is>
          <t>SMM电池级氢氧化锂指数</t>
        </is>
      </c>
      <c r="C180" s="3" t="n">
        <v>152617</v>
      </c>
      <c r="D180" s="4" t="n">
        <v>152617</v>
      </c>
      <c r="E180" s="4" t="n">
        <v>152617</v>
      </c>
      <c r="F180" s="4" t="n">
        <v>-2079</v>
      </c>
      <c r="G180" s="5" t="inlineStr">
        <is>
          <t>元/吨</t>
        </is>
      </c>
      <c r="H180" s="5" t="inlineStr">
        <is>
          <t>SMM</t>
        </is>
      </c>
    </row>
    <row r="181">
      <c r="A181" s="2" t="inlineStr">
        <is>
          <t>2026/06/18</t>
        </is>
      </c>
      <c r="B181" s="2" t="inlineStr">
        <is>
          <t>SMM电池级硫酸锰指数</t>
        </is>
      </c>
      <c r="C181" s="3" t="n">
        <v>7658</v>
      </c>
      <c r="D181" s="4" t="n">
        <v>7658</v>
      </c>
      <c r="E181" s="4" t="n">
        <v>7658</v>
      </c>
      <c r="F181" s="6" t="n">
        <v>3</v>
      </c>
      <c r="G181" s="5" t="inlineStr">
        <is>
          <t>元/吨</t>
        </is>
      </c>
      <c r="H181" s="5" t="inlineStr">
        <is>
          <t>SMM</t>
        </is>
      </c>
    </row>
    <row r="182">
      <c r="A182" s="2" t="inlineStr">
        <is>
          <t>2026/06/18</t>
        </is>
      </c>
      <c r="B182" s="2" t="inlineStr">
        <is>
          <t>SMM电池级硫酸镍指数</t>
        </is>
      </c>
      <c r="C182" s="3" t="n">
        <v>33000</v>
      </c>
      <c r="D182" s="4" t="n">
        <v>33000</v>
      </c>
      <c r="E182" s="4" t="n">
        <v>33000</v>
      </c>
      <c r="F182" s="6" t="n">
        <v>-42</v>
      </c>
      <c r="G182" s="5" t="inlineStr">
        <is>
          <t>元/吨</t>
        </is>
      </c>
      <c r="H182" s="5" t="inlineStr">
        <is>
          <t>SMM</t>
        </is>
      </c>
    </row>
    <row r="183">
      <c r="A183" s="2" t="inlineStr">
        <is>
          <t>2026/06/18</t>
        </is>
      </c>
      <c r="B183" s="2" t="inlineStr">
        <is>
          <t>SMM电池级碳酸锂指数</t>
        </is>
      </c>
      <c r="C183" s="3" t="n">
        <v>167053</v>
      </c>
      <c r="D183" s="4" t="n">
        <v>167053</v>
      </c>
      <c r="E183" s="4" t="n">
        <v>167053</v>
      </c>
      <c r="F183" s="4" t="n">
        <v>-1430</v>
      </c>
      <c r="G183" s="5" t="inlineStr">
        <is>
          <t>元/吨</t>
        </is>
      </c>
      <c r="H183" s="5" t="inlineStr">
        <is>
          <t>SMM</t>
        </is>
      </c>
    </row>
    <row r="184">
      <c r="A184" s="2" t="inlineStr">
        <is>
          <t>2026/06/18</t>
        </is>
      </c>
      <c r="B184" s="2" t="inlineStr">
        <is>
          <t>SMM硫酸钴指数</t>
        </is>
      </c>
      <c r="C184" s="3" t="n">
        <v>88287</v>
      </c>
      <c r="D184" s="4" t="n">
        <v>88287</v>
      </c>
      <c r="E184" s="4" t="n">
        <v>88287</v>
      </c>
      <c r="F184" s="6" t="n">
        <v>-28</v>
      </c>
      <c r="G184" s="5" t="inlineStr">
        <is>
          <t>元/吨</t>
        </is>
      </c>
      <c r="H184" s="5" t="inlineStr">
        <is>
          <t>SMM</t>
        </is>
      </c>
    </row>
    <row r="185">
      <c r="A185" s="2" t="inlineStr">
        <is>
          <t>2026/06/18</t>
        </is>
      </c>
      <c r="B185" s="2" t="inlineStr">
        <is>
          <t>SMM磷酸铁锂极片粉指数</t>
        </is>
      </c>
      <c r="C185" s="3" t="n">
        <v>7458</v>
      </c>
      <c r="D185" s="4" t="n">
        <v>7458</v>
      </c>
      <c r="E185" s="4" t="n">
        <v>7458</v>
      </c>
      <c r="F185" s="6" t="n">
        <v>-31</v>
      </c>
      <c r="G185" s="5" t="inlineStr">
        <is>
          <t>元/锂点</t>
        </is>
      </c>
      <c r="H185" s="5" t="inlineStr">
        <is>
          <t>SMM</t>
        </is>
      </c>
    </row>
    <row r="186">
      <c r="A186" s="2" t="inlineStr">
        <is>
          <t>2026/06/18</t>
        </is>
      </c>
      <c r="B186" s="2" t="inlineStr">
        <is>
          <t>SMM磷酸铁锂电池粉指数</t>
        </is>
      </c>
      <c r="C186" s="3" t="n">
        <v>6975</v>
      </c>
      <c r="D186" s="4" t="n">
        <v>6975</v>
      </c>
      <c r="E186" s="4" t="n">
        <v>6975</v>
      </c>
      <c r="F186" s="6" t="n">
        <v>-87</v>
      </c>
      <c r="G186" s="5" t="inlineStr">
        <is>
          <t>元/锂点</t>
        </is>
      </c>
      <c r="H186" s="5" t="inlineStr">
        <is>
          <t>SMM</t>
        </is>
      </c>
    </row>
    <row r="187">
      <c r="A187" s="2" t="inlineStr">
        <is>
          <t>2026/06/18</t>
        </is>
      </c>
      <c r="B187" s="2" t="inlineStr">
        <is>
          <t>SMM钴酸锂极片粉钴系数指数</t>
        </is>
      </c>
      <c r="C187" s="7" t="n">
        <v>82.53</v>
      </c>
      <c r="D187" s="6" t="n">
        <v>82.53</v>
      </c>
      <c r="E187" s="6" t="n">
        <v>82.53</v>
      </c>
      <c r="F187" s="4" t="n">
        <v>0</v>
      </c>
      <c r="G187" s="5" t="inlineStr">
        <is>
          <t>%</t>
        </is>
      </c>
      <c r="H187" s="5" t="inlineStr">
        <is>
          <t>SMM</t>
        </is>
      </c>
    </row>
    <row r="188">
      <c r="A188" s="2" t="inlineStr">
        <is>
          <t>2026/06/18</t>
        </is>
      </c>
      <c r="B188" s="2" t="inlineStr">
        <is>
          <t>SMM钴酸锂极片粉锂系数指数</t>
        </is>
      </c>
      <c r="C188" s="7" t="n">
        <v>76.5</v>
      </c>
      <c r="D188" s="6" t="n">
        <v>76.5</v>
      </c>
      <c r="E188" s="6" t="n">
        <v>76.5</v>
      </c>
      <c r="F188" s="4" t="n">
        <v>0</v>
      </c>
      <c r="G188" s="5" t="inlineStr">
        <is>
          <t>%</t>
        </is>
      </c>
      <c r="H188" s="5" t="inlineStr">
        <is>
          <t>SMM</t>
        </is>
      </c>
    </row>
    <row r="189">
      <c r="A189" s="2" t="inlineStr">
        <is>
          <t>2026/06/18</t>
        </is>
      </c>
      <c r="B189" s="2" t="inlineStr">
        <is>
          <t>SMM钴酸锂电池粉钴系数指数</t>
        </is>
      </c>
      <c r="C189" s="7" t="n">
        <v>80.13</v>
      </c>
      <c r="D189" s="6" t="n">
        <v>80.13</v>
      </c>
      <c r="E189" s="6" t="n">
        <v>80.13</v>
      </c>
      <c r="F189" s="4" t="n">
        <v>0</v>
      </c>
      <c r="G189" s="5" t="inlineStr">
        <is>
          <t>%</t>
        </is>
      </c>
      <c r="H189" s="5" t="inlineStr">
        <is>
          <t>SMM</t>
        </is>
      </c>
    </row>
    <row r="190">
      <c r="A190" s="2" t="inlineStr">
        <is>
          <t>2026/06/18</t>
        </is>
      </c>
      <c r="B190" s="2" t="inlineStr">
        <is>
          <t>SMM钴酸锂电池粉锂系数指数</t>
        </is>
      </c>
      <c r="C190" s="7" t="n">
        <v>76.11</v>
      </c>
      <c r="D190" s="6" t="n">
        <v>76.11</v>
      </c>
      <c r="E190" s="6" t="n">
        <v>76.11</v>
      </c>
      <c r="F190" s="4" t="n">
        <v>0</v>
      </c>
      <c r="G190" s="5" t="inlineStr">
        <is>
          <t>%</t>
        </is>
      </c>
      <c r="H190" s="5" t="inlineStr">
        <is>
          <t>SMM</t>
        </is>
      </c>
    </row>
    <row r="191">
      <c r="A191" s="2" t="inlineStr">
        <is>
          <t>2026/06/18</t>
        </is>
      </c>
      <c r="B191" s="2" t="inlineStr">
        <is>
          <t>三元方壳锂电B品</t>
        </is>
      </c>
      <c r="C191" s="7" t="n">
        <v>0.75</v>
      </c>
      <c r="D191" s="6" t="n">
        <v>0.85</v>
      </c>
      <c r="E191" s="6" t="n">
        <v>0.8</v>
      </c>
      <c r="F191" s="4" t="n">
        <v>0</v>
      </c>
      <c r="G191" s="5" t="inlineStr">
        <is>
          <t>元/Ah</t>
        </is>
      </c>
      <c r="H191" s="5" t="inlineStr">
        <is>
          <t>SMM</t>
        </is>
      </c>
    </row>
    <row r="192">
      <c r="A192" s="2" t="inlineStr">
        <is>
          <t>2026/06/18</t>
        </is>
      </c>
      <c r="B192" s="2" t="inlineStr">
        <is>
          <t>六氟磷酸锂（国产）</t>
        </is>
      </c>
      <c r="C192" s="3" t="n">
        <v>110000</v>
      </c>
      <c r="D192" s="4" t="n">
        <v>112000</v>
      </c>
      <c r="E192" s="4" t="n">
        <v>111000</v>
      </c>
      <c r="F192" s="4" t="n">
        <v>-3000</v>
      </c>
      <c r="G192" s="5" t="inlineStr">
        <is>
          <t>元/吨</t>
        </is>
      </c>
      <c r="H192" s="5" t="inlineStr">
        <is>
          <t>SMM</t>
        </is>
      </c>
    </row>
    <row r="193">
      <c r="A193" s="2" t="inlineStr">
        <is>
          <t>2026/06/18</t>
        </is>
      </c>
      <c r="B193" s="2" t="inlineStr">
        <is>
          <t>四氧化三钴</t>
        </is>
      </c>
      <c r="C193" s="3" t="n">
        <v>332000</v>
      </c>
      <c r="D193" s="4" t="n">
        <v>345000</v>
      </c>
      <c r="E193" s="4" t="n">
        <v>338500</v>
      </c>
      <c r="F193" s="4" t="n">
        <v>0</v>
      </c>
      <c r="G193" s="5" t="inlineStr">
        <is>
          <t>元/吨</t>
        </is>
      </c>
      <c r="H193" s="5" t="inlineStr">
        <is>
          <t>SMM</t>
        </is>
      </c>
    </row>
    <row r="194">
      <c r="A194" s="2" t="inlineStr">
        <is>
          <t>2026/06/18</t>
        </is>
      </c>
      <c r="B194" s="2" t="inlineStr">
        <is>
          <t>四氧化三锰（电池级）</t>
        </is>
      </c>
      <c r="C194" s="3" t="n">
        <v>14000</v>
      </c>
      <c r="D194" s="4" t="n">
        <v>16000</v>
      </c>
      <c r="E194" s="4" t="n">
        <v>15000</v>
      </c>
      <c r="F194" s="4" t="n">
        <v>0</v>
      </c>
      <c r="G194" s="5" t="inlineStr">
        <is>
          <t>元/吨</t>
        </is>
      </c>
      <c r="H194" s="5" t="inlineStr">
        <is>
          <t>SMM</t>
        </is>
      </c>
    </row>
    <row r="195">
      <c r="A195" s="2" t="inlineStr">
        <is>
          <t>2026/06/18</t>
        </is>
      </c>
      <c r="B195" s="2" t="inlineStr">
        <is>
          <t>工业级氢氧化锂</t>
        </is>
      </c>
      <c r="C195" s="3" t="n">
        <v>136000</v>
      </c>
      <c r="D195" s="4" t="n">
        <v>144000</v>
      </c>
      <c r="E195" s="4" t="n">
        <v>140000</v>
      </c>
      <c r="F195" s="4" t="n">
        <v>-2000</v>
      </c>
      <c r="G195" s="5" t="inlineStr">
        <is>
          <t>元/吨</t>
        </is>
      </c>
      <c r="H195" s="5" t="inlineStr">
        <is>
          <t>SMM</t>
        </is>
      </c>
    </row>
    <row r="196">
      <c r="A196" s="2" t="inlineStr">
        <is>
          <t>2026/06/18</t>
        </is>
      </c>
      <c r="B196" s="2" t="inlineStr">
        <is>
          <t>工业级碳酸锂</t>
        </is>
      </c>
      <c r="C196" s="3" t="n">
        <v>160500</v>
      </c>
      <c r="D196" s="4" t="n">
        <v>166000</v>
      </c>
      <c r="E196" s="4" t="n">
        <v>163250</v>
      </c>
      <c r="F196" s="4" t="n">
        <v>-2250</v>
      </c>
      <c r="G196" s="5" t="inlineStr">
        <is>
          <t>元/吨</t>
        </is>
      </c>
      <c r="H196" s="5" t="inlineStr">
        <is>
          <t>SMM</t>
        </is>
      </c>
    </row>
    <row r="197">
      <c r="A197" s="2" t="inlineStr">
        <is>
          <t>2026/06/18</t>
        </is>
      </c>
      <c r="B197" s="2" t="inlineStr">
        <is>
          <t>工业级金属锂</t>
        </is>
      </c>
      <c r="C197" s="3" t="n">
        <v>1070000</v>
      </c>
      <c r="D197" s="4" t="n">
        <v>1130000</v>
      </c>
      <c r="E197" s="4" t="n">
        <v>1100000</v>
      </c>
      <c r="F197" s="4" t="n">
        <v>-5000</v>
      </c>
      <c r="G197" s="5" t="inlineStr">
        <is>
          <t>元/吨</t>
        </is>
      </c>
      <c r="H197" s="5" t="inlineStr">
        <is>
          <t>SMM</t>
        </is>
      </c>
    </row>
    <row r="198">
      <c r="A198" s="2" t="inlineStr">
        <is>
          <t>2026/06/18</t>
        </is>
      </c>
      <c r="B198" s="2" t="inlineStr">
        <is>
          <t>巴西锂辉石精矿（CIF中国）现货</t>
        </is>
      </c>
      <c r="C198" s="3" t="n">
        <v>2370</v>
      </c>
      <c r="D198" s="4" t="n">
        <v>2500</v>
      </c>
      <c r="E198" s="4" t="n">
        <v>2435</v>
      </c>
      <c r="F198" s="6" t="n">
        <v>-46</v>
      </c>
      <c r="G198" s="5" t="inlineStr">
        <is>
          <t>美元/吨</t>
        </is>
      </c>
      <c r="H198" s="5" t="inlineStr">
        <is>
          <t>SMM</t>
        </is>
      </c>
    </row>
    <row r="199">
      <c r="A199" s="2" t="inlineStr">
        <is>
          <t>2026/06/18</t>
        </is>
      </c>
      <c r="B199" s="2" t="inlineStr">
        <is>
          <t>废旧磷酸铁锂储能正极片</t>
        </is>
      </c>
      <c r="C199" s="3" t="n">
        <v>21800</v>
      </c>
      <c r="D199" s="4" t="n">
        <v>25200</v>
      </c>
      <c r="E199" s="4" t="n">
        <v>23500</v>
      </c>
      <c r="F199" s="4" t="n">
        <v>-300</v>
      </c>
      <c r="G199" s="5" t="inlineStr">
        <is>
          <t>元/吨</t>
        </is>
      </c>
      <c r="H199" s="5" t="inlineStr">
        <is>
          <t>SMM</t>
        </is>
      </c>
    </row>
    <row r="200">
      <c r="A200" s="2" t="inlineStr">
        <is>
          <t>2026/06/18</t>
        </is>
      </c>
      <c r="B200" s="2" t="inlineStr">
        <is>
          <t>废旧磷酸铁锂动力正极片</t>
        </is>
      </c>
      <c r="C200" s="3" t="n">
        <v>25850</v>
      </c>
      <c r="D200" s="4" t="n">
        <v>30350</v>
      </c>
      <c r="E200" s="4" t="n">
        <v>28100</v>
      </c>
      <c r="F200" s="4" t="n">
        <v>-375</v>
      </c>
      <c r="G200" s="5" t="inlineStr">
        <is>
          <t>元/吨</t>
        </is>
      </c>
      <c r="H200" s="5" t="inlineStr">
        <is>
          <t>SMM</t>
        </is>
      </c>
    </row>
    <row r="201">
      <c r="A201" s="2" t="inlineStr">
        <is>
          <t>2026/06/18</t>
        </is>
      </c>
      <c r="B201" s="2" t="inlineStr">
        <is>
          <t>废旧磷酸铁锂软包电池</t>
        </is>
      </c>
      <c r="C201" s="3" t="n">
        <v>16300</v>
      </c>
      <c r="D201" s="4" t="n">
        <v>17600</v>
      </c>
      <c r="E201" s="4" t="n">
        <v>16950</v>
      </c>
      <c r="F201" s="4" t="n">
        <v>-300</v>
      </c>
      <c r="G201" s="5" t="inlineStr">
        <is>
          <t>元/吨</t>
        </is>
      </c>
      <c r="H201" s="5" t="inlineStr">
        <is>
          <t>SMM</t>
        </is>
      </c>
    </row>
    <row r="202">
      <c r="A202" s="2" t="inlineStr">
        <is>
          <t>2026/06/18</t>
        </is>
      </c>
      <c r="B202" s="2" t="inlineStr">
        <is>
          <t>废旧磷酸铁锂钢壳电池</t>
        </is>
      </c>
      <c r="C202" s="3" t="n">
        <v>10500</v>
      </c>
      <c r="D202" s="4" t="n">
        <v>11500</v>
      </c>
      <c r="E202" s="4" t="n">
        <v>11000</v>
      </c>
      <c r="F202" s="4" t="n">
        <v>-150</v>
      </c>
      <c r="G202" s="5" t="inlineStr">
        <is>
          <t>元/吨</t>
        </is>
      </c>
      <c r="H202" s="5" t="inlineStr">
        <is>
          <t>SMM</t>
        </is>
      </c>
    </row>
    <row r="203">
      <c r="A203" s="2" t="inlineStr">
        <is>
          <t>2026/06/18</t>
        </is>
      </c>
      <c r="B203" s="2" t="inlineStr">
        <is>
          <t>废旧磷酸铁锂铝壳电池</t>
        </is>
      </c>
      <c r="C203" s="3" t="n">
        <v>17400</v>
      </c>
      <c r="D203" s="4" t="n">
        <v>18800</v>
      </c>
      <c r="E203" s="4" t="n">
        <v>18100</v>
      </c>
      <c r="F203" s="4" t="n">
        <v>-300</v>
      </c>
      <c r="G203" s="5" t="inlineStr">
        <is>
          <t>元/吨</t>
        </is>
      </c>
      <c r="H203" s="5" t="inlineStr">
        <is>
          <t>SMM</t>
        </is>
      </c>
    </row>
    <row r="204">
      <c r="A204" s="2" t="inlineStr">
        <is>
          <t>2026/06/18</t>
        </is>
      </c>
      <c r="B204" s="2" t="inlineStr">
        <is>
          <t>方形磷酸铁锂电池B品</t>
        </is>
      </c>
      <c r="C204" s="7" t="n">
        <v>0.68</v>
      </c>
      <c r="D204" s="6" t="n">
        <v>0.8</v>
      </c>
      <c r="E204" s="6" t="n">
        <v>0.74</v>
      </c>
      <c r="F204" s="4" t="n">
        <v>0</v>
      </c>
      <c r="G204" s="5" t="inlineStr">
        <is>
          <t>元/Ah</t>
        </is>
      </c>
      <c r="H204" s="5" t="inlineStr">
        <is>
          <t>SMM</t>
        </is>
      </c>
    </row>
    <row r="205">
      <c r="A205" s="2" t="inlineStr">
        <is>
          <t>2026/06/18</t>
        </is>
      </c>
      <c r="B205" s="2" t="inlineStr">
        <is>
          <t>氧化亚镍</t>
        </is>
      </c>
      <c r="C205" s="3" t="n">
        <v>118000</v>
      </c>
      <c r="D205" s="4" t="n">
        <v>126000</v>
      </c>
      <c r="E205" s="4" t="n">
        <v>122000</v>
      </c>
      <c r="F205" s="4" t="n">
        <v>0</v>
      </c>
      <c r="G205" s="5" t="inlineStr">
        <is>
          <t>元/吨</t>
        </is>
      </c>
      <c r="H205" s="5" t="inlineStr">
        <is>
          <t>SMM</t>
        </is>
      </c>
    </row>
    <row r="206">
      <c r="A206" s="2" t="inlineStr">
        <is>
          <t>2026/06/18</t>
        </is>
      </c>
      <c r="B206" s="2" t="inlineStr">
        <is>
          <t>氧化钴</t>
        </is>
      </c>
      <c r="C206" s="3" t="n">
        <v>305000</v>
      </c>
      <c r="D206" s="4" t="n">
        <v>320000</v>
      </c>
      <c r="E206" s="4" t="n">
        <v>312500</v>
      </c>
      <c r="F206" s="4" t="n">
        <v>0</v>
      </c>
      <c r="G206" s="5" t="inlineStr">
        <is>
          <t>元/吨</t>
        </is>
      </c>
      <c r="H206" s="5" t="inlineStr">
        <is>
          <t>SMM</t>
        </is>
      </c>
    </row>
    <row r="207">
      <c r="A207" s="2" t="inlineStr">
        <is>
          <t>2026/06/18</t>
        </is>
      </c>
      <c r="B207" s="2" t="inlineStr">
        <is>
          <t>氯化钴</t>
        </is>
      </c>
      <c r="C207" s="3" t="n">
        <v>106000</v>
      </c>
      <c r="D207" s="4" t="n">
        <v>112000</v>
      </c>
      <c r="E207" s="4" t="n">
        <v>109000</v>
      </c>
      <c r="F207" s="4" t="n">
        <v>0</v>
      </c>
      <c r="G207" s="5" t="inlineStr">
        <is>
          <t>元/吨</t>
        </is>
      </c>
      <c r="H207" s="5" t="inlineStr">
        <is>
          <t>SMM</t>
        </is>
      </c>
    </row>
    <row r="208">
      <c r="A208" s="2" t="inlineStr">
        <is>
          <t>2026/06/18</t>
        </is>
      </c>
      <c r="B208" s="2" t="inlineStr">
        <is>
          <t>氯化镍NiCl₂·6H₂O</t>
        </is>
      </c>
      <c r="C208" s="3" t="n">
        <v>38500</v>
      </c>
      <c r="D208" s="4" t="n">
        <v>41000</v>
      </c>
      <c r="E208" s="4" t="n">
        <v>39750</v>
      </c>
      <c r="F208" s="4" t="n">
        <v>-250</v>
      </c>
      <c r="G208" s="5" t="inlineStr">
        <is>
          <t>元/吨</t>
        </is>
      </c>
      <c r="H208" s="5" t="inlineStr">
        <is>
          <t>SMM</t>
        </is>
      </c>
    </row>
    <row r="209">
      <c r="A209" s="2" t="inlineStr">
        <is>
          <t>2026/06/18</t>
        </is>
      </c>
      <c r="B209" s="2" t="inlineStr">
        <is>
          <t>津巴布韦锂辉石精矿（CIF中国）现货</t>
        </is>
      </c>
      <c r="C209" s="3" t="n">
        <v>2380</v>
      </c>
      <c r="D209" s="4" t="n">
        <v>2450</v>
      </c>
      <c r="E209" s="4" t="n">
        <v>2415</v>
      </c>
      <c r="F209" s="6" t="n">
        <v>-60</v>
      </c>
      <c r="G209" s="5" t="inlineStr">
        <is>
          <t>美元/吨</t>
        </is>
      </c>
      <c r="H209" s="5" t="inlineStr">
        <is>
          <t>SMM</t>
        </is>
      </c>
    </row>
    <row r="210">
      <c r="A210" s="2" t="inlineStr">
        <is>
          <t>2026/06/18</t>
        </is>
      </c>
      <c r="B210" s="2" t="inlineStr">
        <is>
          <t>澳大利亚锂辉石精矿（CIF中国）现货</t>
        </is>
      </c>
      <c r="C210" s="3" t="n">
        <v>2390</v>
      </c>
      <c r="D210" s="4" t="n">
        <v>2510</v>
      </c>
      <c r="E210" s="4" t="n">
        <v>2450</v>
      </c>
      <c r="F210" s="6" t="n">
        <v>-46</v>
      </c>
      <c r="G210" s="5" t="inlineStr">
        <is>
          <t>美元/吨</t>
        </is>
      </c>
      <c r="H210" s="5" t="inlineStr">
        <is>
          <t>SMM</t>
        </is>
      </c>
    </row>
    <row r="211">
      <c r="A211" s="2" t="inlineStr">
        <is>
          <t>2026/06/18</t>
        </is>
      </c>
      <c r="B211" s="2" t="inlineStr">
        <is>
          <t>电池级无水氯化锂</t>
        </is>
      </c>
      <c r="C211" s="3" t="n">
        <v>235</v>
      </c>
      <c r="D211" s="4" t="n">
        <v>291</v>
      </c>
      <c r="E211" s="4" t="n">
        <v>263</v>
      </c>
      <c r="F211" s="4" t="n">
        <v>0</v>
      </c>
      <c r="G211" s="5" t="inlineStr">
        <is>
          <t>元/千克</t>
        </is>
      </c>
      <c r="H211" s="5" t="inlineStr">
        <is>
          <t>SMM</t>
        </is>
      </c>
    </row>
    <row r="212">
      <c r="A212" s="2" t="inlineStr">
        <is>
          <t>2026/06/18</t>
        </is>
      </c>
      <c r="B212" s="2" t="inlineStr">
        <is>
          <t>电池级氟化锂</t>
        </is>
      </c>
      <c r="C212" s="3" t="n">
        <v>285000</v>
      </c>
      <c r="D212" s="4" t="n">
        <v>290000</v>
      </c>
      <c r="E212" s="4" t="n">
        <v>287500</v>
      </c>
      <c r="F212" s="4" t="n">
        <v>-4000</v>
      </c>
      <c r="G212" s="5" t="inlineStr">
        <is>
          <t>元/吨</t>
        </is>
      </c>
      <c r="H212" s="5" t="inlineStr">
        <is>
          <t>SMM</t>
        </is>
      </c>
    </row>
    <row r="213">
      <c r="A213" s="2" t="inlineStr">
        <is>
          <t>2026/06/18</t>
        </is>
      </c>
      <c r="B213" s="2" t="inlineStr">
        <is>
          <t>电池级氢氧化锂(CIF中日韩)</t>
        </is>
      </c>
      <c r="C213" s="7" t="n">
        <v>17.9</v>
      </c>
      <c r="D213" s="6" t="n">
        <v>21</v>
      </c>
      <c r="E213" s="6" t="n">
        <v>19.45</v>
      </c>
      <c r="F213" s="6" t="n">
        <v>-0.2</v>
      </c>
      <c r="G213" s="5" t="inlineStr">
        <is>
          <t>美元/千克</t>
        </is>
      </c>
      <c r="H213" s="5" t="inlineStr">
        <is>
          <t>SMM</t>
        </is>
      </c>
    </row>
    <row r="214">
      <c r="A214" s="2" t="inlineStr">
        <is>
          <t>2026/06/18</t>
        </is>
      </c>
      <c r="B214" s="2" t="inlineStr">
        <is>
          <t>电池级氢氧化锂(CIF韩国)</t>
        </is>
      </c>
      <c r="C214" s="7" t="n">
        <v>17.75</v>
      </c>
      <c r="D214" s="6" t="n">
        <v>20.95</v>
      </c>
      <c r="E214" s="6" t="n">
        <v>19.35</v>
      </c>
      <c r="F214" s="6" t="n">
        <v>-0.2</v>
      </c>
      <c r="G214" s="5" t="inlineStr">
        <is>
          <t>美元/千克</t>
        </is>
      </c>
      <c r="H214" s="5" t="inlineStr">
        <is>
          <t>SMM</t>
        </is>
      </c>
    </row>
    <row r="215">
      <c r="A215" s="2" t="inlineStr">
        <is>
          <t>2026/06/18</t>
        </is>
      </c>
      <c r="B215" s="2" t="inlineStr">
        <is>
          <t>电池级氢氧化锂(微粉）</t>
        </is>
      </c>
      <c r="C215" s="3" t="n">
        <v>152000</v>
      </c>
      <c r="D215" s="4" t="n">
        <v>165000</v>
      </c>
      <c r="E215" s="4" t="n">
        <v>158500</v>
      </c>
      <c r="F215" s="4" t="n">
        <v>-2000</v>
      </c>
      <c r="G215" s="5" t="inlineStr">
        <is>
          <t>元/吨</t>
        </is>
      </c>
      <c r="H215" s="5" t="inlineStr">
        <is>
          <t>SMM</t>
        </is>
      </c>
    </row>
    <row r="216">
      <c r="A216" s="2" t="inlineStr">
        <is>
          <t>2026/06/18</t>
        </is>
      </c>
      <c r="B216" s="2" t="inlineStr">
        <is>
          <t>电池级氢氧化锂（粗颗粒）</t>
        </is>
      </c>
      <c r="C216" s="3" t="n">
        <v>145000</v>
      </c>
      <c r="D216" s="4" t="n">
        <v>160000</v>
      </c>
      <c r="E216" s="4" t="n">
        <v>152500</v>
      </c>
      <c r="F216" s="4" t="n">
        <v>-2000</v>
      </c>
      <c r="G216" s="5" t="inlineStr">
        <is>
          <t>元/吨</t>
        </is>
      </c>
      <c r="H216" s="5" t="inlineStr">
        <is>
          <t>SMM</t>
        </is>
      </c>
    </row>
    <row r="217">
      <c r="A217" s="2" t="inlineStr">
        <is>
          <t>2026/06/18</t>
        </is>
      </c>
      <c r="B217" s="2" t="inlineStr">
        <is>
          <t>电池级硫酸锰（出厂价）</t>
        </is>
      </c>
      <c r="C217" s="3" t="n">
        <v>7590</v>
      </c>
      <c r="D217" s="4" t="n">
        <v>7790</v>
      </c>
      <c r="E217" s="4" t="n">
        <v>7690</v>
      </c>
      <c r="F217" s="4" t="n">
        <v>0</v>
      </c>
      <c r="G217" s="5" t="inlineStr">
        <is>
          <t>元/吨</t>
        </is>
      </c>
      <c r="H217" s="5" t="inlineStr">
        <is>
          <t>SMM</t>
        </is>
      </c>
    </row>
    <row r="218">
      <c r="A218" s="2" t="inlineStr">
        <is>
          <t>2026/06/18</t>
        </is>
      </c>
      <c r="B218" s="2" t="inlineStr">
        <is>
          <t>电池级硫酸镍</t>
        </is>
      </c>
      <c r="C218" s="3" t="n">
        <v>33370</v>
      </c>
      <c r="D218" s="4" t="n">
        <v>33750</v>
      </c>
      <c r="E218" s="4" t="n">
        <v>33560</v>
      </c>
      <c r="F218" s="6" t="n">
        <v>-50</v>
      </c>
      <c r="G218" s="5" t="inlineStr">
        <is>
          <t>元/吨</t>
        </is>
      </c>
      <c r="H218" s="5" t="inlineStr">
        <is>
          <t>SMM</t>
        </is>
      </c>
    </row>
    <row r="219">
      <c r="A219" s="2" t="inlineStr">
        <is>
          <t>2026/06/18</t>
        </is>
      </c>
      <c r="B219" s="2" t="inlineStr">
        <is>
          <t>电池级碳酸锂</t>
        </is>
      </c>
      <c r="C219" s="3" t="n">
        <v>164500</v>
      </c>
      <c r="D219" s="4" t="n">
        <v>170000</v>
      </c>
      <c r="E219" s="4" t="n">
        <v>167250</v>
      </c>
      <c r="F219" s="4" t="n">
        <v>-2250</v>
      </c>
      <c r="G219" s="5" t="inlineStr">
        <is>
          <t>元/吨</t>
        </is>
      </c>
      <c r="H219" s="5" t="inlineStr">
        <is>
          <t>SMM</t>
        </is>
      </c>
    </row>
    <row r="220">
      <c r="A220" s="2" t="inlineStr">
        <is>
          <t>2026/06/18</t>
        </is>
      </c>
      <c r="B220" s="2" t="inlineStr">
        <is>
          <t>电池级碳酸锂(CIF韩国)</t>
        </is>
      </c>
      <c r="C220" s="7" t="n">
        <v>19.95</v>
      </c>
      <c r="D220" s="6" t="n">
        <v>21.95</v>
      </c>
      <c r="E220" s="6" t="n">
        <v>20.95</v>
      </c>
      <c r="F220" s="6" t="n">
        <v>-0.2</v>
      </c>
      <c r="G220" s="5" t="inlineStr">
        <is>
          <t>美元/千克</t>
        </is>
      </c>
      <c r="H220" s="5" t="inlineStr">
        <is>
          <t>SMM</t>
        </is>
      </c>
    </row>
    <row r="221">
      <c r="A221" s="2" t="inlineStr">
        <is>
          <t>2026/06/18</t>
        </is>
      </c>
      <c r="B221" s="2" t="inlineStr">
        <is>
          <t>电池级碳酸锂（CIF中日韩）</t>
        </is>
      </c>
      <c r="C221" s="7" t="n">
        <v>20.15</v>
      </c>
      <c r="D221" s="6" t="n">
        <v>22</v>
      </c>
      <c r="E221" s="6" t="n">
        <v>21.08</v>
      </c>
      <c r="F221" s="6" t="n">
        <v>-0.2</v>
      </c>
      <c r="G221" s="5" t="inlineStr">
        <is>
          <t>美元/千克</t>
        </is>
      </c>
      <c r="H221" s="5" t="inlineStr">
        <is>
          <t>SMM</t>
        </is>
      </c>
    </row>
    <row r="222">
      <c r="A222" s="2" t="inlineStr">
        <is>
          <t>2026/06/18</t>
        </is>
      </c>
      <c r="B222" s="2" t="inlineStr">
        <is>
          <t>电池级金属锂</t>
        </is>
      </c>
      <c r="C222" s="3" t="n">
        <v>1100000</v>
      </c>
      <c r="D222" s="4" t="n">
        <v>1160000</v>
      </c>
      <c r="E222" s="4" t="n">
        <v>1130000</v>
      </c>
      <c r="F222" s="4" t="n">
        <v>-5000</v>
      </c>
      <c r="G222" s="5" t="inlineStr">
        <is>
          <t>元/吨</t>
        </is>
      </c>
      <c r="H222" s="5" t="inlineStr">
        <is>
          <t>SMM</t>
        </is>
      </c>
    </row>
    <row r="223">
      <c r="A223" s="2" t="inlineStr">
        <is>
          <t>2026/06/18</t>
        </is>
      </c>
      <c r="B223" s="2" t="inlineStr">
        <is>
          <t>电解钴</t>
        </is>
      </c>
      <c r="C223" s="3" t="n">
        <v>372000</v>
      </c>
      <c r="D223" s="4" t="n">
        <v>395000</v>
      </c>
      <c r="E223" s="4" t="n">
        <v>383500</v>
      </c>
      <c r="F223" s="4" t="n">
        <v>-10000</v>
      </c>
      <c r="G223" s="5" t="inlineStr">
        <is>
          <t>元/吨</t>
        </is>
      </c>
      <c r="H223" s="5" t="inlineStr">
        <is>
          <t>SMM</t>
        </is>
      </c>
    </row>
    <row r="224">
      <c r="A224" s="2" t="inlineStr">
        <is>
          <t>2026/06/18</t>
        </is>
      </c>
      <c r="B224" s="2" t="inlineStr">
        <is>
          <t>电解钴（鹿特丹仓库）</t>
        </is>
      </c>
      <c r="C224" s="7" t="n">
        <v>25.5</v>
      </c>
      <c r="D224" s="6" t="n">
        <v>27</v>
      </c>
      <c r="E224" s="6" t="n">
        <v>26.25</v>
      </c>
      <c r="F224" s="4" t="n">
        <v>0</v>
      </c>
      <c r="G224" s="5" t="inlineStr">
        <is>
          <t>美元/磅</t>
        </is>
      </c>
      <c r="H224" s="5" t="inlineStr">
        <is>
          <t>SMM</t>
        </is>
      </c>
    </row>
    <row r="225">
      <c r="A225" s="2" t="inlineStr">
        <is>
          <t>2026/06/18</t>
        </is>
      </c>
      <c r="B225" s="2" t="inlineStr">
        <is>
          <t>电镀级硫酸镍</t>
        </is>
      </c>
      <c r="C225" s="3" t="n">
        <v>32500</v>
      </c>
      <c r="D225" s="4" t="n">
        <v>37000</v>
      </c>
      <c r="E225" s="4" t="n">
        <v>34750</v>
      </c>
      <c r="F225" s="4" t="n">
        <v>-2000</v>
      </c>
      <c r="G225" s="5" t="inlineStr">
        <is>
          <t>元/吨</t>
        </is>
      </c>
      <c r="H225" s="5" t="inlineStr">
        <is>
          <t>SMM</t>
        </is>
      </c>
    </row>
    <row r="226">
      <c r="A226" s="2" t="inlineStr">
        <is>
          <t>2026/06/18</t>
        </is>
      </c>
      <c r="B226" s="2" t="inlineStr">
        <is>
          <t>硫酸钴</t>
        </is>
      </c>
      <c r="C226" s="3" t="n">
        <v>87000</v>
      </c>
      <c r="D226" s="4" t="n">
        <v>90000</v>
      </c>
      <c r="E226" s="4" t="n">
        <v>88500</v>
      </c>
      <c r="F226" s="4" t="n">
        <v>0</v>
      </c>
      <c r="G226" s="5" t="inlineStr">
        <is>
          <t>元/吨</t>
        </is>
      </c>
      <c r="H226" s="5" t="inlineStr">
        <is>
          <t>SMM</t>
        </is>
      </c>
    </row>
    <row r="227">
      <c r="A227" s="2" t="inlineStr">
        <is>
          <t>2026/06/18</t>
        </is>
      </c>
      <c r="B227" s="2" t="inlineStr">
        <is>
          <t>碳酸钴</t>
        </is>
      </c>
      <c r="C227" s="3" t="n">
        <v>210000</v>
      </c>
      <c r="D227" s="4" t="n">
        <v>220000</v>
      </c>
      <c r="E227" s="4" t="n">
        <v>215000</v>
      </c>
      <c r="F227" s="4" t="n">
        <v>-2500</v>
      </c>
      <c r="G227" s="5" t="inlineStr">
        <is>
          <t>元/吨</t>
        </is>
      </c>
      <c r="H227" s="5" t="inlineStr">
        <is>
          <t>SMM</t>
        </is>
      </c>
    </row>
    <row r="228">
      <c r="A228" s="2" t="inlineStr">
        <is>
          <t>2026/06/18</t>
        </is>
      </c>
      <c r="B228" s="2" t="inlineStr">
        <is>
          <t>磷酸铁锂</t>
        </is>
      </c>
      <c r="C228" s="3" t="n">
        <v>59180</v>
      </c>
      <c r="D228" s="4" t="n">
        <v>59780</v>
      </c>
      <c r="E228" s="4" t="n">
        <v>59480</v>
      </c>
      <c r="F228" s="4" t="n">
        <v>-550</v>
      </c>
      <c r="G228" s="5" t="inlineStr">
        <is>
          <t>元/吨</t>
        </is>
      </c>
      <c r="H228" s="5" t="inlineStr">
        <is>
          <t>SMM</t>
        </is>
      </c>
    </row>
    <row r="229">
      <c r="A229" s="2" t="inlineStr">
        <is>
          <t>2026/06/18</t>
        </is>
      </c>
      <c r="B229" s="2" t="inlineStr">
        <is>
          <t>磷酸锰铁锂</t>
        </is>
      </c>
      <c r="C229" s="3" t="n">
        <v>64500</v>
      </c>
      <c r="D229" s="4" t="n">
        <v>69500</v>
      </c>
      <c r="E229" s="4" t="n">
        <v>67000</v>
      </c>
      <c r="F229" s="4" t="n">
        <v>0</v>
      </c>
      <c r="G229" s="5" t="inlineStr">
        <is>
          <t>元/吨</t>
        </is>
      </c>
      <c r="H229" s="5" t="inlineStr">
        <is>
          <t>SMM</t>
        </is>
      </c>
    </row>
    <row r="230">
      <c r="A230" s="2" t="inlineStr">
        <is>
          <t>2026/06/18</t>
        </is>
      </c>
      <c r="B230" s="2" t="inlineStr">
        <is>
          <t>金属钴FOB</t>
        </is>
      </c>
      <c r="C230" s="7" t="n">
        <v>24.5</v>
      </c>
      <c r="D230" s="6" t="n">
        <v>25.5</v>
      </c>
      <c r="E230" s="6" t="n">
        <v>25</v>
      </c>
      <c r="F230" s="6" t="n">
        <v>-0.13</v>
      </c>
      <c r="G230" s="5" t="inlineStr">
        <is>
          <t>美元/磅</t>
        </is>
      </c>
      <c r="H230" s="5" t="inlineStr">
        <is>
          <t>SMM</t>
        </is>
      </c>
    </row>
    <row r="231">
      <c r="A231" s="2" t="inlineStr">
        <is>
          <t>2026/06/18</t>
        </is>
      </c>
      <c r="B231" s="2" t="inlineStr">
        <is>
          <t>钴中间品中钴含量≥30%</t>
        </is>
      </c>
      <c r="C231" s="3" t="n">
        <v>26783</v>
      </c>
      <c r="D231" s="4" t="n">
        <v>26783</v>
      </c>
      <c r="E231" s="4" t="n">
        <v>26783</v>
      </c>
      <c r="F231" s="4" t="n">
        <v>1046</v>
      </c>
      <c r="G231" s="5" t="inlineStr">
        <is>
          <t>元/金属吨</t>
        </is>
      </c>
      <c r="H231" s="5" t="inlineStr">
        <is>
          <t>SMM</t>
        </is>
      </c>
    </row>
    <row r="232">
      <c r="A232" s="2" t="inlineStr">
        <is>
          <t>2026/06/18</t>
        </is>
      </c>
      <c r="B232" s="2" t="inlineStr">
        <is>
          <t>钴中间品原料计价系数（对SMM硫酸钴均价）</t>
        </is>
      </c>
      <c r="C232" s="7" t="n">
        <v>99</v>
      </c>
      <c r="D232" s="4" t="n">
        <v>100</v>
      </c>
      <c r="E232" s="6" t="n">
        <v>99.5</v>
      </c>
      <c r="F232" s="4" t="n">
        <v>0</v>
      </c>
      <c r="G232" s="5" t="inlineStr">
        <is>
          <t>%</t>
        </is>
      </c>
      <c r="H232" s="5" t="inlineStr">
        <is>
          <t>SMM</t>
        </is>
      </c>
    </row>
    <row r="233">
      <c r="A233" s="2" t="inlineStr">
        <is>
          <t>2026/06/18</t>
        </is>
      </c>
      <c r="B233" s="2" t="inlineStr">
        <is>
          <t>钴酸锂</t>
        </is>
      </c>
      <c r="C233" s="3" t="n">
        <v>380000</v>
      </c>
      <c r="D233" s="4" t="n">
        <v>383000</v>
      </c>
      <c r="E233" s="4" t="n">
        <v>381500</v>
      </c>
      <c r="F233" s="4" t="n">
        <v>0</v>
      </c>
      <c r="G233" s="5" t="inlineStr">
        <is>
          <t>元/吨</t>
        </is>
      </c>
      <c r="H233" s="5" t="inlineStr">
        <is>
          <t>SMM</t>
        </is>
      </c>
    </row>
    <row r="234">
      <c r="A234" s="2" t="inlineStr">
        <is>
          <t>2026/06/18</t>
        </is>
      </c>
      <c r="B234" s="2" t="inlineStr">
        <is>
          <t>钴酸锂聚合物软包</t>
        </is>
      </c>
      <c r="C234" s="3" t="n">
        <v>98000</v>
      </c>
      <c r="D234" s="4" t="n">
        <v>101000</v>
      </c>
      <c r="E234" s="4" t="n">
        <v>99500</v>
      </c>
      <c r="F234" s="4" t="n">
        <v>-100</v>
      </c>
      <c r="G234" s="5" t="inlineStr">
        <is>
          <t>元/吨</t>
        </is>
      </c>
      <c r="H234" s="5" t="inlineStr">
        <is>
          <t>SMM</t>
        </is>
      </c>
    </row>
    <row r="235">
      <c r="A235" s="2" t="inlineStr">
        <is>
          <t>2026/06/18</t>
        </is>
      </c>
      <c r="B235" s="2" t="inlineStr">
        <is>
          <t>钴酸锂铝壳</t>
        </is>
      </c>
      <c r="C235" s="3" t="n">
        <v>84000</v>
      </c>
      <c r="D235" s="4" t="n">
        <v>94000</v>
      </c>
      <c r="E235" s="4" t="n">
        <v>89000</v>
      </c>
      <c r="F235" s="4" t="n">
        <v>0</v>
      </c>
      <c r="G235" s="5" t="inlineStr">
        <is>
          <t>元/吨</t>
        </is>
      </c>
      <c r="H235" s="5" t="inlineStr">
        <is>
          <t>SMM</t>
        </is>
      </c>
    </row>
    <row r="236">
      <c r="A236" s="2" t="inlineStr">
        <is>
          <t>2026/06/18</t>
        </is>
      </c>
      <c r="B236" s="2" t="inlineStr">
        <is>
          <t>锰酸锂圆柱钢壳</t>
        </is>
      </c>
      <c r="C236" s="3" t="n">
        <v>5000</v>
      </c>
      <c r="D236" s="4" t="n">
        <v>7400</v>
      </c>
      <c r="E236" s="4" t="n">
        <v>6200</v>
      </c>
      <c r="F236" s="4" t="n">
        <v>0</v>
      </c>
      <c r="G236" s="5" t="inlineStr">
        <is>
          <t>元/吨</t>
        </is>
      </c>
      <c r="H236" s="5" t="inlineStr">
        <is>
          <t>SMM</t>
        </is>
      </c>
    </row>
    <row r="237">
      <c r="A237" s="2" t="inlineStr">
        <is>
          <t>2026/06/18</t>
        </is>
      </c>
      <c r="B237" s="2" t="inlineStr">
        <is>
          <t>非洲硫酸锂(CIF中国)</t>
        </is>
      </c>
      <c r="C237" s="3" t="n">
        <v>8020</v>
      </c>
      <c r="D237" s="4" t="n">
        <v>8319</v>
      </c>
      <c r="E237" s="4" t="n">
        <v>8169.5</v>
      </c>
      <c r="F237" s="4" t="n">
        <v>-130</v>
      </c>
      <c r="G237" s="5" t="inlineStr">
        <is>
          <t>美元/吨</t>
        </is>
      </c>
      <c r="H237" s="5" t="inlineStr">
        <is>
          <t>SMM</t>
        </is>
      </c>
    </row>
    <row r="238">
      <c r="A238" s="2" t="inlineStr">
        <is>
          <t>2026/06/18</t>
        </is>
      </c>
      <c r="B238" s="2" t="inlineStr">
        <is>
          <t>非洲锂辉石精矿（CIF中国）指数</t>
        </is>
      </c>
      <c r="C238" s="3" t="n">
        <v>2398</v>
      </c>
      <c r="D238" s="4" t="n">
        <v>2398</v>
      </c>
      <c r="E238" s="4" t="n">
        <v>2398</v>
      </c>
      <c r="F238" s="6" t="n">
        <v>-72</v>
      </c>
      <c r="G238" s="5" t="inlineStr">
        <is>
          <t>美元/吨</t>
        </is>
      </c>
      <c r="H238" s="5" t="inlineStr">
        <is>
          <t>SMM</t>
        </is>
      </c>
    </row>
    <row r="239">
      <c r="A239" s="2" t="inlineStr">
        <is>
          <t>2026/06/19</t>
        </is>
      </c>
      <c r="B239" s="2" t="inlineStr">
        <is>
          <t>5系三元前驱体</t>
        </is>
      </c>
      <c r="C239" s="3" t="n">
        <v>100900</v>
      </c>
      <c r="D239" s="4" t="n">
        <v>106100</v>
      </c>
      <c r="E239" s="4" t="n">
        <v>103500</v>
      </c>
      <c r="F239" s="6" t="n">
        <v>-50</v>
      </c>
      <c r="G239" s="5" t="inlineStr">
        <is>
          <t>元/吨</t>
        </is>
      </c>
      <c r="H239" s="5" t="inlineStr">
        <is>
          <t>SMM</t>
        </is>
      </c>
    </row>
    <row r="240">
      <c r="A240" s="2" t="inlineStr">
        <is>
          <t>2026/06/19</t>
        </is>
      </c>
      <c r="B240" s="2" t="inlineStr">
        <is>
          <t>5系三元材料</t>
        </is>
      </c>
      <c r="C240" s="3" t="n">
        <v>185500</v>
      </c>
      <c r="D240" s="4" t="n">
        <v>193400</v>
      </c>
      <c r="E240" s="4" t="n">
        <v>189450</v>
      </c>
      <c r="F240" s="4" t="n">
        <v>-1100</v>
      </c>
      <c r="G240" s="5" t="inlineStr">
        <is>
          <t>元/吨</t>
        </is>
      </c>
      <c r="H240" s="5" t="inlineStr">
        <is>
          <t>SMM</t>
        </is>
      </c>
    </row>
    <row r="241">
      <c r="A241" s="2" t="inlineStr">
        <is>
          <t>2026/06/19</t>
        </is>
      </c>
      <c r="B241" s="2" t="inlineStr">
        <is>
          <t>6系三元前驱体（单晶/动力型）</t>
        </is>
      </c>
      <c r="C241" s="3" t="n">
        <v>93750</v>
      </c>
      <c r="D241" s="4" t="n">
        <v>98450</v>
      </c>
      <c r="E241" s="4" t="n">
        <v>96100</v>
      </c>
      <c r="F241" s="6" t="n">
        <v>-50</v>
      </c>
      <c r="G241" s="5" t="inlineStr">
        <is>
          <t>元/吨</t>
        </is>
      </c>
      <c r="H241" s="5" t="inlineStr">
        <is>
          <t>SMM</t>
        </is>
      </c>
    </row>
    <row r="242">
      <c r="A242" s="2" t="inlineStr">
        <is>
          <t>2026/06/19</t>
        </is>
      </c>
      <c r="B242" s="2" t="inlineStr">
        <is>
          <t>6系三元材料（单晶/动力型）</t>
        </is>
      </c>
      <c r="C242" s="3" t="n">
        <v>190000</v>
      </c>
      <c r="D242" s="4" t="n">
        <v>199500</v>
      </c>
      <c r="E242" s="4" t="n">
        <v>194750</v>
      </c>
      <c r="F242" s="4" t="n">
        <v>-800</v>
      </c>
      <c r="G242" s="5" t="inlineStr">
        <is>
          <t>元/吨</t>
        </is>
      </c>
      <c r="H242" s="5" t="inlineStr">
        <is>
          <t>SMM</t>
        </is>
      </c>
    </row>
    <row r="243">
      <c r="A243" s="2" t="inlineStr">
        <is>
          <t>2026/06/19</t>
        </is>
      </c>
      <c r="B243" s="2" t="inlineStr">
        <is>
          <t>8系三元前驱体（多晶/动力型）</t>
        </is>
      </c>
      <c r="C243" s="3" t="n">
        <v>116300</v>
      </c>
      <c r="D243" s="4" t="n">
        <v>122000</v>
      </c>
      <c r="E243" s="4" t="n">
        <v>119150</v>
      </c>
      <c r="F243" s="6" t="n">
        <v>-50</v>
      </c>
      <c r="G243" s="5" t="inlineStr">
        <is>
          <t>元/吨</t>
        </is>
      </c>
      <c r="H243" s="5" t="inlineStr">
        <is>
          <t>SMM</t>
        </is>
      </c>
    </row>
    <row r="244">
      <c r="A244" s="2" t="inlineStr">
        <is>
          <t>2026/06/19</t>
        </is>
      </c>
      <c r="B244" s="2" t="inlineStr">
        <is>
          <t>8系三元材料</t>
        </is>
      </c>
      <c r="C244" s="3" t="n">
        <v>213200</v>
      </c>
      <c r="D244" s="4" t="n">
        <v>222800</v>
      </c>
      <c r="E244" s="4" t="n">
        <v>218000</v>
      </c>
      <c r="F244" s="4" t="n">
        <v>-800</v>
      </c>
      <c r="G244" s="5" t="inlineStr">
        <is>
          <t>元/吨</t>
        </is>
      </c>
      <c r="H244" s="5" t="inlineStr">
        <is>
          <t>SMM</t>
        </is>
      </c>
    </row>
    <row r="245">
      <c r="A245" s="2" t="inlineStr">
        <is>
          <t>2026/06/19</t>
        </is>
      </c>
      <c r="B245" s="2" t="inlineStr">
        <is>
          <t>MHP系数（对SMM电池级硫酸镍指数）</t>
        </is>
      </c>
      <c r="C245" s="7" t="n">
        <v>86</v>
      </c>
      <c r="D245" s="6" t="n">
        <v>87</v>
      </c>
      <c r="E245" s="6" t="n">
        <v>86.5</v>
      </c>
      <c r="F245" s="4" t="n">
        <v>0</v>
      </c>
      <c r="G245" s="5" t="inlineStr">
        <is>
          <t>%</t>
        </is>
      </c>
      <c r="H245" s="5" t="inlineStr">
        <is>
          <t>SMM</t>
        </is>
      </c>
    </row>
    <row r="246">
      <c r="A246" s="2" t="inlineStr">
        <is>
          <t>2026/06/19</t>
        </is>
      </c>
      <c r="B246" s="2" t="inlineStr">
        <is>
          <t>MHP钴元素计价系数（对SMM硫酸钴均价）</t>
        </is>
      </c>
      <c r="C246" s="7" t="n">
        <v>92</v>
      </c>
      <c r="D246" s="6" t="n">
        <v>93</v>
      </c>
      <c r="E246" s="6" t="n">
        <v>92.5</v>
      </c>
      <c r="F246" s="4" t="n">
        <v>0</v>
      </c>
      <c r="G246" s="5" t="inlineStr">
        <is>
          <t>%</t>
        </is>
      </c>
      <c r="H246" s="5" t="inlineStr">
        <is>
          <t>SMM</t>
        </is>
      </c>
    </row>
    <row r="247">
      <c r="A247" s="2" t="inlineStr">
        <is>
          <t>2026/06/19</t>
        </is>
      </c>
      <c r="B247" s="2" t="inlineStr">
        <is>
          <t>NCA三元材料</t>
        </is>
      </c>
      <c r="C247" s="3" t="n">
        <v>210300</v>
      </c>
      <c r="D247" s="4" t="n">
        <v>218600</v>
      </c>
      <c r="E247" s="4" t="n">
        <v>214450</v>
      </c>
      <c r="F247" s="4" t="n">
        <v>-800</v>
      </c>
      <c r="G247" s="5" t="inlineStr">
        <is>
          <t>元/吨</t>
        </is>
      </c>
      <c r="H247" s="5" t="inlineStr">
        <is>
          <t>SMM</t>
        </is>
      </c>
    </row>
    <row r="248">
      <c r="A248" s="2" t="inlineStr">
        <is>
          <t>2026/06/19</t>
        </is>
      </c>
      <c r="B248" s="2" t="inlineStr">
        <is>
          <t>SMM三元极片粉钴系数指数</t>
        </is>
      </c>
      <c r="C248" s="7" t="n">
        <v>78.98999999999999</v>
      </c>
      <c r="D248" s="6" t="n">
        <v>78.98999999999999</v>
      </c>
      <c r="E248" s="6" t="n">
        <v>78.98999999999999</v>
      </c>
      <c r="F248" s="6" t="n">
        <v>-0.01</v>
      </c>
      <c r="G248" s="5" t="inlineStr">
        <is>
          <t>%</t>
        </is>
      </c>
      <c r="H248" s="5" t="inlineStr">
        <is>
          <t>SMM</t>
        </is>
      </c>
    </row>
    <row r="249">
      <c r="A249" s="2" t="inlineStr">
        <is>
          <t>2026/06/19</t>
        </is>
      </c>
      <c r="B249" s="2" t="inlineStr">
        <is>
          <t>SMM三元极片粉锂系数指数</t>
        </is>
      </c>
      <c r="C249" s="7" t="n">
        <v>79</v>
      </c>
      <c r="D249" s="6" t="n">
        <v>79</v>
      </c>
      <c r="E249" s="6" t="n">
        <v>79</v>
      </c>
      <c r="F249" s="6" t="n">
        <v>-0.05</v>
      </c>
      <c r="G249" s="5" t="inlineStr">
        <is>
          <t>%</t>
        </is>
      </c>
      <c r="H249" s="5" t="inlineStr">
        <is>
          <t>SMM</t>
        </is>
      </c>
    </row>
    <row r="250">
      <c r="A250" s="2" t="inlineStr">
        <is>
          <t>2026/06/19</t>
        </is>
      </c>
      <c r="B250" s="2" t="inlineStr">
        <is>
          <t>SMM三元极片粉镍系数指数</t>
        </is>
      </c>
      <c r="C250" s="7" t="n">
        <v>79</v>
      </c>
      <c r="D250" s="6" t="n">
        <v>79</v>
      </c>
      <c r="E250" s="6" t="n">
        <v>79</v>
      </c>
      <c r="F250" s="6" t="n">
        <v>-0.05</v>
      </c>
      <c r="G250" s="5" t="inlineStr">
        <is>
          <t>%</t>
        </is>
      </c>
      <c r="H250" s="5" t="inlineStr">
        <is>
          <t>SMM</t>
        </is>
      </c>
    </row>
    <row r="251">
      <c r="A251" s="2" t="inlineStr">
        <is>
          <t>2026/06/19</t>
        </is>
      </c>
      <c r="B251" s="2" t="inlineStr">
        <is>
          <t>SMM三元电池粉钴系数指数</t>
        </is>
      </c>
      <c r="C251" s="7" t="n">
        <v>75.72</v>
      </c>
      <c r="D251" s="6" t="n">
        <v>75.72</v>
      </c>
      <c r="E251" s="6" t="n">
        <v>75.72</v>
      </c>
      <c r="F251" s="4" t="n">
        <v>0</v>
      </c>
      <c r="G251" s="5" t="inlineStr">
        <is>
          <t>%</t>
        </is>
      </c>
      <c r="H251" s="5" t="inlineStr">
        <is>
          <t>SMM</t>
        </is>
      </c>
    </row>
    <row r="252">
      <c r="A252" s="2" t="inlineStr">
        <is>
          <t>2026/06/19</t>
        </is>
      </c>
      <c r="B252" s="2" t="inlineStr">
        <is>
          <t>SMM三元电池粉锂系数指数</t>
        </is>
      </c>
      <c r="C252" s="7" t="n">
        <v>75.73</v>
      </c>
      <c r="D252" s="6" t="n">
        <v>75.73</v>
      </c>
      <c r="E252" s="6" t="n">
        <v>75.73</v>
      </c>
      <c r="F252" s="6" t="n">
        <v>-0.1</v>
      </c>
      <c r="G252" s="5" t="inlineStr">
        <is>
          <t>%</t>
        </is>
      </c>
      <c r="H252" s="5" t="inlineStr">
        <is>
          <t>SMM</t>
        </is>
      </c>
    </row>
    <row r="253">
      <c r="A253" s="2" t="inlineStr">
        <is>
          <t>2026/06/19</t>
        </is>
      </c>
      <c r="B253" s="2" t="inlineStr">
        <is>
          <t>SMM三元电池粉镍系数指数</t>
        </is>
      </c>
      <c r="C253" s="7" t="n">
        <v>75.73</v>
      </c>
      <c r="D253" s="6" t="n">
        <v>75.73</v>
      </c>
      <c r="E253" s="6" t="n">
        <v>75.73</v>
      </c>
      <c r="F253" s="6" t="n">
        <v>-0.1</v>
      </c>
      <c r="G253" s="5" t="inlineStr">
        <is>
          <t>%</t>
        </is>
      </c>
      <c r="H253" s="5" t="inlineStr">
        <is>
          <t>SMM</t>
        </is>
      </c>
    </row>
    <row r="254">
      <c r="A254" s="2" t="inlineStr">
        <is>
          <t>2026/06/19</t>
        </is>
      </c>
      <c r="B254" s="2" t="inlineStr">
        <is>
          <t>SMM六氟磷酸锂指数</t>
        </is>
      </c>
      <c r="C254" s="3" t="n">
        <v>101802</v>
      </c>
      <c r="D254" s="4" t="n">
        <v>105958</v>
      </c>
      <c r="E254" s="4" t="n">
        <v>103880</v>
      </c>
      <c r="F254" s="4" t="n">
        <v>-508.5</v>
      </c>
      <c r="G254" s="5" t="inlineStr">
        <is>
          <t>元/吨</t>
        </is>
      </c>
      <c r="H254" s="5" t="inlineStr">
        <is>
          <t>SMM</t>
        </is>
      </c>
    </row>
    <row r="255">
      <c r="A255" s="2" t="inlineStr">
        <is>
          <t>2026/06/19</t>
        </is>
      </c>
      <c r="B255" s="2" t="inlineStr">
        <is>
          <t>SMM电池级氢氧化锂指数</t>
        </is>
      </c>
      <c r="C255" s="3" t="n">
        <v>152617</v>
      </c>
      <c r="D255" s="4" t="n">
        <v>152617</v>
      </c>
      <c r="E255" s="4" t="n">
        <v>152617</v>
      </c>
      <c r="F255" s="4" t="n">
        <v>-2079</v>
      </c>
      <c r="G255" s="5" t="inlineStr">
        <is>
          <t>元/吨</t>
        </is>
      </c>
      <c r="H255" s="5" t="inlineStr">
        <is>
          <t>SMM</t>
        </is>
      </c>
    </row>
    <row r="256">
      <c r="A256" s="2" t="inlineStr">
        <is>
          <t>2026/06/19</t>
        </is>
      </c>
      <c r="B256" s="2" t="inlineStr">
        <is>
          <t>SMM电池级硫酸锰指数</t>
        </is>
      </c>
      <c r="C256" s="3" t="n">
        <v>7658</v>
      </c>
      <c r="D256" s="4" t="n">
        <v>7658</v>
      </c>
      <c r="E256" s="4" t="n">
        <v>7658</v>
      </c>
      <c r="F256" s="6" t="n">
        <v>3</v>
      </c>
      <c r="G256" s="5" t="inlineStr">
        <is>
          <t>元/吨</t>
        </is>
      </c>
      <c r="H256" s="5" t="inlineStr">
        <is>
          <t>SMM</t>
        </is>
      </c>
    </row>
    <row r="257">
      <c r="A257" s="2" t="inlineStr">
        <is>
          <t>2026/06/19</t>
        </is>
      </c>
      <c r="B257" s="2" t="inlineStr">
        <is>
          <t>SMM电池级硫酸镍指数</t>
        </is>
      </c>
      <c r="C257" s="3" t="n">
        <v>33000</v>
      </c>
      <c r="D257" s="4" t="n">
        <v>33000</v>
      </c>
      <c r="E257" s="4" t="n">
        <v>33000</v>
      </c>
      <c r="F257" s="6" t="n">
        <v>-42</v>
      </c>
      <c r="G257" s="5" t="inlineStr">
        <is>
          <t>元/吨</t>
        </is>
      </c>
      <c r="H257" s="5" t="inlineStr">
        <is>
          <t>SMM</t>
        </is>
      </c>
    </row>
    <row r="258">
      <c r="A258" s="2" t="inlineStr">
        <is>
          <t>2026/06/19</t>
        </is>
      </c>
      <c r="B258" s="2" t="inlineStr">
        <is>
          <t>SMM电池级碳酸锂指数</t>
        </is>
      </c>
      <c r="C258" s="3" t="n">
        <v>167053</v>
      </c>
      <c r="D258" s="4" t="n">
        <v>167053</v>
      </c>
      <c r="E258" s="4" t="n">
        <v>167053</v>
      </c>
      <c r="F258" s="4" t="n">
        <v>-1430</v>
      </c>
      <c r="G258" s="5" t="inlineStr">
        <is>
          <t>元/吨</t>
        </is>
      </c>
      <c r="H258" s="5" t="inlineStr">
        <is>
          <t>SMM</t>
        </is>
      </c>
    </row>
    <row r="259">
      <c r="A259" s="2" t="inlineStr">
        <is>
          <t>2026/06/19</t>
        </is>
      </c>
      <c r="B259" s="2" t="inlineStr">
        <is>
          <t>SMM硫酸钴指数</t>
        </is>
      </c>
      <c r="C259" s="3" t="n">
        <v>88287</v>
      </c>
      <c r="D259" s="4" t="n">
        <v>88287</v>
      </c>
      <c r="E259" s="4" t="n">
        <v>88287</v>
      </c>
      <c r="F259" s="6" t="n">
        <v>-28</v>
      </c>
      <c r="G259" s="5" t="inlineStr">
        <is>
          <t>元/吨</t>
        </is>
      </c>
      <c r="H259" s="5" t="inlineStr">
        <is>
          <t>SMM</t>
        </is>
      </c>
    </row>
    <row r="260">
      <c r="A260" s="2" t="inlineStr">
        <is>
          <t>2026/06/19</t>
        </is>
      </c>
      <c r="B260" s="2" t="inlineStr">
        <is>
          <t>SMM磷酸铁锂极片粉指数</t>
        </is>
      </c>
      <c r="C260" s="3" t="n">
        <v>7458</v>
      </c>
      <c r="D260" s="4" t="n">
        <v>7458</v>
      </c>
      <c r="E260" s="4" t="n">
        <v>7458</v>
      </c>
      <c r="F260" s="6" t="n">
        <v>-31</v>
      </c>
      <c r="G260" s="5" t="inlineStr">
        <is>
          <t>元/锂点</t>
        </is>
      </c>
      <c r="H260" s="5" t="inlineStr">
        <is>
          <t>SMM</t>
        </is>
      </c>
    </row>
    <row r="261">
      <c r="A261" s="2" t="inlineStr">
        <is>
          <t>2026/06/19</t>
        </is>
      </c>
      <c r="B261" s="2" t="inlineStr">
        <is>
          <t>SMM磷酸铁锂电池粉指数</t>
        </is>
      </c>
      <c r="C261" s="3" t="n">
        <v>6975</v>
      </c>
      <c r="D261" s="4" t="n">
        <v>6975</v>
      </c>
      <c r="E261" s="4" t="n">
        <v>6975</v>
      </c>
      <c r="F261" s="6" t="n">
        <v>-87</v>
      </c>
      <c r="G261" s="5" t="inlineStr">
        <is>
          <t>元/锂点</t>
        </is>
      </c>
      <c r="H261" s="5" t="inlineStr">
        <is>
          <t>SMM</t>
        </is>
      </c>
    </row>
    <row r="262">
      <c r="A262" s="2" t="inlineStr">
        <is>
          <t>2026/06/19</t>
        </is>
      </c>
      <c r="B262" s="2" t="inlineStr">
        <is>
          <t>SMM钴酸锂极片粉钴系数指数</t>
        </is>
      </c>
      <c r="C262" s="7" t="n">
        <v>82.53</v>
      </c>
      <c r="D262" s="6" t="n">
        <v>82.53</v>
      </c>
      <c r="E262" s="6" t="n">
        <v>82.53</v>
      </c>
      <c r="F262" s="4" t="n">
        <v>0</v>
      </c>
      <c r="G262" s="5" t="inlineStr">
        <is>
          <t>%</t>
        </is>
      </c>
      <c r="H262" s="5" t="inlineStr">
        <is>
          <t>SMM</t>
        </is>
      </c>
    </row>
    <row r="263">
      <c r="A263" s="2" t="inlineStr">
        <is>
          <t>2026/06/19</t>
        </is>
      </c>
      <c r="B263" s="2" t="inlineStr">
        <is>
          <t>SMM钴酸锂极片粉锂系数指数</t>
        </is>
      </c>
      <c r="C263" s="7" t="n">
        <v>76.5</v>
      </c>
      <c r="D263" s="6" t="n">
        <v>76.5</v>
      </c>
      <c r="E263" s="6" t="n">
        <v>76.5</v>
      </c>
      <c r="F263" s="4" t="n">
        <v>0</v>
      </c>
      <c r="G263" s="5" t="inlineStr">
        <is>
          <t>%</t>
        </is>
      </c>
      <c r="H263" s="5" t="inlineStr">
        <is>
          <t>SMM</t>
        </is>
      </c>
    </row>
    <row r="264">
      <c r="A264" s="2" t="inlineStr">
        <is>
          <t>2026/06/19</t>
        </is>
      </c>
      <c r="B264" s="2" t="inlineStr">
        <is>
          <t>SMM钴酸锂电池粉钴系数指数</t>
        </is>
      </c>
      <c r="C264" s="7" t="n">
        <v>80.13</v>
      </c>
      <c r="D264" s="6" t="n">
        <v>80.13</v>
      </c>
      <c r="E264" s="6" t="n">
        <v>80.13</v>
      </c>
      <c r="F264" s="4" t="n">
        <v>0</v>
      </c>
      <c r="G264" s="5" t="inlineStr">
        <is>
          <t>%</t>
        </is>
      </c>
      <c r="H264" s="5" t="inlineStr">
        <is>
          <t>SMM</t>
        </is>
      </c>
    </row>
    <row r="265">
      <c r="A265" s="2" t="inlineStr">
        <is>
          <t>2026/06/19</t>
        </is>
      </c>
      <c r="B265" s="2" t="inlineStr">
        <is>
          <t>SMM钴酸锂电池粉锂系数指数</t>
        </is>
      </c>
      <c r="C265" s="7" t="n">
        <v>76.11</v>
      </c>
      <c r="D265" s="6" t="n">
        <v>76.11</v>
      </c>
      <c r="E265" s="6" t="n">
        <v>76.11</v>
      </c>
      <c r="F265" s="4" t="n">
        <v>0</v>
      </c>
      <c r="G265" s="5" t="inlineStr">
        <is>
          <t>%</t>
        </is>
      </c>
      <c r="H265" s="5" t="inlineStr">
        <is>
          <t>SMM</t>
        </is>
      </c>
    </row>
    <row r="266">
      <c r="A266" s="2" t="inlineStr">
        <is>
          <t>2026/06/19</t>
        </is>
      </c>
      <c r="B266" s="2" t="inlineStr">
        <is>
          <t>三元方壳锂电B品</t>
        </is>
      </c>
      <c r="C266" s="7" t="n">
        <v>0.75</v>
      </c>
      <c r="D266" s="6" t="n">
        <v>0.85</v>
      </c>
      <c r="E266" s="6" t="n">
        <v>0.8</v>
      </c>
      <c r="F266" s="4" t="n">
        <v>0</v>
      </c>
      <c r="G266" s="5" t="inlineStr">
        <is>
          <t>元/Ah</t>
        </is>
      </c>
      <c r="H266" s="5" t="inlineStr">
        <is>
          <t>SMM</t>
        </is>
      </c>
    </row>
    <row r="267">
      <c r="A267" s="2" t="inlineStr">
        <is>
          <t>2026/06/19</t>
        </is>
      </c>
      <c r="B267" s="2" t="inlineStr">
        <is>
          <t>六氟磷酸锂（国产）</t>
        </is>
      </c>
      <c r="C267" s="3" t="n">
        <v>110000</v>
      </c>
      <c r="D267" s="4" t="n">
        <v>112000</v>
      </c>
      <c r="E267" s="4" t="n">
        <v>111000</v>
      </c>
      <c r="F267" s="4" t="n">
        <v>-3000</v>
      </c>
      <c r="G267" s="5" t="inlineStr">
        <is>
          <t>元/吨</t>
        </is>
      </c>
      <c r="H267" s="5" t="inlineStr">
        <is>
          <t>SMM</t>
        </is>
      </c>
    </row>
    <row r="268">
      <c r="A268" s="2" t="inlineStr">
        <is>
          <t>2026/06/19</t>
        </is>
      </c>
      <c r="B268" s="2" t="inlineStr">
        <is>
          <t>四氧化三钴</t>
        </is>
      </c>
      <c r="C268" s="3" t="n">
        <v>332000</v>
      </c>
      <c r="D268" s="4" t="n">
        <v>345000</v>
      </c>
      <c r="E268" s="4" t="n">
        <v>338500</v>
      </c>
      <c r="F268" s="4" t="n">
        <v>0</v>
      </c>
      <c r="G268" s="5" t="inlineStr">
        <is>
          <t>元/吨</t>
        </is>
      </c>
      <c r="H268" s="5" t="inlineStr">
        <is>
          <t>SMM</t>
        </is>
      </c>
    </row>
    <row r="269">
      <c r="A269" s="2" t="inlineStr">
        <is>
          <t>2026/06/19</t>
        </is>
      </c>
      <c r="B269" s="2" t="inlineStr">
        <is>
          <t>四氧化三锰（电池级）</t>
        </is>
      </c>
      <c r="C269" s="3" t="n">
        <v>14000</v>
      </c>
      <c r="D269" s="4" t="n">
        <v>16000</v>
      </c>
      <c r="E269" s="4" t="n">
        <v>15000</v>
      </c>
      <c r="F269" s="4" t="n">
        <v>0</v>
      </c>
      <c r="G269" s="5" t="inlineStr">
        <is>
          <t>元/吨</t>
        </is>
      </c>
      <c r="H269" s="5" t="inlineStr">
        <is>
          <t>SMM</t>
        </is>
      </c>
    </row>
    <row r="270">
      <c r="A270" s="2" t="inlineStr">
        <is>
          <t>2026/06/19</t>
        </is>
      </c>
      <c r="B270" s="2" t="inlineStr">
        <is>
          <t>工业级氢氧化锂</t>
        </is>
      </c>
      <c r="C270" s="3" t="n">
        <v>136000</v>
      </c>
      <c r="D270" s="4" t="n">
        <v>144000</v>
      </c>
      <c r="E270" s="4" t="n">
        <v>140000</v>
      </c>
      <c r="F270" s="4" t="n">
        <v>-2000</v>
      </c>
      <c r="G270" s="5" t="inlineStr">
        <is>
          <t>元/吨</t>
        </is>
      </c>
      <c r="H270" s="5" t="inlineStr">
        <is>
          <t>SMM</t>
        </is>
      </c>
    </row>
    <row r="271">
      <c r="A271" s="2" t="inlineStr">
        <is>
          <t>2026/06/19</t>
        </is>
      </c>
      <c r="B271" s="2" t="inlineStr">
        <is>
          <t>工业级碳酸锂</t>
        </is>
      </c>
      <c r="C271" s="3" t="n">
        <v>160500</v>
      </c>
      <c r="D271" s="4" t="n">
        <v>166000</v>
      </c>
      <c r="E271" s="4" t="n">
        <v>163250</v>
      </c>
      <c r="F271" s="4" t="n">
        <v>-2250</v>
      </c>
      <c r="G271" s="5" t="inlineStr">
        <is>
          <t>元/吨</t>
        </is>
      </c>
      <c r="H271" s="5" t="inlineStr">
        <is>
          <t>SMM</t>
        </is>
      </c>
    </row>
    <row r="272">
      <c r="A272" s="2" t="inlineStr">
        <is>
          <t>2026/06/19</t>
        </is>
      </c>
      <c r="B272" s="2" t="inlineStr">
        <is>
          <t>工业级金属锂</t>
        </is>
      </c>
      <c r="C272" s="3" t="n">
        <v>1070000</v>
      </c>
      <c r="D272" s="4" t="n">
        <v>1130000</v>
      </c>
      <c r="E272" s="4" t="n">
        <v>1100000</v>
      </c>
      <c r="F272" s="4" t="n">
        <v>-5000</v>
      </c>
      <c r="G272" s="5" t="inlineStr">
        <is>
          <t>元/吨</t>
        </is>
      </c>
      <c r="H272" s="5" t="inlineStr">
        <is>
          <t>SMM</t>
        </is>
      </c>
    </row>
    <row r="273">
      <c r="A273" s="2" t="inlineStr">
        <is>
          <t>2026/06/19</t>
        </is>
      </c>
      <c r="B273" s="2" t="inlineStr">
        <is>
          <t>巴西锂辉石精矿（CIF中国）现货</t>
        </is>
      </c>
      <c r="C273" s="3" t="n">
        <v>2370</v>
      </c>
      <c r="D273" s="4" t="n">
        <v>2500</v>
      </c>
      <c r="E273" s="4" t="n">
        <v>2435</v>
      </c>
      <c r="F273" s="6" t="n">
        <v>-46</v>
      </c>
      <c r="G273" s="5" t="inlineStr">
        <is>
          <t>美元/吨</t>
        </is>
      </c>
      <c r="H273" s="5" t="inlineStr">
        <is>
          <t>SMM</t>
        </is>
      </c>
    </row>
    <row r="274">
      <c r="A274" s="2" t="inlineStr">
        <is>
          <t>2026/06/19</t>
        </is>
      </c>
      <c r="B274" s="2" t="inlineStr">
        <is>
          <t>废旧磷酸铁锂储能正极片</t>
        </is>
      </c>
      <c r="C274" s="3" t="n">
        <v>21800</v>
      </c>
      <c r="D274" s="4" t="n">
        <v>25200</v>
      </c>
      <c r="E274" s="4" t="n">
        <v>23500</v>
      </c>
      <c r="F274" s="4" t="n">
        <v>-300</v>
      </c>
      <c r="G274" s="5" t="inlineStr">
        <is>
          <t>元/吨</t>
        </is>
      </c>
      <c r="H274" s="5" t="inlineStr">
        <is>
          <t>SMM</t>
        </is>
      </c>
    </row>
    <row r="275">
      <c r="A275" s="2" t="inlineStr">
        <is>
          <t>2026/06/19</t>
        </is>
      </c>
      <c r="B275" s="2" t="inlineStr">
        <is>
          <t>废旧磷酸铁锂动力正极片</t>
        </is>
      </c>
      <c r="C275" s="3" t="n">
        <v>25850</v>
      </c>
      <c r="D275" s="4" t="n">
        <v>30350</v>
      </c>
      <c r="E275" s="4" t="n">
        <v>28100</v>
      </c>
      <c r="F275" s="4" t="n">
        <v>-375</v>
      </c>
      <c r="G275" s="5" t="inlineStr">
        <is>
          <t>元/吨</t>
        </is>
      </c>
      <c r="H275" s="5" t="inlineStr">
        <is>
          <t>SMM</t>
        </is>
      </c>
    </row>
    <row r="276">
      <c r="A276" s="2" t="inlineStr">
        <is>
          <t>2026/06/19</t>
        </is>
      </c>
      <c r="B276" s="2" t="inlineStr">
        <is>
          <t>废旧磷酸铁锂软包电池</t>
        </is>
      </c>
      <c r="C276" s="3" t="n">
        <v>16300</v>
      </c>
      <c r="D276" s="4" t="n">
        <v>17600</v>
      </c>
      <c r="E276" s="4" t="n">
        <v>16950</v>
      </c>
      <c r="F276" s="4" t="n">
        <v>-300</v>
      </c>
      <c r="G276" s="5" t="inlineStr">
        <is>
          <t>元/吨</t>
        </is>
      </c>
      <c r="H276" s="5" t="inlineStr">
        <is>
          <t>SMM</t>
        </is>
      </c>
    </row>
    <row r="277">
      <c r="A277" s="2" t="inlineStr">
        <is>
          <t>2026/06/19</t>
        </is>
      </c>
      <c r="B277" s="2" t="inlineStr">
        <is>
          <t>废旧磷酸铁锂钢壳电池</t>
        </is>
      </c>
      <c r="C277" s="3" t="n">
        <v>10500</v>
      </c>
      <c r="D277" s="4" t="n">
        <v>11500</v>
      </c>
      <c r="E277" s="4" t="n">
        <v>11000</v>
      </c>
      <c r="F277" s="4" t="n">
        <v>-150</v>
      </c>
      <c r="G277" s="5" t="inlineStr">
        <is>
          <t>元/吨</t>
        </is>
      </c>
      <c r="H277" s="5" t="inlineStr">
        <is>
          <t>SMM</t>
        </is>
      </c>
    </row>
    <row r="278">
      <c r="A278" s="2" t="inlineStr">
        <is>
          <t>2026/06/19</t>
        </is>
      </c>
      <c r="B278" s="2" t="inlineStr">
        <is>
          <t>废旧磷酸铁锂铝壳电池</t>
        </is>
      </c>
      <c r="C278" s="3" t="n">
        <v>17400</v>
      </c>
      <c r="D278" s="4" t="n">
        <v>18800</v>
      </c>
      <c r="E278" s="4" t="n">
        <v>18100</v>
      </c>
      <c r="F278" s="4" t="n">
        <v>-300</v>
      </c>
      <c r="G278" s="5" t="inlineStr">
        <is>
          <t>元/吨</t>
        </is>
      </c>
      <c r="H278" s="5" t="inlineStr">
        <is>
          <t>SMM</t>
        </is>
      </c>
    </row>
    <row r="279">
      <c r="A279" s="2" t="inlineStr">
        <is>
          <t>2026/06/19</t>
        </is>
      </c>
      <c r="B279" s="2" t="inlineStr">
        <is>
          <t>方形磷酸铁锂电池B品</t>
        </is>
      </c>
      <c r="C279" s="7" t="n">
        <v>0.68</v>
      </c>
      <c r="D279" s="6" t="n">
        <v>0.8</v>
      </c>
      <c r="E279" s="6" t="n">
        <v>0.74</v>
      </c>
      <c r="F279" s="4" t="n">
        <v>0</v>
      </c>
      <c r="G279" s="5" t="inlineStr">
        <is>
          <t>元/Ah</t>
        </is>
      </c>
      <c r="H279" s="5" t="inlineStr">
        <is>
          <t>SMM</t>
        </is>
      </c>
    </row>
    <row r="280">
      <c r="A280" s="2" t="inlineStr">
        <is>
          <t>2026/06/19</t>
        </is>
      </c>
      <c r="B280" s="2" t="inlineStr">
        <is>
          <t>氧化亚镍</t>
        </is>
      </c>
      <c r="C280" s="3" t="n">
        <v>118000</v>
      </c>
      <c r="D280" s="4" t="n">
        <v>126000</v>
      </c>
      <c r="E280" s="4" t="n">
        <v>122000</v>
      </c>
      <c r="F280" s="4" t="n">
        <v>0</v>
      </c>
      <c r="G280" s="5" t="inlineStr">
        <is>
          <t>元/吨</t>
        </is>
      </c>
      <c r="H280" s="5" t="inlineStr">
        <is>
          <t>SMM</t>
        </is>
      </c>
    </row>
    <row r="281">
      <c r="A281" s="2" t="inlineStr">
        <is>
          <t>2026/06/19</t>
        </is>
      </c>
      <c r="B281" s="2" t="inlineStr">
        <is>
          <t>氧化钴</t>
        </is>
      </c>
      <c r="C281" s="3" t="n">
        <v>305000</v>
      </c>
      <c r="D281" s="4" t="n">
        <v>320000</v>
      </c>
      <c r="E281" s="4" t="n">
        <v>312500</v>
      </c>
      <c r="F281" s="4" t="n">
        <v>0</v>
      </c>
      <c r="G281" s="5" t="inlineStr">
        <is>
          <t>元/吨</t>
        </is>
      </c>
      <c r="H281" s="5" t="inlineStr">
        <is>
          <t>SMM</t>
        </is>
      </c>
    </row>
    <row r="282">
      <c r="A282" s="2" t="inlineStr">
        <is>
          <t>2026/06/19</t>
        </is>
      </c>
      <c r="B282" s="2" t="inlineStr">
        <is>
          <t>氯化钴</t>
        </is>
      </c>
      <c r="C282" s="3" t="n">
        <v>106000</v>
      </c>
      <c r="D282" s="4" t="n">
        <v>112000</v>
      </c>
      <c r="E282" s="4" t="n">
        <v>109000</v>
      </c>
      <c r="F282" s="4" t="n">
        <v>0</v>
      </c>
      <c r="G282" s="5" t="inlineStr">
        <is>
          <t>元/吨</t>
        </is>
      </c>
      <c r="H282" s="5" t="inlineStr">
        <is>
          <t>SMM</t>
        </is>
      </c>
    </row>
    <row r="283">
      <c r="A283" s="2" t="inlineStr">
        <is>
          <t>2026/06/19</t>
        </is>
      </c>
      <c r="B283" s="2" t="inlineStr">
        <is>
          <t>氯化镍NiCl₂·6H₂O</t>
        </is>
      </c>
      <c r="C283" s="3" t="n">
        <v>38500</v>
      </c>
      <c r="D283" s="4" t="n">
        <v>41000</v>
      </c>
      <c r="E283" s="4" t="n">
        <v>39750</v>
      </c>
      <c r="F283" s="4" t="n">
        <v>-250</v>
      </c>
      <c r="G283" s="5" t="inlineStr">
        <is>
          <t>元/吨</t>
        </is>
      </c>
      <c r="H283" s="5" t="inlineStr">
        <is>
          <t>SMM</t>
        </is>
      </c>
    </row>
    <row r="284">
      <c r="A284" s="2" t="inlineStr">
        <is>
          <t>2026/06/19</t>
        </is>
      </c>
      <c r="B284" s="2" t="inlineStr">
        <is>
          <t>津巴布韦锂辉石精矿（CIF中国）现货</t>
        </is>
      </c>
      <c r="C284" s="3" t="n">
        <v>2380</v>
      </c>
      <c r="D284" s="4" t="n">
        <v>2450</v>
      </c>
      <c r="E284" s="4" t="n">
        <v>2415</v>
      </c>
      <c r="F284" s="6" t="n">
        <v>-60</v>
      </c>
      <c r="G284" s="5" t="inlineStr">
        <is>
          <t>美元/吨</t>
        </is>
      </c>
      <c r="H284" s="5" t="inlineStr">
        <is>
          <t>SMM</t>
        </is>
      </c>
    </row>
    <row r="285">
      <c r="A285" s="2" t="inlineStr">
        <is>
          <t>2026/06/19</t>
        </is>
      </c>
      <c r="B285" s="2" t="inlineStr">
        <is>
          <t>澳大利亚锂辉石精矿（CIF中国）现货</t>
        </is>
      </c>
      <c r="C285" s="3" t="n">
        <v>2390</v>
      </c>
      <c r="D285" s="4" t="n">
        <v>2510</v>
      </c>
      <c r="E285" s="4" t="n">
        <v>2450</v>
      </c>
      <c r="F285" s="6" t="n">
        <v>-46</v>
      </c>
      <c r="G285" s="5" t="inlineStr">
        <is>
          <t>美元/吨</t>
        </is>
      </c>
      <c r="H285" s="5" t="inlineStr">
        <is>
          <t>SMM</t>
        </is>
      </c>
    </row>
    <row r="286">
      <c r="A286" s="2" t="inlineStr">
        <is>
          <t>2026/06/19</t>
        </is>
      </c>
      <c r="B286" s="2" t="inlineStr">
        <is>
          <t>电池级无水氯化锂</t>
        </is>
      </c>
      <c r="C286" s="3" t="n">
        <v>235</v>
      </c>
      <c r="D286" s="4" t="n">
        <v>291</v>
      </c>
      <c r="E286" s="4" t="n">
        <v>263</v>
      </c>
      <c r="F286" s="4" t="n">
        <v>0</v>
      </c>
      <c r="G286" s="5" t="inlineStr">
        <is>
          <t>元/千克</t>
        </is>
      </c>
      <c r="H286" s="5" t="inlineStr">
        <is>
          <t>SMM</t>
        </is>
      </c>
    </row>
    <row r="287">
      <c r="A287" s="2" t="inlineStr">
        <is>
          <t>2026/06/19</t>
        </is>
      </c>
      <c r="B287" s="2" t="inlineStr">
        <is>
          <t>电池级氟化锂</t>
        </is>
      </c>
      <c r="C287" s="3" t="n">
        <v>285000</v>
      </c>
      <c r="D287" s="4" t="n">
        <v>290000</v>
      </c>
      <c r="E287" s="4" t="n">
        <v>287500</v>
      </c>
      <c r="F287" s="4" t="n">
        <v>-4000</v>
      </c>
      <c r="G287" s="5" t="inlineStr">
        <is>
          <t>元/吨</t>
        </is>
      </c>
      <c r="H287" s="5" t="inlineStr">
        <is>
          <t>SMM</t>
        </is>
      </c>
    </row>
    <row r="288">
      <c r="A288" s="2" t="inlineStr">
        <is>
          <t>2026/06/19</t>
        </is>
      </c>
      <c r="B288" s="2" t="inlineStr">
        <is>
          <t>电池级氢氧化锂(CIF中日韩)</t>
        </is>
      </c>
      <c r="C288" s="7" t="n">
        <v>17.85</v>
      </c>
      <c r="D288" s="6" t="n">
        <v>20.95</v>
      </c>
      <c r="E288" s="6" t="n">
        <v>19.4</v>
      </c>
      <c r="F288" s="6" t="n">
        <v>-0.05</v>
      </c>
      <c r="G288" s="5" t="inlineStr">
        <is>
          <t>美元/千克</t>
        </is>
      </c>
      <c r="H288" s="5" t="inlineStr">
        <is>
          <t>SMM</t>
        </is>
      </c>
    </row>
    <row r="289">
      <c r="A289" s="2" t="inlineStr">
        <is>
          <t>2026/06/19</t>
        </is>
      </c>
      <c r="B289" s="2" t="inlineStr">
        <is>
          <t>电池级氢氧化锂(CIF韩国)</t>
        </is>
      </c>
      <c r="C289" s="7" t="n">
        <v>17.7</v>
      </c>
      <c r="D289" s="6" t="n">
        <v>20.9</v>
      </c>
      <c r="E289" s="6" t="n">
        <v>19.3</v>
      </c>
      <c r="F289" s="6" t="n">
        <v>-0.05</v>
      </c>
      <c r="G289" s="5" t="inlineStr">
        <is>
          <t>美元/千克</t>
        </is>
      </c>
      <c r="H289" s="5" t="inlineStr">
        <is>
          <t>SMM</t>
        </is>
      </c>
    </row>
    <row r="290">
      <c r="A290" s="2" t="inlineStr">
        <is>
          <t>2026/06/19</t>
        </is>
      </c>
      <c r="B290" s="2" t="inlineStr">
        <is>
          <t>电池级氢氧化锂(微粉）</t>
        </is>
      </c>
      <c r="C290" s="3" t="n">
        <v>152000</v>
      </c>
      <c r="D290" s="4" t="n">
        <v>165000</v>
      </c>
      <c r="E290" s="4" t="n">
        <v>158500</v>
      </c>
      <c r="F290" s="4" t="n">
        <v>-2000</v>
      </c>
      <c r="G290" s="5" t="inlineStr">
        <is>
          <t>元/吨</t>
        </is>
      </c>
      <c r="H290" s="5" t="inlineStr">
        <is>
          <t>SMM</t>
        </is>
      </c>
    </row>
    <row r="291">
      <c r="A291" s="2" t="inlineStr">
        <is>
          <t>2026/06/19</t>
        </is>
      </c>
      <c r="B291" s="2" t="inlineStr">
        <is>
          <t>电池级氢氧化锂（粗颗粒）</t>
        </is>
      </c>
      <c r="C291" s="3" t="n">
        <v>145000</v>
      </c>
      <c r="D291" s="4" t="n">
        <v>160000</v>
      </c>
      <c r="E291" s="4" t="n">
        <v>152500</v>
      </c>
      <c r="F291" s="4" t="n">
        <v>-2000</v>
      </c>
      <c r="G291" s="5" t="inlineStr">
        <is>
          <t>元/吨</t>
        </is>
      </c>
      <c r="H291" s="5" t="inlineStr">
        <is>
          <t>SMM</t>
        </is>
      </c>
    </row>
    <row r="292">
      <c r="A292" s="2" t="inlineStr">
        <is>
          <t>2026/06/19</t>
        </is>
      </c>
      <c r="B292" s="2" t="inlineStr">
        <is>
          <t>电池级硫酸锰（出厂价）</t>
        </is>
      </c>
      <c r="C292" s="3" t="n">
        <v>7590</v>
      </c>
      <c r="D292" s="4" t="n">
        <v>7790</v>
      </c>
      <c r="E292" s="4" t="n">
        <v>7690</v>
      </c>
      <c r="F292" s="4" t="n">
        <v>0</v>
      </c>
      <c r="G292" s="5" t="inlineStr">
        <is>
          <t>元/吨</t>
        </is>
      </c>
      <c r="H292" s="5" t="inlineStr">
        <is>
          <t>SMM</t>
        </is>
      </c>
    </row>
    <row r="293">
      <c r="A293" s="2" t="inlineStr">
        <is>
          <t>2026/06/19</t>
        </is>
      </c>
      <c r="B293" s="2" t="inlineStr">
        <is>
          <t>电池级硫酸镍</t>
        </is>
      </c>
      <c r="C293" s="3" t="n">
        <v>33370</v>
      </c>
      <c r="D293" s="4" t="n">
        <v>33750</v>
      </c>
      <c r="E293" s="4" t="n">
        <v>33560</v>
      </c>
      <c r="F293" s="6" t="n">
        <v>-50</v>
      </c>
      <c r="G293" s="5" t="inlineStr">
        <is>
          <t>元/吨</t>
        </is>
      </c>
      <c r="H293" s="5" t="inlineStr">
        <is>
          <t>SMM</t>
        </is>
      </c>
    </row>
    <row r="294">
      <c r="A294" s="2" t="inlineStr">
        <is>
          <t>2026/06/19</t>
        </is>
      </c>
      <c r="B294" s="2" t="inlineStr">
        <is>
          <t>电池级碳酸锂</t>
        </is>
      </c>
      <c r="C294" s="3" t="n">
        <v>164500</v>
      </c>
      <c r="D294" s="4" t="n">
        <v>170000</v>
      </c>
      <c r="E294" s="4" t="n">
        <v>167250</v>
      </c>
      <c r="F294" s="4" t="n">
        <v>-2250</v>
      </c>
      <c r="G294" s="5" t="inlineStr">
        <is>
          <t>元/吨</t>
        </is>
      </c>
      <c r="H294" s="5" t="inlineStr">
        <is>
          <t>SMM</t>
        </is>
      </c>
    </row>
    <row r="295">
      <c r="A295" s="2" t="inlineStr">
        <is>
          <t>2026/06/19</t>
        </is>
      </c>
      <c r="B295" s="2" t="inlineStr">
        <is>
          <t>电池级碳酸锂(CIF韩国)</t>
        </is>
      </c>
      <c r="C295" s="7" t="n">
        <v>19.85</v>
      </c>
      <c r="D295" s="6" t="n">
        <v>21.9</v>
      </c>
      <c r="E295" s="6" t="n">
        <v>20.88</v>
      </c>
      <c r="F295" s="6" t="n">
        <v>-0.08</v>
      </c>
      <c r="G295" s="5" t="inlineStr">
        <is>
          <t>美元/千克</t>
        </is>
      </c>
      <c r="H295" s="5" t="inlineStr">
        <is>
          <t>SMM</t>
        </is>
      </c>
    </row>
    <row r="296">
      <c r="A296" s="2" t="inlineStr">
        <is>
          <t>2026/06/19</t>
        </is>
      </c>
      <c r="B296" s="2" t="inlineStr">
        <is>
          <t>电池级碳酸锂（CIF中日韩）</t>
        </is>
      </c>
      <c r="C296" s="7" t="n">
        <v>20.05</v>
      </c>
      <c r="D296" s="6" t="n">
        <v>21.95</v>
      </c>
      <c r="E296" s="6" t="n">
        <v>21</v>
      </c>
      <c r="F296" s="6" t="n">
        <v>-0.08</v>
      </c>
      <c r="G296" s="5" t="inlineStr">
        <is>
          <t>美元/千克</t>
        </is>
      </c>
      <c r="H296" s="5" t="inlineStr">
        <is>
          <t>SMM</t>
        </is>
      </c>
    </row>
    <row r="297">
      <c r="A297" s="2" t="inlineStr">
        <is>
          <t>2026/06/19</t>
        </is>
      </c>
      <c r="B297" s="2" t="inlineStr">
        <is>
          <t>电池级金属锂</t>
        </is>
      </c>
      <c r="C297" s="3" t="n">
        <v>1100000</v>
      </c>
      <c r="D297" s="4" t="n">
        <v>1160000</v>
      </c>
      <c r="E297" s="4" t="n">
        <v>1130000</v>
      </c>
      <c r="F297" s="4" t="n">
        <v>-5000</v>
      </c>
      <c r="G297" s="5" t="inlineStr">
        <is>
          <t>元/吨</t>
        </is>
      </c>
      <c r="H297" s="5" t="inlineStr">
        <is>
          <t>SMM</t>
        </is>
      </c>
    </row>
    <row r="298">
      <c r="A298" s="2" t="inlineStr">
        <is>
          <t>2026/06/19</t>
        </is>
      </c>
      <c r="B298" s="2" t="inlineStr">
        <is>
          <t>电解钴</t>
        </is>
      </c>
      <c r="C298" s="3" t="n">
        <v>372000</v>
      </c>
      <c r="D298" s="4" t="n">
        <v>395000</v>
      </c>
      <c r="E298" s="4" t="n">
        <v>383500</v>
      </c>
      <c r="F298" s="4" t="n">
        <v>-10000</v>
      </c>
      <c r="G298" s="5" t="inlineStr">
        <is>
          <t>元/吨</t>
        </is>
      </c>
      <c r="H298" s="5" t="inlineStr">
        <is>
          <t>SMM</t>
        </is>
      </c>
    </row>
    <row r="299">
      <c r="A299" s="2" t="inlineStr">
        <is>
          <t>2026/06/19</t>
        </is>
      </c>
      <c r="B299" s="2" t="inlineStr">
        <is>
          <t>电解钴（鹿特丹仓库）</t>
        </is>
      </c>
      <c r="C299" s="7" t="n">
        <v>25.5</v>
      </c>
      <c r="D299" s="6" t="n">
        <v>27</v>
      </c>
      <c r="E299" s="6" t="n">
        <v>26.25</v>
      </c>
      <c r="F299" s="4" t="n">
        <v>0</v>
      </c>
      <c r="G299" s="5" t="inlineStr">
        <is>
          <t>美元/磅</t>
        </is>
      </c>
      <c r="H299" s="5" t="inlineStr">
        <is>
          <t>SMM</t>
        </is>
      </c>
    </row>
    <row r="300">
      <c r="A300" s="2" t="inlineStr">
        <is>
          <t>2026/06/19</t>
        </is>
      </c>
      <c r="B300" s="2" t="inlineStr">
        <is>
          <t>电镀级硫酸镍</t>
        </is>
      </c>
      <c r="C300" s="3" t="n">
        <v>32500</v>
      </c>
      <c r="D300" s="4" t="n">
        <v>37000</v>
      </c>
      <c r="E300" s="4" t="n">
        <v>34750</v>
      </c>
      <c r="F300" s="4" t="n">
        <v>-2000</v>
      </c>
      <c r="G300" s="5" t="inlineStr">
        <is>
          <t>元/吨</t>
        </is>
      </c>
      <c r="H300" s="5" t="inlineStr">
        <is>
          <t>SMM</t>
        </is>
      </c>
    </row>
    <row r="301">
      <c r="A301" s="2" t="inlineStr">
        <is>
          <t>2026/06/19</t>
        </is>
      </c>
      <c r="B301" s="2" t="inlineStr">
        <is>
          <t>硫酸钴</t>
        </is>
      </c>
      <c r="C301" s="3" t="n">
        <v>87000</v>
      </c>
      <c r="D301" s="4" t="n">
        <v>90000</v>
      </c>
      <c r="E301" s="4" t="n">
        <v>88500</v>
      </c>
      <c r="F301" s="4" t="n">
        <v>0</v>
      </c>
      <c r="G301" s="5" t="inlineStr">
        <is>
          <t>元/吨</t>
        </is>
      </c>
      <c r="H301" s="5" t="inlineStr">
        <is>
          <t>SMM</t>
        </is>
      </c>
    </row>
    <row r="302">
      <c r="A302" s="2" t="inlineStr">
        <is>
          <t>2026/06/19</t>
        </is>
      </c>
      <c r="B302" s="2" t="inlineStr">
        <is>
          <t>碳酸钴</t>
        </is>
      </c>
      <c r="C302" s="3" t="n">
        <v>210000</v>
      </c>
      <c r="D302" s="4" t="n">
        <v>220000</v>
      </c>
      <c r="E302" s="4" t="n">
        <v>215000</v>
      </c>
      <c r="F302" s="4" t="n">
        <v>-2500</v>
      </c>
      <c r="G302" s="5" t="inlineStr">
        <is>
          <t>元/吨</t>
        </is>
      </c>
      <c r="H302" s="5" t="inlineStr">
        <is>
          <t>SMM</t>
        </is>
      </c>
    </row>
    <row r="303">
      <c r="A303" s="2" t="inlineStr">
        <is>
          <t>2026/06/19</t>
        </is>
      </c>
      <c r="B303" s="2" t="inlineStr">
        <is>
          <t>磷酸铁锂</t>
        </is>
      </c>
      <c r="C303" s="3" t="n">
        <v>59180</v>
      </c>
      <c r="D303" s="4" t="n">
        <v>59780</v>
      </c>
      <c r="E303" s="4" t="n">
        <v>59480</v>
      </c>
      <c r="F303" s="4" t="n">
        <v>-550</v>
      </c>
      <c r="G303" s="5" t="inlineStr">
        <is>
          <t>元/吨</t>
        </is>
      </c>
      <c r="H303" s="5" t="inlineStr">
        <is>
          <t>SMM</t>
        </is>
      </c>
    </row>
    <row r="304">
      <c r="A304" s="2" t="inlineStr">
        <is>
          <t>2026/06/19</t>
        </is>
      </c>
      <c r="B304" s="2" t="inlineStr">
        <is>
          <t>磷酸锰铁锂</t>
        </is>
      </c>
      <c r="C304" s="3" t="n">
        <v>64500</v>
      </c>
      <c r="D304" s="4" t="n">
        <v>69500</v>
      </c>
      <c r="E304" s="4" t="n">
        <v>67000</v>
      </c>
      <c r="F304" s="4" t="n">
        <v>0</v>
      </c>
      <c r="G304" s="5" t="inlineStr">
        <is>
          <t>元/吨</t>
        </is>
      </c>
      <c r="H304" s="5" t="inlineStr">
        <is>
          <t>SMM</t>
        </is>
      </c>
    </row>
    <row r="305">
      <c r="A305" s="2" t="inlineStr">
        <is>
          <t>2026/06/19</t>
        </is>
      </c>
      <c r="B305" s="2" t="inlineStr">
        <is>
          <t>金属钴FOB</t>
        </is>
      </c>
      <c r="C305" s="7" t="n">
        <v>24.5</v>
      </c>
      <c r="D305" s="6" t="n">
        <v>25.5</v>
      </c>
      <c r="E305" s="6" t="n">
        <v>25</v>
      </c>
      <c r="F305" s="6" t="n">
        <v>-0.13</v>
      </c>
      <c r="G305" s="5" t="inlineStr">
        <is>
          <t>美元/磅</t>
        </is>
      </c>
      <c r="H305" s="5" t="inlineStr">
        <is>
          <t>SMM</t>
        </is>
      </c>
    </row>
    <row r="306">
      <c r="A306" s="2" t="inlineStr">
        <is>
          <t>2026/06/19</t>
        </is>
      </c>
      <c r="B306" s="2" t="inlineStr">
        <is>
          <t>钴中间品中钴含量≥30%</t>
        </is>
      </c>
      <c r="C306" s="3" t="n">
        <v>26783</v>
      </c>
      <c r="D306" s="4" t="n">
        <v>26783</v>
      </c>
      <c r="E306" s="4" t="n">
        <v>26783</v>
      </c>
      <c r="F306" s="4" t="n">
        <v>1046</v>
      </c>
      <c r="G306" s="5" t="inlineStr">
        <is>
          <t>元/金属吨</t>
        </is>
      </c>
      <c r="H306" s="5" t="inlineStr">
        <is>
          <t>SMM</t>
        </is>
      </c>
    </row>
    <row r="307">
      <c r="A307" s="2" t="inlineStr">
        <is>
          <t>2026/06/19</t>
        </is>
      </c>
      <c r="B307" s="2" t="inlineStr">
        <is>
          <t>钴中间品原料计价系数（对SMM硫酸钴均价）</t>
        </is>
      </c>
      <c r="C307" s="7" t="n">
        <v>99</v>
      </c>
      <c r="D307" s="4" t="n">
        <v>100</v>
      </c>
      <c r="E307" s="6" t="n">
        <v>99.5</v>
      </c>
      <c r="F307" s="4" t="n">
        <v>0</v>
      </c>
      <c r="G307" s="5" t="inlineStr">
        <is>
          <t>%</t>
        </is>
      </c>
      <c r="H307" s="5" t="inlineStr">
        <is>
          <t>SMM</t>
        </is>
      </c>
    </row>
    <row r="308">
      <c r="A308" s="2" t="inlineStr">
        <is>
          <t>2026/06/19</t>
        </is>
      </c>
      <c r="B308" s="2" t="inlineStr">
        <is>
          <t>钴酸锂</t>
        </is>
      </c>
      <c r="C308" s="3" t="n">
        <v>380000</v>
      </c>
      <c r="D308" s="4" t="n">
        <v>383000</v>
      </c>
      <c r="E308" s="4" t="n">
        <v>381500</v>
      </c>
      <c r="F308" s="4" t="n">
        <v>0</v>
      </c>
      <c r="G308" s="5" t="inlineStr">
        <is>
          <t>元/吨</t>
        </is>
      </c>
      <c r="H308" s="5" t="inlineStr">
        <is>
          <t>SMM</t>
        </is>
      </c>
    </row>
    <row r="309">
      <c r="A309" s="2" t="inlineStr">
        <is>
          <t>2026/06/19</t>
        </is>
      </c>
      <c r="B309" s="2" t="inlineStr">
        <is>
          <t>钴酸锂聚合物软包</t>
        </is>
      </c>
      <c r="C309" s="3" t="n">
        <v>98000</v>
      </c>
      <c r="D309" s="4" t="n">
        <v>101000</v>
      </c>
      <c r="E309" s="4" t="n">
        <v>99500</v>
      </c>
      <c r="F309" s="4" t="n">
        <v>-100</v>
      </c>
      <c r="G309" s="5" t="inlineStr">
        <is>
          <t>元/吨</t>
        </is>
      </c>
      <c r="H309" s="5" t="inlineStr">
        <is>
          <t>SMM</t>
        </is>
      </c>
    </row>
    <row r="310">
      <c r="A310" s="2" t="inlineStr">
        <is>
          <t>2026/06/19</t>
        </is>
      </c>
      <c r="B310" s="2" t="inlineStr">
        <is>
          <t>钴酸锂铝壳</t>
        </is>
      </c>
      <c r="C310" s="3" t="n">
        <v>84000</v>
      </c>
      <c r="D310" s="4" t="n">
        <v>94000</v>
      </c>
      <c r="E310" s="4" t="n">
        <v>89000</v>
      </c>
      <c r="F310" s="4" t="n">
        <v>0</v>
      </c>
      <c r="G310" s="5" t="inlineStr">
        <is>
          <t>元/吨</t>
        </is>
      </c>
      <c r="H310" s="5" t="inlineStr">
        <is>
          <t>SMM</t>
        </is>
      </c>
    </row>
    <row r="311">
      <c r="A311" s="2" t="inlineStr">
        <is>
          <t>2026/06/19</t>
        </is>
      </c>
      <c r="B311" s="2" t="inlineStr">
        <is>
          <t>锰酸锂圆柱钢壳</t>
        </is>
      </c>
      <c r="C311" s="3" t="n">
        <v>5000</v>
      </c>
      <c r="D311" s="4" t="n">
        <v>7400</v>
      </c>
      <c r="E311" s="4" t="n">
        <v>6200</v>
      </c>
      <c r="F311" s="4" t="n">
        <v>0</v>
      </c>
      <c r="G311" s="5" t="inlineStr">
        <is>
          <t>元/吨</t>
        </is>
      </c>
      <c r="H311" s="5" t="inlineStr">
        <is>
          <t>SMM</t>
        </is>
      </c>
    </row>
    <row r="312">
      <c r="A312" s="2" t="inlineStr">
        <is>
          <t>2026/06/19</t>
        </is>
      </c>
      <c r="B312" s="2" t="inlineStr">
        <is>
          <t>非洲硫酸锂(CIF中国)</t>
        </is>
      </c>
      <c r="C312" s="3" t="n">
        <v>8020</v>
      </c>
      <c r="D312" s="4" t="n">
        <v>8319</v>
      </c>
      <c r="E312" s="4" t="n">
        <v>8169.5</v>
      </c>
      <c r="F312" s="4" t="n">
        <v>-130</v>
      </c>
      <c r="G312" s="5" t="inlineStr">
        <is>
          <t>美元/吨</t>
        </is>
      </c>
      <c r="H312" s="5" t="inlineStr">
        <is>
          <t>SMM</t>
        </is>
      </c>
    </row>
    <row r="313">
      <c r="A313" s="2" t="inlineStr">
        <is>
          <t>2026/06/19</t>
        </is>
      </c>
      <c r="B313" s="2" t="inlineStr">
        <is>
          <t>非洲锂辉石精矿（CIF中国）指数</t>
        </is>
      </c>
      <c r="C313" s="3" t="n">
        <v>2398</v>
      </c>
      <c r="D313" s="4" t="n">
        <v>2398</v>
      </c>
      <c r="E313" s="4" t="n">
        <v>2398</v>
      </c>
      <c r="F313" s="6" t="n">
        <v>-72</v>
      </c>
      <c r="G313" s="5" t="inlineStr">
        <is>
          <t>美元/吨</t>
        </is>
      </c>
      <c r="H313" s="5" t="inlineStr">
        <is>
          <t>SMM</t>
        </is>
      </c>
    </row>
    <row r="314">
      <c r="A314" s="2" t="inlineStr">
        <is>
          <t>2026/06/22</t>
        </is>
      </c>
      <c r="B314" s="2" t="inlineStr">
        <is>
          <t>5系三元前驱体</t>
        </is>
      </c>
      <c r="C314" s="3" t="n">
        <v>100400</v>
      </c>
      <c r="D314" s="4" t="n">
        <v>105600</v>
      </c>
      <c r="E314" s="4" t="n">
        <v>103000</v>
      </c>
      <c r="F314" s="4" t="n">
        <v>-500</v>
      </c>
      <c r="G314" s="5" t="inlineStr">
        <is>
          <t>元/吨</t>
        </is>
      </c>
      <c r="H314" s="5" t="inlineStr">
        <is>
          <t>SMM</t>
        </is>
      </c>
    </row>
    <row r="315">
      <c r="A315" s="2" t="inlineStr">
        <is>
          <t>2026/06/22</t>
        </is>
      </c>
      <c r="B315" s="2" t="inlineStr">
        <is>
          <t>5系三元材料</t>
        </is>
      </c>
      <c r="C315" s="3" t="n">
        <v>181800</v>
      </c>
      <c r="D315" s="4" t="n">
        <v>189700</v>
      </c>
      <c r="E315" s="4" t="n">
        <v>185750</v>
      </c>
      <c r="F315" s="4" t="n">
        <v>-3700</v>
      </c>
      <c r="G315" s="5" t="inlineStr">
        <is>
          <t>元/吨</t>
        </is>
      </c>
      <c r="H315" s="5" t="inlineStr">
        <is>
          <t>SMM</t>
        </is>
      </c>
    </row>
    <row r="316">
      <c r="A316" s="2" t="inlineStr">
        <is>
          <t>2026/06/22</t>
        </is>
      </c>
      <c r="B316" s="2" t="inlineStr">
        <is>
          <t>6系三元前驱体（单晶/动力型）</t>
        </is>
      </c>
      <c r="C316" s="3" t="n">
        <v>93250</v>
      </c>
      <c r="D316" s="4" t="n">
        <v>97950</v>
      </c>
      <c r="E316" s="4" t="n">
        <v>95600</v>
      </c>
      <c r="F316" s="4" t="n">
        <v>-500</v>
      </c>
      <c r="G316" s="5" t="inlineStr">
        <is>
          <t>元/吨</t>
        </is>
      </c>
      <c r="H316" s="5" t="inlineStr">
        <is>
          <t>SMM</t>
        </is>
      </c>
    </row>
    <row r="317">
      <c r="A317" s="2" t="inlineStr">
        <is>
          <t>2026/06/22</t>
        </is>
      </c>
      <c r="B317" s="2" t="inlineStr">
        <is>
          <t>6系三元材料（单晶/动力型）</t>
        </is>
      </c>
      <c r="C317" s="3" t="n">
        <v>186400</v>
      </c>
      <c r="D317" s="4" t="n">
        <v>195900</v>
      </c>
      <c r="E317" s="4" t="n">
        <v>191150</v>
      </c>
      <c r="F317" s="4" t="n">
        <v>-3600</v>
      </c>
      <c r="G317" s="5" t="inlineStr">
        <is>
          <t>元/吨</t>
        </is>
      </c>
      <c r="H317" s="5" t="inlineStr">
        <is>
          <t>SMM</t>
        </is>
      </c>
    </row>
    <row r="318">
      <c r="A318" s="2" t="inlineStr">
        <is>
          <t>2026/06/22</t>
        </is>
      </c>
      <c r="B318" s="2" t="inlineStr">
        <is>
          <t>8系三元前驱体（多晶/动力型）</t>
        </is>
      </c>
      <c r="C318" s="3" t="n">
        <v>115600</v>
      </c>
      <c r="D318" s="4" t="n">
        <v>121300</v>
      </c>
      <c r="E318" s="4" t="n">
        <v>118450</v>
      </c>
      <c r="F318" s="4" t="n">
        <v>-700</v>
      </c>
      <c r="G318" s="5" t="inlineStr">
        <is>
          <t>元/吨</t>
        </is>
      </c>
      <c r="H318" s="5" t="inlineStr">
        <is>
          <t>SMM</t>
        </is>
      </c>
    </row>
    <row r="319">
      <c r="A319" s="2" t="inlineStr">
        <is>
          <t>2026/06/22</t>
        </is>
      </c>
      <c r="B319" s="2" t="inlineStr">
        <is>
          <t>8系三元材料</t>
        </is>
      </c>
      <c r="C319" s="3" t="n">
        <v>209500</v>
      </c>
      <c r="D319" s="4" t="n">
        <v>219100</v>
      </c>
      <c r="E319" s="4" t="n">
        <v>214300</v>
      </c>
      <c r="F319" s="4" t="n">
        <v>-3700</v>
      </c>
      <c r="G319" s="5" t="inlineStr">
        <is>
          <t>元/吨</t>
        </is>
      </c>
      <c r="H319" s="5" t="inlineStr">
        <is>
          <t>SMM</t>
        </is>
      </c>
    </row>
    <row r="320">
      <c r="A320" s="2" t="inlineStr">
        <is>
          <t>2026/06/22</t>
        </is>
      </c>
      <c r="B320" s="2" t="inlineStr">
        <is>
          <t>MHP系数（对SMM电池级硫酸镍指数）</t>
        </is>
      </c>
      <c r="C320" s="7" t="n">
        <v>86</v>
      </c>
      <c r="D320" s="6" t="n">
        <v>87</v>
      </c>
      <c r="E320" s="6" t="n">
        <v>86.5</v>
      </c>
      <c r="F320" s="4" t="n">
        <v>0</v>
      </c>
      <c r="G320" s="5" t="inlineStr">
        <is>
          <t>%</t>
        </is>
      </c>
      <c r="H320" s="5" t="inlineStr">
        <is>
          <t>SMM</t>
        </is>
      </c>
    </row>
    <row r="321">
      <c r="A321" s="2" t="inlineStr">
        <is>
          <t>2026/06/22</t>
        </is>
      </c>
      <c r="B321" s="2" t="inlineStr">
        <is>
          <t>MHP钴元素计价系数（对SMM硫酸钴均价）</t>
        </is>
      </c>
      <c r="C321" s="7" t="n">
        <v>92</v>
      </c>
      <c r="D321" s="6" t="n">
        <v>93</v>
      </c>
      <c r="E321" s="6" t="n">
        <v>92.5</v>
      </c>
      <c r="F321" s="4" t="n">
        <v>0</v>
      </c>
      <c r="G321" s="5" t="inlineStr">
        <is>
          <t>%</t>
        </is>
      </c>
      <c r="H321" s="5" t="inlineStr">
        <is>
          <t>SMM</t>
        </is>
      </c>
    </row>
    <row r="322">
      <c r="A322" s="2" t="inlineStr">
        <is>
          <t>2026/06/22</t>
        </is>
      </c>
      <c r="B322" s="2" t="inlineStr">
        <is>
          <t>NCA三元材料</t>
        </is>
      </c>
      <c r="C322" s="3" t="n">
        <v>206300</v>
      </c>
      <c r="D322" s="4" t="n">
        <v>214600</v>
      </c>
      <c r="E322" s="4" t="n">
        <v>210450</v>
      </c>
      <c r="F322" s="4" t="n">
        <v>-4000</v>
      </c>
      <c r="G322" s="5" t="inlineStr">
        <is>
          <t>元/吨</t>
        </is>
      </c>
      <c r="H322" s="5" t="inlineStr">
        <is>
          <t>SMM</t>
        </is>
      </c>
    </row>
    <row r="323">
      <c r="A323" s="2" t="inlineStr">
        <is>
          <t>2026/06/22</t>
        </is>
      </c>
      <c r="B323" s="2" t="inlineStr">
        <is>
          <t>SMM三元极片粉钴系数指数</t>
        </is>
      </c>
      <c r="C323" s="7" t="n">
        <v>78.70999999999999</v>
      </c>
      <c r="D323" s="6" t="n">
        <v>78.70999999999999</v>
      </c>
      <c r="E323" s="6" t="n">
        <v>78.70999999999999</v>
      </c>
      <c r="F323" s="6" t="n">
        <v>-0.28</v>
      </c>
      <c r="G323" s="5" t="inlineStr">
        <is>
          <t>%</t>
        </is>
      </c>
      <c r="H323" s="5" t="inlineStr">
        <is>
          <t>SMM</t>
        </is>
      </c>
    </row>
    <row r="324">
      <c r="A324" s="2" t="inlineStr">
        <is>
          <t>2026/06/22</t>
        </is>
      </c>
      <c r="B324" s="2" t="inlineStr">
        <is>
          <t>SMM三元极片粉锂系数指数</t>
        </is>
      </c>
      <c r="C324" s="7" t="n">
        <v>78.72</v>
      </c>
      <c r="D324" s="6" t="n">
        <v>78.72</v>
      </c>
      <c r="E324" s="6" t="n">
        <v>78.72</v>
      </c>
      <c r="F324" s="6" t="n">
        <v>-0.28</v>
      </c>
      <c r="G324" s="5" t="inlineStr">
        <is>
          <t>%</t>
        </is>
      </c>
      <c r="H324" s="5" t="inlineStr">
        <is>
          <t>SMM</t>
        </is>
      </c>
    </row>
    <row r="325">
      <c r="A325" s="2" t="inlineStr">
        <is>
          <t>2026/06/22</t>
        </is>
      </c>
      <c r="B325" s="2" t="inlineStr">
        <is>
          <t>SMM三元极片粉镍系数指数</t>
        </is>
      </c>
      <c r="C325" s="7" t="n">
        <v>78.72</v>
      </c>
      <c r="D325" s="6" t="n">
        <v>78.72</v>
      </c>
      <c r="E325" s="6" t="n">
        <v>78.72</v>
      </c>
      <c r="F325" s="6" t="n">
        <v>-0.28</v>
      </c>
      <c r="G325" s="5" t="inlineStr">
        <is>
          <t>%</t>
        </is>
      </c>
      <c r="H325" s="5" t="inlineStr">
        <is>
          <t>SMM</t>
        </is>
      </c>
    </row>
    <row r="326">
      <c r="A326" s="2" t="inlineStr">
        <is>
          <t>2026/06/22</t>
        </is>
      </c>
      <c r="B326" s="2" t="inlineStr">
        <is>
          <t>SMM三元电池粉钴系数指数</t>
        </is>
      </c>
      <c r="C326" s="7" t="n">
        <v>75.2</v>
      </c>
      <c r="D326" s="6" t="n">
        <v>75.2</v>
      </c>
      <c r="E326" s="6" t="n">
        <v>75.2</v>
      </c>
      <c r="F326" s="6" t="n">
        <v>-0.52</v>
      </c>
      <c r="G326" s="5" t="inlineStr">
        <is>
          <t>%</t>
        </is>
      </c>
      <c r="H326" s="5" t="inlineStr">
        <is>
          <t>SMM</t>
        </is>
      </c>
    </row>
    <row r="327">
      <c r="A327" s="2" t="inlineStr">
        <is>
          <t>2026/06/22</t>
        </is>
      </c>
      <c r="B327" s="2" t="inlineStr">
        <is>
          <t>SMM三元电池粉锂系数指数</t>
        </is>
      </c>
      <c r="C327" s="7" t="n">
        <v>75.22</v>
      </c>
      <c r="D327" s="6" t="n">
        <v>75.22</v>
      </c>
      <c r="E327" s="6" t="n">
        <v>75.22</v>
      </c>
      <c r="F327" s="6" t="n">
        <v>-0.51</v>
      </c>
      <c r="G327" s="5" t="inlineStr">
        <is>
          <t>%</t>
        </is>
      </c>
      <c r="H327" s="5" t="inlineStr">
        <is>
          <t>SMM</t>
        </is>
      </c>
    </row>
    <row r="328">
      <c r="A328" s="2" t="inlineStr">
        <is>
          <t>2026/06/22</t>
        </is>
      </c>
      <c r="B328" s="2" t="inlineStr">
        <is>
          <t>SMM三元电池粉镍系数指数</t>
        </is>
      </c>
      <c r="C328" s="7" t="n">
        <v>75.22</v>
      </c>
      <c r="D328" s="6" t="n">
        <v>75.22</v>
      </c>
      <c r="E328" s="6" t="n">
        <v>75.22</v>
      </c>
      <c r="F328" s="6" t="n">
        <v>-0.51</v>
      </c>
      <c r="G328" s="5" t="inlineStr">
        <is>
          <t>%</t>
        </is>
      </c>
      <c r="H328" s="5" t="inlineStr">
        <is>
          <t>SMM</t>
        </is>
      </c>
    </row>
    <row r="329">
      <c r="A329" s="2" t="inlineStr">
        <is>
          <t>2026/06/22</t>
        </is>
      </c>
      <c r="B329" s="2" t="inlineStr">
        <is>
          <t>SMM六氟磷酸锂指数</t>
        </is>
      </c>
      <c r="C329" s="3" t="n">
        <v>101464</v>
      </c>
      <c r="D329" s="4" t="n">
        <v>105605</v>
      </c>
      <c r="E329" s="4" t="n">
        <v>103534.5</v>
      </c>
      <c r="F329" s="4" t="n">
        <v>-345.5</v>
      </c>
      <c r="G329" s="5" t="inlineStr">
        <is>
          <t>元/吨</t>
        </is>
      </c>
      <c r="H329" s="5" t="inlineStr">
        <is>
          <t>SMM</t>
        </is>
      </c>
    </row>
    <row r="330">
      <c r="A330" s="2" t="inlineStr">
        <is>
          <t>2026/06/22</t>
        </is>
      </c>
      <c r="B330" s="2" t="inlineStr">
        <is>
          <t>SMM电池级氢氧化锂指数</t>
        </is>
      </c>
      <c r="C330" s="3" t="n">
        <v>144244</v>
      </c>
      <c r="D330" s="4" t="n">
        <v>144244</v>
      </c>
      <c r="E330" s="4" t="n">
        <v>144244</v>
      </c>
      <c r="F330" s="4" t="n">
        <v>-8373</v>
      </c>
      <c r="G330" s="5" t="inlineStr">
        <is>
          <t>元/吨</t>
        </is>
      </c>
      <c r="H330" s="5" t="inlineStr">
        <is>
          <t>SMM</t>
        </is>
      </c>
    </row>
    <row r="331">
      <c r="A331" s="2" t="inlineStr">
        <is>
          <t>2026/06/22</t>
        </is>
      </c>
      <c r="B331" s="2" t="inlineStr">
        <is>
          <t>SMM电池级硫酸锰指数</t>
        </is>
      </c>
      <c r="C331" s="3" t="n">
        <v>7643</v>
      </c>
      <c r="D331" s="4" t="n">
        <v>7643</v>
      </c>
      <c r="E331" s="4" t="n">
        <v>7643</v>
      </c>
      <c r="F331" s="6" t="n">
        <v>-15</v>
      </c>
      <c r="G331" s="5" t="inlineStr">
        <is>
          <t>元/吨</t>
        </is>
      </c>
      <c r="H331" s="5" t="inlineStr">
        <is>
          <t>SMM</t>
        </is>
      </c>
    </row>
    <row r="332">
      <c r="A332" s="2" t="inlineStr">
        <is>
          <t>2026/06/22</t>
        </is>
      </c>
      <c r="B332" s="2" t="inlineStr">
        <is>
          <t>SMM电池级硫酸镍指数</t>
        </is>
      </c>
      <c r="C332" s="3" t="n">
        <v>32938</v>
      </c>
      <c r="D332" s="4" t="n">
        <v>32938</v>
      </c>
      <c r="E332" s="4" t="n">
        <v>32938</v>
      </c>
      <c r="F332" s="6" t="n">
        <v>-62</v>
      </c>
      <c r="G332" s="5" t="inlineStr">
        <is>
          <t>元/吨</t>
        </is>
      </c>
      <c r="H332" s="5" t="inlineStr">
        <is>
          <t>SMM</t>
        </is>
      </c>
    </row>
    <row r="333">
      <c r="A333" s="2" t="inlineStr">
        <is>
          <t>2026/06/22</t>
        </is>
      </c>
      <c r="B333" s="2" t="inlineStr">
        <is>
          <t>SMM电池级碳酸锂指数</t>
        </is>
      </c>
      <c r="C333" s="3" t="n">
        <v>155793</v>
      </c>
      <c r="D333" s="4" t="n">
        <v>155793</v>
      </c>
      <c r="E333" s="4" t="n">
        <v>155793</v>
      </c>
      <c r="F333" s="4" t="n">
        <v>-11260</v>
      </c>
      <c r="G333" s="5" t="inlineStr">
        <is>
          <t>元/吨</t>
        </is>
      </c>
      <c r="H333" s="5" t="inlineStr">
        <is>
          <t>SMM</t>
        </is>
      </c>
    </row>
    <row r="334">
      <c r="A334" s="2" t="inlineStr">
        <is>
          <t>2026/06/22</t>
        </is>
      </c>
      <c r="B334" s="2" t="inlineStr">
        <is>
          <t>SMM硫酸钴指数</t>
        </is>
      </c>
      <c r="C334" s="3" t="n">
        <v>87725</v>
      </c>
      <c r="D334" s="4" t="n">
        <v>87725</v>
      </c>
      <c r="E334" s="4" t="n">
        <v>87725</v>
      </c>
      <c r="F334" s="4" t="n">
        <v>-562</v>
      </c>
      <c r="G334" s="5" t="inlineStr">
        <is>
          <t>元/吨</t>
        </is>
      </c>
      <c r="H334" s="5" t="inlineStr">
        <is>
          <t>SMM</t>
        </is>
      </c>
    </row>
    <row r="335">
      <c r="A335" s="2" t="inlineStr">
        <is>
          <t>2026/06/22</t>
        </is>
      </c>
      <c r="B335" s="2" t="inlineStr">
        <is>
          <t>SMM磷酸铁锂极片粉指数</t>
        </is>
      </c>
      <c r="C335" s="3" t="n">
        <v>7068</v>
      </c>
      <c r="D335" s="4" t="n">
        <v>7068</v>
      </c>
      <c r="E335" s="4" t="n">
        <v>7068</v>
      </c>
      <c r="F335" s="4" t="n">
        <v>-390</v>
      </c>
      <c r="G335" s="5" t="inlineStr">
        <is>
          <t>元/锂点</t>
        </is>
      </c>
      <c r="H335" s="5" t="inlineStr">
        <is>
          <t>SMM</t>
        </is>
      </c>
    </row>
    <row r="336">
      <c r="A336" s="2" t="inlineStr">
        <is>
          <t>2026/06/22</t>
        </is>
      </c>
      <c r="B336" s="2" t="inlineStr">
        <is>
          <t>SMM磷酸铁锂电池粉指数</t>
        </is>
      </c>
      <c r="C336" s="3" t="n">
        <v>6606</v>
      </c>
      <c r="D336" s="4" t="n">
        <v>6606</v>
      </c>
      <c r="E336" s="4" t="n">
        <v>6606</v>
      </c>
      <c r="F336" s="4" t="n">
        <v>-369</v>
      </c>
      <c r="G336" s="5" t="inlineStr">
        <is>
          <t>元/锂点</t>
        </is>
      </c>
      <c r="H336" s="5" t="inlineStr">
        <is>
          <t>SMM</t>
        </is>
      </c>
    </row>
    <row r="337">
      <c r="A337" s="2" t="inlineStr">
        <is>
          <t>2026/06/22</t>
        </is>
      </c>
      <c r="B337" s="2" t="inlineStr">
        <is>
          <t>SMM钴酸锂极片粉钴系数指数</t>
        </is>
      </c>
      <c r="C337" s="7" t="n">
        <v>82.3</v>
      </c>
      <c r="D337" s="6" t="n">
        <v>82.3</v>
      </c>
      <c r="E337" s="6" t="n">
        <v>82.3</v>
      </c>
      <c r="F337" s="6" t="n">
        <v>-0.23</v>
      </c>
      <c r="G337" s="5" t="inlineStr">
        <is>
          <t>%</t>
        </is>
      </c>
      <c r="H337" s="5" t="inlineStr">
        <is>
          <t>SMM</t>
        </is>
      </c>
    </row>
    <row r="338">
      <c r="A338" s="2" t="inlineStr">
        <is>
          <t>2026/06/22</t>
        </is>
      </c>
      <c r="B338" s="2" t="inlineStr">
        <is>
          <t>SMM钴酸锂极片粉锂系数指数</t>
        </is>
      </c>
      <c r="C338" s="7" t="n">
        <v>76.5</v>
      </c>
      <c r="D338" s="6" t="n">
        <v>76.5</v>
      </c>
      <c r="E338" s="6" t="n">
        <v>76.5</v>
      </c>
      <c r="F338" s="4" t="n">
        <v>0</v>
      </c>
      <c r="G338" s="5" t="inlineStr">
        <is>
          <t>%</t>
        </is>
      </c>
      <c r="H338" s="5" t="inlineStr">
        <is>
          <t>SMM</t>
        </is>
      </c>
    </row>
    <row r="339">
      <c r="A339" s="2" t="inlineStr">
        <is>
          <t>2026/06/22</t>
        </is>
      </c>
      <c r="B339" s="2" t="inlineStr">
        <is>
          <t>SMM钴酸锂电池粉钴系数指数</t>
        </is>
      </c>
      <c r="C339" s="7" t="n">
        <v>79.97</v>
      </c>
      <c r="D339" s="6" t="n">
        <v>79.97</v>
      </c>
      <c r="E339" s="6" t="n">
        <v>79.97</v>
      </c>
      <c r="F339" s="6" t="n">
        <v>-0.16</v>
      </c>
      <c r="G339" s="5" t="inlineStr">
        <is>
          <t>%</t>
        </is>
      </c>
      <c r="H339" s="5" t="inlineStr">
        <is>
          <t>SMM</t>
        </is>
      </c>
    </row>
    <row r="340">
      <c r="A340" s="2" t="inlineStr">
        <is>
          <t>2026/06/22</t>
        </is>
      </c>
      <c r="B340" s="2" t="inlineStr">
        <is>
          <t>SMM钴酸锂电池粉锂系数指数</t>
        </is>
      </c>
      <c r="C340" s="7" t="n">
        <v>76.11</v>
      </c>
      <c r="D340" s="6" t="n">
        <v>76.11</v>
      </c>
      <c r="E340" s="6" t="n">
        <v>76.11</v>
      </c>
      <c r="F340" s="4" t="n">
        <v>0</v>
      </c>
      <c r="G340" s="5" t="inlineStr">
        <is>
          <t>%</t>
        </is>
      </c>
      <c r="H340" s="5" t="inlineStr">
        <is>
          <t>SMM</t>
        </is>
      </c>
    </row>
    <row r="341">
      <c r="A341" s="2" t="inlineStr">
        <is>
          <t>2026/06/22</t>
        </is>
      </c>
      <c r="B341" s="2" t="inlineStr">
        <is>
          <t>三元方壳锂电B品</t>
        </is>
      </c>
      <c r="C341" s="7" t="n">
        <v>0.75</v>
      </c>
      <c r="D341" s="6" t="n">
        <v>0.85</v>
      </c>
      <c r="E341" s="6" t="n">
        <v>0.8</v>
      </c>
      <c r="F341" s="4" t="n">
        <v>0</v>
      </c>
      <c r="G341" s="5" t="inlineStr">
        <is>
          <t>元/Ah</t>
        </is>
      </c>
      <c r="H341" s="5" t="inlineStr">
        <is>
          <t>SMM</t>
        </is>
      </c>
    </row>
    <row r="342">
      <c r="A342" s="2" t="inlineStr">
        <is>
          <t>2026/06/22</t>
        </is>
      </c>
      <c r="B342" s="2" t="inlineStr">
        <is>
          <t>六氟磷酸锂（国产）</t>
        </is>
      </c>
      <c r="C342" s="3" t="n">
        <v>108000</v>
      </c>
      <c r="D342" s="4" t="n">
        <v>112000</v>
      </c>
      <c r="E342" s="4" t="n">
        <v>110000</v>
      </c>
      <c r="F342" s="4" t="n">
        <v>-1000</v>
      </c>
      <c r="G342" s="5" t="inlineStr">
        <is>
          <t>元/吨</t>
        </is>
      </c>
      <c r="H342" s="5" t="inlineStr">
        <is>
          <t>SMM</t>
        </is>
      </c>
    </row>
    <row r="343">
      <c r="A343" s="2" t="inlineStr">
        <is>
          <t>2026/06/22</t>
        </is>
      </c>
      <c r="B343" s="2" t="inlineStr">
        <is>
          <t>四氧化三钴</t>
        </is>
      </c>
      <c r="C343" s="3" t="n">
        <v>332000</v>
      </c>
      <c r="D343" s="4" t="n">
        <v>342000</v>
      </c>
      <c r="E343" s="4" t="n">
        <v>337000</v>
      </c>
      <c r="F343" s="4" t="n">
        <v>-1500</v>
      </c>
      <c r="G343" s="5" t="inlineStr">
        <is>
          <t>元/吨</t>
        </is>
      </c>
      <c r="H343" s="5" t="inlineStr">
        <is>
          <t>SMM</t>
        </is>
      </c>
    </row>
    <row r="344">
      <c r="A344" s="2" t="inlineStr">
        <is>
          <t>2026/06/22</t>
        </is>
      </c>
      <c r="B344" s="2" t="inlineStr">
        <is>
          <t>四氧化三锰（电池级）</t>
        </is>
      </c>
      <c r="C344" s="3" t="n">
        <v>14000</v>
      </c>
      <c r="D344" s="4" t="n">
        <v>16000</v>
      </c>
      <c r="E344" s="4" t="n">
        <v>15000</v>
      </c>
      <c r="F344" s="4" t="n">
        <v>0</v>
      </c>
      <c r="G344" s="5" t="inlineStr">
        <is>
          <t>元/吨</t>
        </is>
      </c>
      <c r="H344" s="5" t="inlineStr">
        <is>
          <t>SMM</t>
        </is>
      </c>
    </row>
    <row r="345">
      <c r="A345" s="2" t="inlineStr">
        <is>
          <t>2026/06/22</t>
        </is>
      </c>
      <c r="B345" s="2" t="inlineStr">
        <is>
          <t>工业级氢氧化锂</t>
        </is>
      </c>
      <c r="C345" s="3" t="n">
        <v>128000</v>
      </c>
      <c r="D345" s="4" t="n">
        <v>134000</v>
      </c>
      <c r="E345" s="4" t="n">
        <v>131000</v>
      </c>
      <c r="F345" s="4" t="n">
        <v>-9000</v>
      </c>
      <c r="G345" s="5" t="inlineStr">
        <is>
          <t>元/吨</t>
        </is>
      </c>
      <c r="H345" s="5" t="inlineStr">
        <is>
          <t>SMM</t>
        </is>
      </c>
    </row>
    <row r="346">
      <c r="A346" s="2" t="inlineStr">
        <is>
          <t>2026/06/22</t>
        </is>
      </c>
      <c r="B346" s="2" t="inlineStr">
        <is>
          <t>工业级碳酸锂</t>
        </is>
      </c>
      <c r="C346" s="3" t="n">
        <v>147000</v>
      </c>
      <c r="D346" s="4" t="n">
        <v>159000</v>
      </c>
      <c r="E346" s="4" t="n">
        <v>153000</v>
      </c>
      <c r="F346" s="4" t="n">
        <v>-10250</v>
      </c>
      <c r="G346" s="5" t="inlineStr">
        <is>
          <t>元/吨</t>
        </is>
      </c>
      <c r="H346" s="5" t="inlineStr">
        <is>
          <t>SMM</t>
        </is>
      </c>
    </row>
    <row r="347">
      <c r="A347" s="2" t="inlineStr">
        <is>
          <t>2026/06/22</t>
        </is>
      </c>
      <c r="B347" s="2" t="inlineStr">
        <is>
          <t>工业级金属锂</t>
        </is>
      </c>
      <c r="C347" s="3" t="n">
        <v>1070000</v>
      </c>
      <c r="D347" s="4" t="n">
        <v>1100000</v>
      </c>
      <c r="E347" s="4" t="n">
        <v>1085000</v>
      </c>
      <c r="F347" s="4" t="n">
        <v>-15000</v>
      </c>
      <c r="G347" s="5" t="inlineStr">
        <is>
          <t>元/吨</t>
        </is>
      </c>
      <c r="H347" s="5" t="inlineStr">
        <is>
          <t>SMM</t>
        </is>
      </c>
    </row>
    <row r="348">
      <c r="A348" s="2" t="inlineStr">
        <is>
          <t>2026/06/22</t>
        </is>
      </c>
      <c r="B348" s="2" t="inlineStr">
        <is>
          <t>巴西锂辉石精矿（CIF中国）现货</t>
        </is>
      </c>
      <c r="C348" s="3" t="n">
        <v>2160</v>
      </c>
      <c r="D348" s="4" t="n">
        <v>2330</v>
      </c>
      <c r="E348" s="4" t="n">
        <v>2245</v>
      </c>
      <c r="F348" s="4" t="n">
        <v>-190</v>
      </c>
      <c r="G348" s="5" t="inlineStr">
        <is>
          <t>美元/吨</t>
        </is>
      </c>
      <c r="H348" s="5" t="inlineStr">
        <is>
          <t>SMM</t>
        </is>
      </c>
    </row>
    <row r="349">
      <c r="A349" s="2" t="inlineStr">
        <is>
          <t>2026/06/22</t>
        </is>
      </c>
      <c r="B349" s="2" t="inlineStr">
        <is>
          <t>废旧磷酸铁锂储能正极片</t>
        </is>
      </c>
      <c r="C349" s="3" t="n">
        <v>20900</v>
      </c>
      <c r="D349" s="4" t="n">
        <v>24000</v>
      </c>
      <c r="E349" s="4" t="n">
        <v>22450</v>
      </c>
      <c r="F349" s="4" t="n">
        <v>-1050</v>
      </c>
      <c r="G349" s="5" t="inlineStr">
        <is>
          <t>元/吨</t>
        </is>
      </c>
      <c r="H349" s="5" t="inlineStr">
        <is>
          <t>SMM</t>
        </is>
      </c>
    </row>
    <row r="350">
      <c r="A350" s="2" t="inlineStr">
        <is>
          <t>2026/06/22</t>
        </is>
      </c>
      <c r="B350" s="2" t="inlineStr">
        <is>
          <t>废旧磷酸铁锂动力正极片</t>
        </is>
      </c>
      <c r="C350" s="3" t="n">
        <v>24800</v>
      </c>
      <c r="D350" s="4" t="n">
        <v>28750</v>
      </c>
      <c r="E350" s="4" t="n">
        <v>26775</v>
      </c>
      <c r="F350" s="4" t="n">
        <v>-1325</v>
      </c>
      <c r="G350" s="5" t="inlineStr">
        <is>
          <t>元/吨</t>
        </is>
      </c>
      <c r="H350" s="5" t="inlineStr">
        <is>
          <t>SMM</t>
        </is>
      </c>
    </row>
    <row r="351">
      <c r="A351" s="2" t="inlineStr">
        <is>
          <t>2026/06/22</t>
        </is>
      </c>
      <c r="B351" s="2" t="inlineStr">
        <is>
          <t>废旧磷酸铁锂软包电池</t>
        </is>
      </c>
      <c r="C351" s="3" t="n">
        <v>16000</v>
      </c>
      <c r="D351" s="4" t="n">
        <v>17200</v>
      </c>
      <c r="E351" s="4" t="n">
        <v>16600</v>
      </c>
      <c r="F351" s="4" t="n">
        <v>-350</v>
      </c>
      <c r="G351" s="5" t="inlineStr">
        <is>
          <t>元/吨</t>
        </is>
      </c>
      <c r="H351" s="5" t="inlineStr">
        <is>
          <t>SMM</t>
        </is>
      </c>
    </row>
    <row r="352">
      <c r="A352" s="2" t="inlineStr">
        <is>
          <t>2026/06/22</t>
        </is>
      </c>
      <c r="B352" s="2" t="inlineStr">
        <is>
          <t>废旧磷酸铁锂钢壳电池</t>
        </is>
      </c>
      <c r="C352" s="3" t="n">
        <v>10000</v>
      </c>
      <c r="D352" s="4" t="n">
        <v>11500</v>
      </c>
      <c r="E352" s="4" t="n">
        <v>10750</v>
      </c>
      <c r="F352" s="4" t="n">
        <v>-250</v>
      </c>
      <c r="G352" s="5" t="inlineStr">
        <is>
          <t>元/吨</t>
        </is>
      </c>
      <c r="H352" s="5" t="inlineStr">
        <is>
          <t>SMM</t>
        </is>
      </c>
    </row>
    <row r="353">
      <c r="A353" s="2" t="inlineStr">
        <is>
          <t>2026/06/22</t>
        </is>
      </c>
      <c r="B353" s="2" t="inlineStr">
        <is>
          <t>废旧磷酸铁锂铝壳电池</t>
        </is>
      </c>
      <c r="C353" s="3" t="n">
        <v>17400</v>
      </c>
      <c r="D353" s="4" t="n">
        <v>18200</v>
      </c>
      <c r="E353" s="4" t="n">
        <v>17800</v>
      </c>
      <c r="F353" s="4" t="n">
        <v>-300</v>
      </c>
      <c r="G353" s="5" t="inlineStr">
        <is>
          <t>元/吨</t>
        </is>
      </c>
      <c r="H353" s="5" t="inlineStr">
        <is>
          <t>SMM</t>
        </is>
      </c>
    </row>
    <row r="354">
      <c r="A354" s="2" t="inlineStr">
        <is>
          <t>2026/06/22</t>
        </is>
      </c>
      <c r="B354" s="2" t="inlineStr">
        <is>
          <t>方形磷酸铁锂电池B品</t>
        </is>
      </c>
      <c r="C354" s="7" t="n">
        <v>0.68</v>
      </c>
      <c r="D354" s="6" t="n">
        <v>0.8</v>
      </c>
      <c r="E354" s="6" t="n">
        <v>0.74</v>
      </c>
      <c r="F354" s="4" t="n">
        <v>0</v>
      </c>
      <c r="G354" s="5" t="inlineStr">
        <is>
          <t>元/Ah</t>
        </is>
      </c>
      <c r="H354" s="5" t="inlineStr">
        <is>
          <t>SMM</t>
        </is>
      </c>
    </row>
    <row r="355">
      <c r="A355" s="2" t="inlineStr">
        <is>
          <t>2026/06/22</t>
        </is>
      </c>
      <c r="B355" s="2" t="inlineStr">
        <is>
          <t>氧化亚镍</t>
        </is>
      </c>
      <c r="C355" s="3" t="n">
        <v>118000</v>
      </c>
      <c r="D355" s="4" t="n">
        <v>126000</v>
      </c>
      <c r="E355" s="4" t="n">
        <v>122000</v>
      </c>
      <c r="F355" s="4" t="n">
        <v>0</v>
      </c>
      <c r="G355" s="5" t="inlineStr">
        <is>
          <t>元/吨</t>
        </is>
      </c>
      <c r="H355" s="5" t="inlineStr">
        <is>
          <t>SMM</t>
        </is>
      </c>
    </row>
    <row r="356">
      <c r="A356" s="2" t="inlineStr">
        <is>
          <t>2026/06/22</t>
        </is>
      </c>
      <c r="B356" s="2" t="inlineStr">
        <is>
          <t>氧化钴</t>
        </is>
      </c>
      <c r="C356" s="3" t="n">
        <v>305000</v>
      </c>
      <c r="D356" s="4" t="n">
        <v>320000</v>
      </c>
      <c r="E356" s="4" t="n">
        <v>312500</v>
      </c>
      <c r="F356" s="4" t="n">
        <v>0</v>
      </c>
      <c r="G356" s="5" t="inlineStr">
        <is>
          <t>元/吨</t>
        </is>
      </c>
      <c r="H356" s="5" t="inlineStr">
        <is>
          <t>SMM</t>
        </is>
      </c>
    </row>
    <row r="357">
      <c r="A357" s="2" t="inlineStr">
        <is>
          <t>2026/06/22</t>
        </is>
      </c>
      <c r="B357" s="2" t="inlineStr">
        <is>
          <t>氯化钴</t>
        </is>
      </c>
      <c r="C357" s="3" t="n">
        <v>105800</v>
      </c>
      <c r="D357" s="4" t="n">
        <v>109000</v>
      </c>
      <c r="E357" s="4" t="n">
        <v>107400</v>
      </c>
      <c r="F357" s="4" t="n">
        <v>-1600</v>
      </c>
      <c r="G357" s="5" t="inlineStr">
        <is>
          <t>元/吨</t>
        </is>
      </c>
      <c r="H357" s="5" t="inlineStr">
        <is>
          <t>SMM</t>
        </is>
      </c>
    </row>
    <row r="358">
      <c r="A358" s="2" t="inlineStr">
        <is>
          <t>2026/06/22</t>
        </is>
      </c>
      <c r="B358" s="2" t="inlineStr">
        <is>
          <t>氯化镍NiCl₂·6H₂O</t>
        </is>
      </c>
      <c r="C358" s="3" t="n">
        <v>38500</v>
      </c>
      <c r="D358" s="4" t="n">
        <v>41000</v>
      </c>
      <c r="E358" s="4" t="n">
        <v>39750</v>
      </c>
      <c r="F358" s="4" t="n">
        <v>0</v>
      </c>
      <c r="G358" s="5" t="inlineStr">
        <is>
          <t>元/吨</t>
        </is>
      </c>
      <c r="H358" s="5" t="inlineStr">
        <is>
          <t>SMM</t>
        </is>
      </c>
    </row>
    <row r="359">
      <c r="A359" s="2" t="inlineStr">
        <is>
          <t>2026/06/22</t>
        </is>
      </c>
      <c r="B359" s="2" t="inlineStr">
        <is>
          <t>津巴布韦锂辉石精矿（CIF中国）现货</t>
        </is>
      </c>
      <c r="C359" s="3" t="n">
        <v>2380</v>
      </c>
      <c r="D359" s="4" t="n">
        <v>2450</v>
      </c>
      <c r="E359" s="4" t="n">
        <v>2415</v>
      </c>
      <c r="F359" s="6" t="n">
        <v>-60</v>
      </c>
      <c r="G359" s="5" t="inlineStr">
        <is>
          <t>美元/吨</t>
        </is>
      </c>
      <c r="H359" s="5" t="inlineStr">
        <is>
          <t>SMM</t>
        </is>
      </c>
    </row>
    <row r="360">
      <c r="A360" s="2" t="inlineStr">
        <is>
          <t>2026/06/22</t>
        </is>
      </c>
      <c r="B360" s="2" t="inlineStr">
        <is>
          <t>澳大利亚锂辉石精矿（CIF中国）现货</t>
        </is>
      </c>
      <c r="C360" s="3" t="n">
        <v>2180</v>
      </c>
      <c r="D360" s="4" t="n">
        <v>2340</v>
      </c>
      <c r="E360" s="4" t="n">
        <v>2260</v>
      </c>
      <c r="F360" s="4" t="n">
        <v>-190</v>
      </c>
      <c r="G360" s="5" t="inlineStr">
        <is>
          <t>美元/吨</t>
        </is>
      </c>
      <c r="H360" s="5" t="inlineStr">
        <is>
          <t>SMM</t>
        </is>
      </c>
    </row>
    <row r="361">
      <c r="A361" s="2" t="inlineStr">
        <is>
          <t>2026/06/22</t>
        </is>
      </c>
      <c r="B361" s="2" t="inlineStr">
        <is>
          <t>电池级无水氯化锂</t>
        </is>
      </c>
      <c r="C361" s="3" t="n">
        <v>235</v>
      </c>
      <c r="D361" s="4" t="n">
        <v>291</v>
      </c>
      <c r="E361" s="4" t="n">
        <v>263</v>
      </c>
      <c r="F361" s="4" t="n">
        <v>0</v>
      </c>
      <c r="G361" s="5" t="inlineStr">
        <is>
          <t>元/千克</t>
        </is>
      </c>
      <c r="H361" s="5" t="inlineStr">
        <is>
          <t>SMM</t>
        </is>
      </c>
    </row>
    <row r="362">
      <c r="A362" s="2" t="inlineStr">
        <is>
          <t>2026/06/22</t>
        </is>
      </c>
      <c r="B362" s="2" t="inlineStr">
        <is>
          <t>电池级氟化锂</t>
        </is>
      </c>
      <c r="C362" s="3" t="n">
        <v>275000</v>
      </c>
      <c r="D362" s="4" t="n">
        <v>285000</v>
      </c>
      <c r="E362" s="4" t="n">
        <v>280000</v>
      </c>
      <c r="F362" s="4" t="n">
        <v>-7500</v>
      </c>
      <c r="G362" s="5" t="inlineStr">
        <is>
          <t>元/吨</t>
        </is>
      </c>
      <c r="H362" s="5" t="inlineStr">
        <is>
          <t>SMM</t>
        </is>
      </c>
    </row>
    <row r="363">
      <c r="A363" s="2" t="inlineStr">
        <is>
          <t>2026/06/22</t>
        </is>
      </c>
      <c r="B363" s="2" t="inlineStr">
        <is>
          <t>电池级氢氧化锂(CIF中日韩)</t>
        </is>
      </c>
      <c r="C363" s="7" t="n">
        <v>17.4</v>
      </c>
      <c r="D363" s="6" t="n">
        <v>20.3</v>
      </c>
      <c r="E363" s="6" t="n">
        <v>18.85</v>
      </c>
      <c r="F363" s="6" t="n">
        <v>-0.55</v>
      </c>
      <c r="G363" s="5" t="inlineStr">
        <is>
          <t>美元/千克</t>
        </is>
      </c>
      <c r="H363" s="5" t="inlineStr">
        <is>
          <t>SMM</t>
        </is>
      </c>
    </row>
    <row r="364">
      <c r="A364" s="2" t="inlineStr">
        <is>
          <t>2026/06/22</t>
        </is>
      </c>
      <c r="B364" s="2" t="inlineStr">
        <is>
          <t>电池级氢氧化锂(CIF韩国)</t>
        </is>
      </c>
      <c r="C364" s="7" t="n">
        <v>17.1</v>
      </c>
      <c r="D364" s="6" t="n">
        <v>20.4</v>
      </c>
      <c r="E364" s="6" t="n">
        <v>18.75</v>
      </c>
      <c r="F364" s="6" t="n">
        <v>-0.55</v>
      </c>
      <c r="G364" s="5" t="inlineStr">
        <is>
          <t>美元/千克</t>
        </is>
      </c>
      <c r="H364" s="5" t="inlineStr">
        <is>
          <t>SMM</t>
        </is>
      </c>
    </row>
    <row r="365">
      <c r="A365" s="2" t="inlineStr">
        <is>
          <t>2026/06/22</t>
        </is>
      </c>
      <c r="B365" s="2" t="inlineStr">
        <is>
          <t>电池级氢氧化锂(微粉）</t>
        </is>
      </c>
      <c r="C365" s="3" t="n">
        <v>141000</v>
      </c>
      <c r="D365" s="4" t="n">
        <v>158000</v>
      </c>
      <c r="E365" s="4" t="n">
        <v>149500</v>
      </c>
      <c r="F365" s="4" t="n">
        <v>-9000</v>
      </c>
      <c r="G365" s="5" t="inlineStr">
        <is>
          <t>元/吨</t>
        </is>
      </c>
      <c r="H365" s="5" t="inlineStr">
        <is>
          <t>SMM</t>
        </is>
      </c>
    </row>
    <row r="366">
      <c r="A366" s="2" t="inlineStr">
        <is>
          <t>2026/06/22</t>
        </is>
      </c>
      <c r="B366" s="2" t="inlineStr">
        <is>
          <t>电池级氢氧化锂（粗颗粒）</t>
        </is>
      </c>
      <c r="C366" s="3" t="n">
        <v>133000</v>
      </c>
      <c r="D366" s="4" t="n">
        <v>154000</v>
      </c>
      <c r="E366" s="4" t="n">
        <v>143500</v>
      </c>
      <c r="F366" s="4" t="n">
        <v>-9000</v>
      </c>
      <c r="G366" s="5" t="inlineStr">
        <is>
          <t>元/吨</t>
        </is>
      </c>
      <c r="H366" s="5" t="inlineStr">
        <is>
          <t>SMM</t>
        </is>
      </c>
    </row>
    <row r="367">
      <c r="A367" s="2" t="inlineStr">
        <is>
          <t>2026/06/22</t>
        </is>
      </c>
      <c r="B367" s="2" t="inlineStr">
        <is>
          <t>电池级硫酸锰（出厂价）</t>
        </is>
      </c>
      <c r="C367" s="3" t="n">
        <v>7570</v>
      </c>
      <c r="D367" s="4" t="n">
        <v>7770</v>
      </c>
      <c r="E367" s="4" t="n">
        <v>7670</v>
      </c>
      <c r="F367" s="6" t="n">
        <v>-20</v>
      </c>
      <c r="G367" s="5" t="inlineStr">
        <is>
          <t>元/吨</t>
        </is>
      </c>
      <c r="H367" s="5" t="inlineStr">
        <is>
          <t>SMM</t>
        </is>
      </c>
    </row>
    <row r="368">
      <c r="A368" s="2" t="inlineStr">
        <is>
          <t>2026/06/22</t>
        </is>
      </c>
      <c r="B368" s="2" t="inlineStr">
        <is>
          <t>电池级硫酸镍</t>
        </is>
      </c>
      <c r="C368" s="3" t="n">
        <v>33170</v>
      </c>
      <c r="D368" s="4" t="n">
        <v>33550</v>
      </c>
      <c r="E368" s="4" t="n">
        <v>33360</v>
      </c>
      <c r="F368" s="4" t="n">
        <v>-200</v>
      </c>
      <c r="G368" s="5" t="inlineStr">
        <is>
          <t>元/吨</t>
        </is>
      </c>
      <c r="H368" s="5" t="inlineStr">
        <is>
          <t>SMM</t>
        </is>
      </c>
    </row>
    <row r="369">
      <c r="A369" s="2" t="inlineStr">
        <is>
          <t>2026/06/22</t>
        </is>
      </c>
      <c r="B369" s="2" t="inlineStr">
        <is>
          <t>电池级碳酸锂</t>
        </is>
      </c>
      <c r="C369" s="3" t="n">
        <v>151000</v>
      </c>
      <c r="D369" s="4" t="n">
        <v>163000</v>
      </c>
      <c r="E369" s="4" t="n">
        <v>157000</v>
      </c>
      <c r="F369" s="4" t="n">
        <v>-10250</v>
      </c>
      <c r="G369" s="5" t="inlineStr">
        <is>
          <t>元/吨</t>
        </is>
      </c>
      <c r="H369" s="5" t="inlineStr">
        <is>
          <t>SMM</t>
        </is>
      </c>
    </row>
    <row r="370">
      <c r="A370" s="2" t="inlineStr">
        <is>
          <t>2026/06/22</t>
        </is>
      </c>
      <c r="B370" s="2" t="inlineStr">
        <is>
          <t>电池级碳酸锂(CIF韩国)</t>
        </is>
      </c>
      <c r="C370" s="7" t="n">
        <v>19.2</v>
      </c>
      <c r="D370" s="6" t="n">
        <v>21.5</v>
      </c>
      <c r="E370" s="6" t="n">
        <v>20.35</v>
      </c>
      <c r="F370" s="6" t="n">
        <v>-0.53</v>
      </c>
      <c r="G370" s="5" t="inlineStr">
        <is>
          <t>美元/千克</t>
        </is>
      </c>
      <c r="H370" s="5" t="inlineStr">
        <is>
          <t>SMM</t>
        </is>
      </c>
    </row>
    <row r="371">
      <c r="A371" s="2" t="inlineStr">
        <is>
          <t>2026/06/22</t>
        </is>
      </c>
      <c r="B371" s="2" t="inlineStr">
        <is>
          <t>电池级碳酸锂（CIF中日韩）</t>
        </is>
      </c>
      <c r="C371" s="7" t="n">
        <v>19.3</v>
      </c>
      <c r="D371" s="6" t="n">
        <v>21.5</v>
      </c>
      <c r="E371" s="6" t="n">
        <v>20.4</v>
      </c>
      <c r="F371" s="6" t="n">
        <v>-0.6</v>
      </c>
      <c r="G371" s="5" t="inlineStr">
        <is>
          <t>美元/千克</t>
        </is>
      </c>
      <c r="H371" s="5" t="inlineStr">
        <is>
          <t>SMM</t>
        </is>
      </c>
    </row>
    <row r="372">
      <c r="A372" s="2" t="inlineStr">
        <is>
          <t>2026/06/22</t>
        </is>
      </c>
      <c r="B372" s="2" t="inlineStr">
        <is>
          <t>电池级金属锂</t>
        </is>
      </c>
      <c r="C372" s="3" t="n">
        <v>1100000</v>
      </c>
      <c r="D372" s="4" t="n">
        <v>1130000</v>
      </c>
      <c r="E372" s="4" t="n">
        <v>1115000</v>
      </c>
      <c r="F372" s="4" t="n">
        <v>-15000</v>
      </c>
      <c r="G372" s="5" t="inlineStr">
        <is>
          <t>元/吨</t>
        </is>
      </c>
      <c r="H372" s="5" t="inlineStr">
        <is>
          <t>SMM</t>
        </is>
      </c>
    </row>
    <row r="373">
      <c r="A373" s="2" t="inlineStr">
        <is>
          <t>2026/06/22</t>
        </is>
      </c>
      <c r="B373" s="2" t="inlineStr">
        <is>
          <t>电解钴</t>
        </is>
      </c>
      <c r="C373" s="3" t="n">
        <v>370000</v>
      </c>
      <c r="D373" s="4" t="n">
        <v>395000</v>
      </c>
      <c r="E373" s="4" t="n">
        <v>382500</v>
      </c>
      <c r="F373" s="4" t="n">
        <v>-1000</v>
      </c>
      <c r="G373" s="5" t="inlineStr">
        <is>
          <t>元/吨</t>
        </is>
      </c>
      <c r="H373" s="5" t="inlineStr">
        <is>
          <t>SMM</t>
        </is>
      </c>
    </row>
    <row r="374">
      <c r="A374" s="2" t="inlineStr">
        <is>
          <t>2026/06/22</t>
        </is>
      </c>
      <c r="B374" s="2" t="inlineStr">
        <is>
          <t>电解钴（鹿特丹仓库）</t>
        </is>
      </c>
      <c r="C374" s="7" t="n">
        <v>25.5</v>
      </c>
      <c r="D374" s="6" t="n">
        <v>27</v>
      </c>
      <c r="E374" s="6" t="n">
        <v>26.25</v>
      </c>
      <c r="F374" s="4" t="n">
        <v>0</v>
      </c>
      <c r="G374" s="5" t="inlineStr">
        <is>
          <t>美元/磅</t>
        </is>
      </c>
      <c r="H374" s="5" t="inlineStr">
        <is>
          <t>SMM</t>
        </is>
      </c>
    </row>
    <row r="375">
      <c r="A375" s="2" t="inlineStr">
        <is>
          <t>2026/06/22</t>
        </is>
      </c>
      <c r="B375" s="2" t="inlineStr">
        <is>
          <t>电镀级硫酸镍</t>
        </is>
      </c>
      <c r="C375" s="3" t="n">
        <v>32500</v>
      </c>
      <c r="D375" s="4" t="n">
        <v>37000</v>
      </c>
      <c r="E375" s="4" t="n">
        <v>34750</v>
      </c>
      <c r="F375" s="4" t="n">
        <v>0</v>
      </c>
      <c r="G375" s="5" t="inlineStr">
        <is>
          <t>元/吨</t>
        </is>
      </c>
      <c r="H375" s="5" t="inlineStr">
        <is>
          <t>SMM</t>
        </is>
      </c>
    </row>
    <row r="376">
      <c r="A376" s="2" t="inlineStr">
        <is>
          <t>2026/06/22</t>
        </is>
      </c>
      <c r="B376" s="2" t="inlineStr">
        <is>
          <t>硫酸钴</t>
        </is>
      </c>
      <c r="C376" s="3" t="n">
        <v>86500</v>
      </c>
      <c r="D376" s="4" t="n">
        <v>89500</v>
      </c>
      <c r="E376" s="4" t="n">
        <v>88000</v>
      </c>
      <c r="F376" s="4" t="n">
        <v>-500</v>
      </c>
      <c r="G376" s="5" t="inlineStr">
        <is>
          <t>元/吨</t>
        </is>
      </c>
      <c r="H376" s="5" t="inlineStr">
        <is>
          <t>SMM</t>
        </is>
      </c>
    </row>
    <row r="377">
      <c r="A377" s="2" t="inlineStr">
        <is>
          <t>2026/06/22</t>
        </is>
      </c>
      <c r="B377" s="2" t="inlineStr">
        <is>
          <t>碳酸钴</t>
        </is>
      </c>
      <c r="C377" s="3" t="n">
        <v>208000</v>
      </c>
      <c r="D377" s="4" t="n">
        <v>218000</v>
      </c>
      <c r="E377" s="4" t="n">
        <v>213000</v>
      </c>
      <c r="F377" s="4" t="n">
        <v>-2000</v>
      </c>
      <c r="G377" s="5" t="inlineStr">
        <is>
          <t>元/吨</t>
        </is>
      </c>
      <c r="H377" s="5" t="inlineStr">
        <is>
          <t>SMM</t>
        </is>
      </c>
    </row>
    <row r="378">
      <c r="A378" s="2" t="inlineStr">
        <is>
          <t>2026/06/22</t>
        </is>
      </c>
      <c r="B378" s="2" t="inlineStr">
        <is>
          <t>磷酸铁锂</t>
        </is>
      </c>
      <c r="C378" s="3" t="n">
        <v>56670</v>
      </c>
      <c r="D378" s="4" t="n">
        <v>57270</v>
      </c>
      <c r="E378" s="4" t="n">
        <v>56970</v>
      </c>
      <c r="F378" s="4" t="n">
        <v>-2510</v>
      </c>
      <c r="G378" s="5" t="inlineStr">
        <is>
          <t>元/吨</t>
        </is>
      </c>
      <c r="H378" s="5" t="inlineStr">
        <is>
          <t>SMM</t>
        </is>
      </c>
    </row>
    <row r="379">
      <c r="A379" s="2" t="inlineStr">
        <is>
          <t>2026/06/22</t>
        </is>
      </c>
      <c r="B379" s="2" t="inlineStr">
        <is>
          <t>磷酸锰铁锂</t>
        </is>
      </c>
      <c r="C379" s="3" t="n">
        <v>62000</v>
      </c>
      <c r="D379" s="4" t="n">
        <v>67000</v>
      </c>
      <c r="E379" s="4" t="n">
        <v>64500</v>
      </c>
      <c r="F379" s="4" t="n">
        <v>-2500</v>
      </c>
      <c r="G379" s="5" t="inlineStr">
        <is>
          <t>元/吨</t>
        </is>
      </c>
      <c r="H379" s="5" t="inlineStr">
        <is>
          <t>SMM</t>
        </is>
      </c>
    </row>
    <row r="380">
      <c r="A380" s="2" t="inlineStr">
        <is>
          <t>2026/06/22</t>
        </is>
      </c>
      <c r="B380" s="2" t="inlineStr">
        <is>
          <t>金属钴FOB</t>
        </is>
      </c>
      <c r="C380" s="7" t="n">
        <v>24.5</v>
      </c>
      <c r="D380" s="6" t="n">
        <v>25.5</v>
      </c>
      <c r="E380" s="6" t="n">
        <v>25</v>
      </c>
      <c r="F380" s="4" t="n">
        <v>0</v>
      </c>
      <c r="G380" s="5" t="inlineStr">
        <is>
          <t>美元/磅</t>
        </is>
      </c>
      <c r="H380" s="5" t="inlineStr">
        <is>
          <t>SMM</t>
        </is>
      </c>
    </row>
    <row r="381">
      <c r="A381" s="2" t="inlineStr">
        <is>
          <t>2026/06/22</t>
        </is>
      </c>
      <c r="B381" s="2" t="inlineStr">
        <is>
          <t>钴中间品中钴含量≥30%</t>
        </is>
      </c>
      <c r="C381" s="3" t="n">
        <v>26783</v>
      </c>
      <c r="D381" s="4" t="n">
        <v>26783</v>
      </c>
      <c r="E381" s="4" t="n">
        <v>26783</v>
      </c>
      <c r="F381" s="4" t="n">
        <v>1046</v>
      </c>
      <c r="G381" s="5" t="inlineStr">
        <is>
          <t>元/金属吨</t>
        </is>
      </c>
      <c r="H381" s="5" t="inlineStr">
        <is>
          <t>SMM</t>
        </is>
      </c>
    </row>
    <row r="382">
      <c r="A382" s="2" t="inlineStr">
        <is>
          <t>2026/06/22</t>
        </is>
      </c>
      <c r="B382" s="2" t="inlineStr">
        <is>
          <t>钴中间品原料计价系数（对SMM硫酸钴均价）</t>
        </is>
      </c>
      <c r="C382" s="7" t="n">
        <v>99</v>
      </c>
      <c r="D382" s="4" t="n">
        <v>100</v>
      </c>
      <c r="E382" s="6" t="n">
        <v>99.5</v>
      </c>
      <c r="F382" s="4" t="n">
        <v>0</v>
      </c>
      <c r="G382" s="5" t="inlineStr">
        <is>
          <t>%</t>
        </is>
      </c>
      <c r="H382" s="5" t="inlineStr">
        <is>
          <t>SMM</t>
        </is>
      </c>
    </row>
    <row r="383">
      <c r="A383" s="2" t="inlineStr">
        <is>
          <t>2026/06/22</t>
        </is>
      </c>
      <c r="B383" s="2" t="inlineStr">
        <is>
          <t>钴酸锂</t>
        </is>
      </c>
      <c r="C383" s="3" t="n">
        <v>379000</v>
      </c>
      <c r="D383" s="4" t="n">
        <v>382000</v>
      </c>
      <c r="E383" s="4" t="n">
        <v>380500</v>
      </c>
      <c r="F383" s="4" t="n">
        <v>-1000</v>
      </c>
      <c r="G383" s="5" t="inlineStr">
        <is>
          <t>元/吨</t>
        </is>
      </c>
      <c r="H383" s="5" t="inlineStr">
        <is>
          <t>SMM</t>
        </is>
      </c>
    </row>
    <row r="384">
      <c r="A384" s="2" t="inlineStr">
        <is>
          <t>2026/06/22</t>
        </is>
      </c>
      <c r="B384" s="2" t="inlineStr">
        <is>
          <t>钴酸锂聚合物软包</t>
        </is>
      </c>
      <c r="C384" s="3" t="n">
        <v>98000</v>
      </c>
      <c r="D384" s="4" t="n">
        <v>100400</v>
      </c>
      <c r="E384" s="4" t="n">
        <v>99200</v>
      </c>
      <c r="F384" s="4" t="n">
        <v>-300</v>
      </c>
      <c r="G384" s="5" t="inlineStr">
        <is>
          <t>元/吨</t>
        </is>
      </c>
      <c r="H384" s="5" t="inlineStr">
        <is>
          <t>SMM</t>
        </is>
      </c>
    </row>
    <row r="385">
      <c r="A385" s="2" t="inlineStr">
        <is>
          <t>2026/06/22</t>
        </is>
      </c>
      <c r="B385" s="2" t="inlineStr">
        <is>
          <t>钴酸锂铝壳</t>
        </is>
      </c>
      <c r="C385" s="3" t="n">
        <v>84000</v>
      </c>
      <c r="D385" s="4" t="n">
        <v>93400</v>
      </c>
      <c r="E385" s="4" t="n">
        <v>88700</v>
      </c>
      <c r="F385" s="4" t="n">
        <v>-300</v>
      </c>
      <c r="G385" s="5" t="inlineStr">
        <is>
          <t>元/吨</t>
        </is>
      </c>
      <c r="H385" s="5" t="inlineStr">
        <is>
          <t>SMM</t>
        </is>
      </c>
    </row>
    <row r="386">
      <c r="A386" s="2" t="inlineStr">
        <is>
          <t>2026/06/22</t>
        </is>
      </c>
      <c r="B386" s="2" t="inlineStr">
        <is>
          <t>锰酸锂圆柱钢壳</t>
        </is>
      </c>
      <c r="C386" s="3" t="n">
        <v>5000</v>
      </c>
      <c r="D386" s="4" t="n">
        <v>7400</v>
      </c>
      <c r="E386" s="4" t="n">
        <v>6200</v>
      </c>
      <c r="F386" s="4" t="n">
        <v>0</v>
      </c>
      <c r="G386" s="5" t="inlineStr">
        <is>
          <t>元/吨</t>
        </is>
      </c>
      <c r="H386" s="5" t="inlineStr">
        <is>
          <t>SMM</t>
        </is>
      </c>
    </row>
    <row r="387">
      <c r="A387" s="2" t="inlineStr">
        <is>
          <t>2026/06/22</t>
        </is>
      </c>
      <c r="B387" s="2" t="inlineStr">
        <is>
          <t>非洲硫酸锂(CIF中国)</t>
        </is>
      </c>
      <c r="C387" s="3" t="n">
        <v>7278</v>
      </c>
      <c r="D387" s="4" t="n">
        <v>7929</v>
      </c>
      <c r="E387" s="4" t="n">
        <v>7603.5</v>
      </c>
      <c r="F387" s="4" t="n">
        <v>-566</v>
      </c>
      <c r="G387" s="5" t="inlineStr">
        <is>
          <t>美元/吨</t>
        </is>
      </c>
      <c r="H387" s="5" t="inlineStr">
        <is>
          <t>SMM</t>
        </is>
      </c>
    </row>
    <row r="388">
      <c r="A388" s="2" t="inlineStr">
        <is>
          <t>2026/06/22</t>
        </is>
      </c>
      <c r="B388" s="2" t="inlineStr">
        <is>
          <t>非洲锂辉石精矿（CIF中国）指数</t>
        </is>
      </c>
      <c r="C388" s="3" t="n">
        <v>2398</v>
      </c>
      <c r="D388" s="4" t="n">
        <v>2398</v>
      </c>
      <c r="E388" s="4" t="n">
        <v>2398</v>
      </c>
      <c r="F388" s="6" t="n">
        <v>-72</v>
      </c>
      <c r="G388" s="5" t="inlineStr">
        <is>
          <t>美元/吨</t>
        </is>
      </c>
      <c r="H388" s="5" t="inlineStr">
        <is>
          <t>SMM</t>
        </is>
      </c>
    </row>
    <row r="389">
      <c r="A389" s="2" t="inlineStr">
        <is>
          <t>2026/06/24</t>
        </is>
      </c>
      <c r="B389" s="2" t="inlineStr">
        <is>
          <t>5系三元前驱体</t>
        </is>
      </c>
      <c r="C389" s="3" t="n">
        <v>99350</v>
      </c>
      <c r="D389" s="4" t="n">
        <v>104450</v>
      </c>
      <c r="E389" s="4" t="n">
        <v>101900</v>
      </c>
      <c r="F389" s="4" t="n">
        <v>-650</v>
      </c>
      <c r="G389" s="5" t="inlineStr">
        <is>
          <t>元/吨</t>
        </is>
      </c>
      <c r="H389" s="5" t="inlineStr">
        <is>
          <t>SMM</t>
        </is>
      </c>
    </row>
    <row r="390">
      <c r="A390" s="2" t="inlineStr">
        <is>
          <t>2026/06/24</t>
        </is>
      </c>
      <c r="B390" s="2" t="inlineStr">
        <is>
          <t>5系三元材料</t>
        </is>
      </c>
      <c r="C390" s="3" t="n">
        <v>181800</v>
      </c>
      <c r="D390" s="4" t="n">
        <v>188900</v>
      </c>
      <c r="E390" s="4" t="n">
        <v>185350</v>
      </c>
      <c r="F390" s="4" t="n">
        <v>-400</v>
      </c>
      <c r="G390" s="5" t="inlineStr">
        <is>
          <t>元/吨</t>
        </is>
      </c>
      <c r="H390" s="5" t="inlineStr">
        <is>
          <t>SMM</t>
        </is>
      </c>
    </row>
    <row r="391">
      <c r="A391" s="2" t="inlineStr">
        <is>
          <t>2026/06/24</t>
        </is>
      </c>
      <c r="B391" s="2" t="inlineStr">
        <is>
          <t>6系三元前驱体（单晶/动力型）</t>
        </is>
      </c>
      <c r="C391" s="3" t="n">
        <v>92200</v>
      </c>
      <c r="D391" s="4" t="n">
        <v>96900</v>
      </c>
      <c r="E391" s="4" t="n">
        <v>94550</v>
      </c>
      <c r="F391" s="4" t="n">
        <v>-650</v>
      </c>
      <c r="G391" s="5" t="inlineStr">
        <is>
          <t>元/吨</t>
        </is>
      </c>
      <c r="H391" s="5" t="inlineStr">
        <is>
          <t>SMM</t>
        </is>
      </c>
    </row>
    <row r="392">
      <c r="A392" s="2" t="inlineStr">
        <is>
          <t>2026/06/24</t>
        </is>
      </c>
      <c r="B392" s="2" t="inlineStr">
        <is>
          <t>6系三元材料（单晶/动力型）</t>
        </is>
      </c>
      <c r="C392" s="3" t="n">
        <v>185600</v>
      </c>
      <c r="D392" s="4" t="n">
        <v>195100</v>
      </c>
      <c r="E392" s="4" t="n">
        <v>190350</v>
      </c>
      <c r="F392" s="4" t="n">
        <v>-800</v>
      </c>
      <c r="G392" s="5" t="inlineStr">
        <is>
          <t>元/吨</t>
        </is>
      </c>
      <c r="H392" s="5" t="inlineStr">
        <is>
          <t>SMM</t>
        </is>
      </c>
    </row>
    <row r="393">
      <c r="A393" s="2" t="inlineStr">
        <is>
          <t>2026/06/24</t>
        </is>
      </c>
      <c r="B393" s="2" t="inlineStr">
        <is>
          <t>8系三元前驱体（多晶/动力型）</t>
        </is>
      </c>
      <c r="C393" s="3" t="n">
        <v>114100</v>
      </c>
      <c r="D393" s="4" t="n">
        <v>119800</v>
      </c>
      <c r="E393" s="4" t="n">
        <v>116950</v>
      </c>
      <c r="F393" s="4" t="n">
        <v>-900</v>
      </c>
      <c r="G393" s="5" t="inlineStr">
        <is>
          <t>元/吨</t>
        </is>
      </c>
      <c r="H393" s="5" t="inlineStr">
        <is>
          <t>SMM</t>
        </is>
      </c>
    </row>
    <row r="394">
      <c r="A394" s="2" t="inlineStr">
        <is>
          <t>2026/06/24</t>
        </is>
      </c>
      <c r="B394" s="2" t="inlineStr">
        <is>
          <t>8系三元材料</t>
        </is>
      </c>
      <c r="C394" s="3" t="n">
        <v>208600</v>
      </c>
      <c r="D394" s="4" t="n">
        <v>218200</v>
      </c>
      <c r="E394" s="4" t="n">
        <v>213400</v>
      </c>
      <c r="F394" s="4" t="n">
        <v>-900</v>
      </c>
      <c r="G394" s="5" t="inlineStr">
        <is>
          <t>元/吨</t>
        </is>
      </c>
      <c r="H394" s="5" t="inlineStr">
        <is>
          <t>SMM</t>
        </is>
      </c>
    </row>
    <row r="395">
      <c r="A395" s="2" t="inlineStr">
        <is>
          <t>2026/06/24</t>
        </is>
      </c>
      <c r="B395" s="2" t="inlineStr">
        <is>
          <t>MHP系数（对SMM电池级硫酸镍指数）</t>
        </is>
      </c>
      <c r="C395" s="7" t="n">
        <v>83.5</v>
      </c>
      <c r="D395" s="6" t="n">
        <v>84.5</v>
      </c>
      <c r="E395" s="6" t="n">
        <v>84</v>
      </c>
      <c r="F395" s="6" t="n">
        <v>-2</v>
      </c>
      <c r="G395" s="5" t="inlineStr">
        <is>
          <t>%</t>
        </is>
      </c>
      <c r="H395" s="5" t="inlineStr">
        <is>
          <t>SMM</t>
        </is>
      </c>
    </row>
    <row r="396">
      <c r="A396" s="2" t="inlineStr">
        <is>
          <t>2026/06/24</t>
        </is>
      </c>
      <c r="B396" s="2" t="inlineStr">
        <is>
          <t>MHP钴元素计价系数（对SMM硫酸钴均价）</t>
        </is>
      </c>
      <c r="C396" s="7" t="n">
        <v>92</v>
      </c>
      <c r="D396" s="6" t="n">
        <v>93</v>
      </c>
      <c r="E396" s="6" t="n">
        <v>92.5</v>
      </c>
      <c r="F396" s="4" t="n">
        <v>0</v>
      </c>
      <c r="G396" s="5" t="inlineStr">
        <is>
          <t>%</t>
        </is>
      </c>
      <c r="H396" s="5" t="inlineStr">
        <is>
          <t>SMM</t>
        </is>
      </c>
    </row>
    <row r="397">
      <c r="A397" s="2" t="inlineStr">
        <is>
          <t>2026/06/24</t>
        </is>
      </c>
      <c r="B397" s="2" t="inlineStr">
        <is>
          <t>NCA三元材料</t>
        </is>
      </c>
      <c r="C397" s="3" t="n">
        <v>205400</v>
      </c>
      <c r="D397" s="4" t="n">
        <v>213700</v>
      </c>
      <c r="E397" s="4" t="n">
        <v>209550</v>
      </c>
      <c r="F397" s="4" t="n">
        <v>-900</v>
      </c>
      <c r="G397" s="5" t="inlineStr">
        <is>
          <t>元/吨</t>
        </is>
      </c>
      <c r="H397" s="5" t="inlineStr">
        <is>
          <t>SMM</t>
        </is>
      </c>
    </row>
    <row r="398">
      <c r="A398" s="2" t="inlineStr">
        <is>
          <t>2026/06/24</t>
        </is>
      </c>
      <c r="B398" s="2" t="inlineStr">
        <is>
          <t>SMM三元极片粉钴系数指数</t>
        </is>
      </c>
      <c r="C398" s="7" t="n">
        <v>78.34999999999999</v>
      </c>
      <c r="D398" s="6" t="n">
        <v>78.34999999999999</v>
      </c>
      <c r="E398" s="6" t="n">
        <v>78.34999999999999</v>
      </c>
      <c r="F398" s="6" t="n">
        <v>-0.36</v>
      </c>
      <c r="G398" s="5" t="inlineStr">
        <is>
          <t>%</t>
        </is>
      </c>
      <c r="H398" s="5" t="inlineStr">
        <is>
          <t>SMM</t>
        </is>
      </c>
    </row>
    <row r="399">
      <c r="A399" s="2" t="inlineStr">
        <is>
          <t>2026/06/24</t>
        </is>
      </c>
      <c r="B399" s="2" t="inlineStr">
        <is>
          <t>SMM三元极片粉锂系数指数</t>
        </is>
      </c>
      <c r="C399" s="7" t="n">
        <v>78.36</v>
      </c>
      <c r="D399" s="6" t="n">
        <v>78.36</v>
      </c>
      <c r="E399" s="6" t="n">
        <v>78.36</v>
      </c>
      <c r="F399" s="6" t="n">
        <v>-0.36</v>
      </c>
      <c r="G399" s="5" t="inlineStr">
        <is>
          <t>%</t>
        </is>
      </c>
      <c r="H399" s="5" t="inlineStr">
        <is>
          <t>SMM</t>
        </is>
      </c>
    </row>
    <row r="400">
      <c r="A400" s="2" t="inlineStr">
        <is>
          <t>2026/06/24</t>
        </is>
      </c>
      <c r="B400" s="2" t="inlineStr">
        <is>
          <t>SMM三元极片粉镍系数指数</t>
        </is>
      </c>
      <c r="C400" s="7" t="n">
        <v>78.36</v>
      </c>
      <c r="D400" s="6" t="n">
        <v>78.36</v>
      </c>
      <c r="E400" s="6" t="n">
        <v>78.36</v>
      </c>
      <c r="F400" s="6" t="n">
        <v>-0.36</v>
      </c>
      <c r="G400" s="5" t="inlineStr">
        <is>
          <t>%</t>
        </is>
      </c>
      <c r="H400" s="5" t="inlineStr">
        <is>
          <t>SMM</t>
        </is>
      </c>
    </row>
    <row r="401">
      <c r="A401" s="2" t="inlineStr">
        <is>
          <t>2026/06/24</t>
        </is>
      </c>
      <c r="B401" s="2" t="inlineStr">
        <is>
          <t>SMM三元电池粉钴系数指数</t>
        </is>
      </c>
      <c r="C401" s="7" t="n">
        <v>74.84999999999999</v>
      </c>
      <c r="D401" s="6" t="n">
        <v>74.84999999999999</v>
      </c>
      <c r="E401" s="6" t="n">
        <v>74.84999999999999</v>
      </c>
      <c r="F401" s="6" t="n">
        <v>-0.35</v>
      </c>
      <c r="G401" s="5" t="inlineStr">
        <is>
          <t>%</t>
        </is>
      </c>
      <c r="H401" s="5" t="inlineStr">
        <is>
          <t>SMM</t>
        </is>
      </c>
    </row>
    <row r="402">
      <c r="A402" s="2" t="inlineStr">
        <is>
          <t>2026/06/24</t>
        </is>
      </c>
      <c r="B402" s="2" t="inlineStr">
        <is>
          <t>SMM三元电池粉锂系数指数</t>
        </is>
      </c>
      <c r="C402" s="7" t="n">
        <v>74.84999999999999</v>
      </c>
      <c r="D402" s="6" t="n">
        <v>74.84999999999999</v>
      </c>
      <c r="E402" s="6" t="n">
        <v>74.84999999999999</v>
      </c>
      <c r="F402" s="6" t="n">
        <v>-0.37</v>
      </c>
      <c r="G402" s="5" t="inlineStr">
        <is>
          <t>%</t>
        </is>
      </c>
      <c r="H402" s="5" t="inlineStr">
        <is>
          <t>SMM</t>
        </is>
      </c>
    </row>
    <row r="403">
      <c r="A403" s="2" t="inlineStr">
        <is>
          <t>2026/06/24</t>
        </is>
      </c>
      <c r="B403" s="2" t="inlineStr">
        <is>
          <t>SMM三元电池粉镍系数指数</t>
        </is>
      </c>
      <c r="C403" s="7" t="n">
        <v>74.84999999999999</v>
      </c>
      <c r="D403" s="6" t="n">
        <v>74.84999999999999</v>
      </c>
      <c r="E403" s="6" t="n">
        <v>74.84999999999999</v>
      </c>
      <c r="F403" s="6" t="n">
        <v>-0.37</v>
      </c>
      <c r="G403" s="5" t="inlineStr">
        <is>
          <t>%</t>
        </is>
      </c>
      <c r="H403" s="5" t="inlineStr">
        <is>
          <t>SMM</t>
        </is>
      </c>
    </row>
    <row r="404">
      <c r="A404" s="2" t="inlineStr">
        <is>
          <t>2026/06/24</t>
        </is>
      </c>
      <c r="B404" s="2" t="inlineStr">
        <is>
          <t>SMM六氟磷酸锂指数</t>
        </is>
      </c>
      <c r="C404" s="3" t="n">
        <v>100926</v>
      </c>
      <c r="D404" s="4" t="n">
        <v>105045</v>
      </c>
      <c r="E404" s="4" t="n">
        <v>102985.5</v>
      </c>
      <c r="F404" s="4" t="n">
        <v>-420.5</v>
      </c>
      <c r="G404" s="5" t="inlineStr">
        <is>
          <t>元/吨</t>
        </is>
      </c>
      <c r="H404" s="5" t="inlineStr">
        <is>
          <t>SMM</t>
        </is>
      </c>
    </row>
    <row r="405">
      <c r="A405" s="2" t="inlineStr">
        <is>
          <t>2026/06/24</t>
        </is>
      </c>
      <c r="B405" s="2" t="inlineStr">
        <is>
          <t>SMM电池级氢氧化锂指数</t>
        </is>
      </c>
      <c r="C405" s="3" t="n">
        <v>144252</v>
      </c>
      <c r="D405" s="4" t="n">
        <v>144252</v>
      </c>
      <c r="E405" s="4" t="n">
        <v>144252</v>
      </c>
      <c r="F405" s="4" t="n">
        <v>-1498</v>
      </c>
      <c r="G405" s="5" t="inlineStr">
        <is>
          <t>元/吨</t>
        </is>
      </c>
      <c r="H405" s="5" t="inlineStr">
        <is>
          <t>SMM</t>
        </is>
      </c>
    </row>
    <row r="406">
      <c r="A406" s="2" t="inlineStr">
        <is>
          <t>2026/06/24</t>
        </is>
      </c>
      <c r="B406" s="2" t="inlineStr">
        <is>
          <t>SMM电池级硫酸锰指数</t>
        </is>
      </c>
      <c r="C406" s="3" t="n">
        <v>7647</v>
      </c>
      <c r="D406" s="4" t="n">
        <v>7647</v>
      </c>
      <c r="E406" s="4" t="n">
        <v>7647</v>
      </c>
      <c r="F406" s="6" t="n">
        <v>4</v>
      </c>
      <c r="G406" s="5" t="inlineStr">
        <is>
          <t>元/吨</t>
        </is>
      </c>
      <c r="H406" s="5" t="inlineStr">
        <is>
          <t>SMM</t>
        </is>
      </c>
    </row>
    <row r="407">
      <c r="A407" s="2" t="inlineStr">
        <is>
          <t>2026/06/24</t>
        </is>
      </c>
      <c r="B407" s="2" t="inlineStr">
        <is>
          <t>SMM电池级硫酸镍指数</t>
        </is>
      </c>
      <c r="C407" s="3" t="n">
        <v>32797</v>
      </c>
      <c r="D407" s="4" t="n">
        <v>32797</v>
      </c>
      <c r="E407" s="4" t="n">
        <v>32797</v>
      </c>
      <c r="F407" s="6" t="n">
        <v>-80</v>
      </c>
      <c r="G407" s="5" t="inlineStr">
        <is>
          <t>元/吨</t>
        </is>
      </c>
      <c r="H407" s="5" t="inlineStr">
        <is>
          <t>SMM</t>
        </is>
      </c>
    </row>
    <row r="408">
      <c r="A408" s="2" t="inlineStr">
        <is>
          <t>2026/06/24</t>
        </is>
      </c>
      <c r="B408" s="2" t="inlineStr">
        <is>
          <t>SMM电池级碳酸锂指数</t>
        </is>
      </c>
      <c r="C408" s="3" t="n">
        <v>156870</v>
      </c>
      <c r="D408" s="4" t="n">
        <v>156870</v>
      </c>
      <c r="E408" s="4" t="n">
        <v>156870</v>
      </c>
      <c r="F408" s="4" t="n">
        <v>-562</v>
      </c>
      <c r="G408" s="5" t="inlineStr">
        <is>
          <t>元/吨</t>
        </is>
      </c>
      <c r="H408" s="5" t="inlineStr">
        <is>
          <t>SMM</t>
        </is>
      </c>
    </row>
    <row r="409">
      <c r="A409" s="2" t="inlineStr">
        <is>
          <t>2026/06/24</t>
        </is>
      </c>
      <c r="B409" s="2" t="inlineStr">
        <is>
          <t>SMM硫酸钴指数</t>
        </is>
      </c>
      <c r="C409" s="3" t="n">
        <v>87011</v>
      </c>
      <c r="D409" s="4" t="n">
        <v>87011</v>
      </c>
      <c r="E409" s="4" t="n">
        <v>87011</v>
      </c>
      <c r="F409" s="4" t="n">
        <v>-189</v>
      </c>
      <c r="G409" s="5" t="inlineStr">
        <is>
          <t>元/吨</t>
        </is>
      </c>
      <c r="H409" s="5" t="inlineStr">
        <is>
          <t>SMM</t>
        </is>
      </c>
    </row>
    <row r="410">
      <c r="A410" s="2" t="inlineStr">
        <is>
          <t>2026/06/24</t>
        </is>
      </c>
      <c r="B410" s="2" t="inlineStr">
        <is>
          <t>SMM磷酸铁锂极片粉指数</t>
        </is>
      </c>
      <c r="C410" s="3" t="n">
        <v>7048</v>
      </c>
      <c r="D410" s="4" t="n">
        <v>7048</v>
      </c>
      <c r="E410" s="4" t="n">
        <v>7048</v>
      </c>
      <c r="F410" s="6" t="n">
        <v>-17</v>
      </c>
      <c r="G410" s="5" t="inlineStr">
        <is>
          <t>元/锂点</t>
        </is>
      </c>
      <c r="H410" s="5" t="inlineStr">
        <is>
          <t>SMM</t>
        </is>
      </c>
    </row>
    <row r="411">
      <c r="A411" s="2" t="inlineStr">
        <is>
          <t>2026/06/24</t>
        </is>
      </c>
      <c r="B411" s="2" t="inlineStr">
        <is>
          <t>SMM磷酸铁锂电池粉指数</t>
        </is>
      </c>
      <c r="C411" s="3" t="n">
        <v>6596</v>
      </c>
      <c r="D411" s="4" t="n">
        <v>6596</v>
      </c>
      <c r="E411" s="4" t="n">
        <v>6596</v>
      </c>
      <c r="F411" s="6" t="n">
        <v>-7</v>
      </c>
      <c r="G411" s="5" t="inlineStr">
        <is>
          <t>元/锂点</t>
        </is>
      </c>
      <c r="H411" s="5" t="inlineStr">
        <is>
          <t>SMM</t>
        </is>
      </c>
    </row>
    <row r="412">
      <c r="A412" s="2" t="inlineStr">
        <is>
          <t>2026/06/24</t>
        </is>
      </c>
      <c r="B412" s="2" t="inlineStr">
        <is>
          <t>SMM钴酸锂极片粉钴系数指数</t>
        </is>
      </c>
      <c r="C412" s="7" t="n">
        <v>82.3</v>
      </c>
      <c r="D412" s="6" t="n">
        <v>82.3</v>
      </c>
      <c r="E412" s="6" t="n">
        <v>82.3</v>
      </c>
      <c r="F412" s="4" t="n">
        <v>0</v>
      </c>
      <c r="G412" s="5" t="inlineStr">
        <is>
          <t>%</t>
        </is>
      </c>
      <c r="H412" s="5" t="inlineStr">
        <is>
          <t>SMM</t>
        </is>
      </c>
    </row>
    <row r="413">
      <c r="A413" s="2" t="inlineStr">
        <is>
          <t>2026/06/24</t>
        </is>
      </c>
      <c r="B413" s="2" t="inlineStr">
        <is>
          <t>SMM钴酸锂极片粉锂系数指数</t>
        </is>
      </c>
      <c r="C413" s="7" t="n">
        <v>76.23</v>
      </c>
      <c r="D413" s="6" t="n">
        <v>76.23</v>
      </c>
      <c r="E413" s="6" t="n">
        <v>76.23</v>
      </c>
      <c r="F413" s="6" t="n">
        <v>-0.27</v>
      </c>
      <c r="G413" s="5" t="inlineStr">
        <is>
          <t>%</t>
        </is>
      </c>
      <c r="H413" s="5" t="inlineStr">
        <is>
          <t>SMM</t>
        </is>
      </c>
    </row>
    <row r="414">
      <c r="A414" s="2" t="inlineStr">
        <is>
          <t>2026/06/24</t>
        </is>
      </c>
      <c r="B414" s="2" t="inlineStr">
        <is>
          <t>SMM钴酸锂电池粉钴系数指数</t>
        </is>
      </c>
      <c r="C414" s="7" t="n">
        <v>79.97</v>
      </c>
      <c r="D414" s="6" t="n">
        <v>79.97</v>
      </c>
      <c r="E414" s="6" t="n">
        <v>79.97</v>
      </c>
      <c r="F414" s="4" t="n">
        <v>0</v>
      </c>
      <c r="G414" s="5" t="inlineStr">
        <is>
          <t>%</t>
        </is>
      </c>
      <c r="H414" s="5" t="inlineStr">
        <is>
          <t>SMM</t>
        </is>
      </c>
    </row>
    <row r="415">
      <c r="A415" s="2" t="inlineStr">
        <is>
          <t>2026/06/24</t>
        </is>
      </c>
      <c r="B415" s="2" t="inlineStr">
        <is>
          <t>SMM钴酸锂电池粉锂系数指数</t>
        </is>
      </c>
      <c r="C415" s="7" t="n">
        <v>75.92</v>
      </c>
      <c r="D415" s="6" t="n">
        <v>75.92</v>
      </c>
      <c r="E415" s="6" t="n">
        <v>75.92</v>
      </c>
      <c r="F415" s="6" t="n">
        <v>-0.19</v>
      </c>
      <c r="G415" s="5" t="inlineStr">
        <is>
          <t>%</t>
        </is>
      </c>
      <c r="H415" s="5" t="inlineStr">
        <is>
          <t>SMM</t>
        </is>
      </c>
    </row>
    <row r="416">
      <c r="A416" s="2" t="inlineStr">
        <is>
          <t>2026/06/24</t>
        </is>
      </c>
      <c r="B416" s="2" t="inlineStr">
        <is>
          <t>三元方壳锂电B品</t>
        </is>
      </c>
      <c r="C416" s="7" t="n">
        <v>0.75</v>
      </c>
      <c r="D416" s="6" t="n">
        <v>0.85</v>
      </c>
      <c r="E416" s="6" t="n">
        <v>0.8</v>
      </c>
      <c r="F416" s="4" t="n">
        <v>0</v>
      </c>
      <c r="G416" s="5" t="inlineStr">
        <is>
          <t>元/Ah</t>
        </is>
      </c>
      <c r="H416" s="5" t="inlineStr">
        <is>
          <t>SMM</t>
        </is>
      </c>
    </row>
    <row r="417">
      <c r="A417" s="2" t="inlineStr">
        <is>
          <t>2026/06/24</t>
        </is>
      </c>
      <c r="B417" s="2" t="inlineStr">
        <is>
          <t>六氟磷酸锂（国产）</t>
        </is>
      </c>
      <c r="C417" s="3" t="n">
        <v>106000</v>
      </c>
      <c r="D417" s="4" t="n">
        <v>110000</v>
      </c>
      <c r="E417" s="4" t="n">
        <v>108000</v>
      </c>
      <c r="F417" s="4" t="n">
        <v>-2000</v>
      </c>
      <c r="G417" s="5" t="inlineStr">
        <is>
          <t>元/吨</t>
        </is>
      </c>
      <c r="H417" s="5" t="inlineStr">
        <is>
          <t>SMM</t>
        </is>
      </c>
    </row>
    <row r="418">
      <c r="A418" s="2" t="inlineStr">
        <is>
          <t>2026/06/24</t>
        </is>
      </c>
      <c r="B418" s="2" t="inlineStr">
        <is>
          <t>四氧化三钴</t>
        </is>
      </c>
      <c r="C418" s="3" t="n">
        <v>330000</v>
      </c>
      <c r="D418" s="4" t="n">
        <v>342000</v>
      </c>
      <c r="E418" s="4" t="n">
        <v>336000</v>
      </c>
      <c r="F418" s="4" t="n">
        <v>0</v>
      </c>
      <c r="G418" s="5" t="inlineStr">
        <is>
          <t>元/吨</t>
        </is>
      </c>
      <c r="H418" s="5" t="inlineStr">
        <is>
          <t>SMM</t>
        </is>
      </c>
    </row>
    <row r="419">
      <c r="A419" s="2" t="inlineStr">
        <is>
          <t>2026/06/24</t>
        </is>
      </c>
      <c r="B419" s="2" t="inlineStr">
        <is>
          <t>四氧化三锰（电池级）</t>
        </is>
      </c>
      <c r="C419" s="3" t="n">
        <v>14000</v>
      </c>
      <c r="D419" s="4" t="n">
        <v>16000</v>
      </c>
      <c r="E419" s="4" t="n">
        <v>15000</v>
      </c>
      <c r="F419" s="4" t="n">
        <v>0</v>
      </c>
      <c r="G419" s="5" t="inlineStr">
        <is>
          <t>元/吨</t>
        </is>
      </c>
      <c r="H419" s="5" t="inlineStr">
        <is>
          <t>SMM</t>
        </is>
      </c>
    </row>
    <row r="420">
      <c r="A420" s="2" t="inlineStr">
        <is>
          <t>2026/06/24</t>
        </is>
      </c>
      <c r="B420" s="2" t="inlineStr">
        <is>
          <t>工业级氢氧化锂</t>
        </is>
      </c>
      <c r="C420" s="3" t="n">
        <v>128500</v>
      </c>
      <c r="D420" s="4" t="n">
        <v>134500</v>
      </c>
      <c r="E420" s="4" t="n">
        <v>131500</v>
      </c>
      <c r="F420" s="4" t="n">
        <v>-750</v>
      </c>
      <c r="G420" s="5" t="inlineStr">
        <is>
          <t>元/吨</t>
        </is>
      </c>
      <c r="H420" s="5" t="inlineStr">
        <is>
          <t>SMM</t>
        </is>
      </c>
    </row>
    <row r="421">
      <c r="A421" s="2" t="inlineStr">
        <is>
          <t>2026/06/24</t>
        </is>
      </c>
      <c r="B421" s="2" t="inlineStr">
        <is>
          <t>工业级碳酸锂</t>
        </is>
      </c>
      <c r="C421" s="3" t="n">
        <v>150000</v>
      </c>
      <c r="D421" s="4" t="n">
        <v>157000</v>
      </c>
      <c r="E421" s="4" t="n">
        <v>153500</v>
      </c>
      <c r="F421" s="4" t="n">
        <v>-1000</v>
      </c>
      <c r="G421" s="5" t="inlineStr">
        <is>
          <t>元/吨</t>
        </is>
      </c>
      <c r="H421" s="5" t="inlineStr">
        <is>
          <t>SMM</t>
        </is>
      </c>
    </row>
    <row r="422">
      <c r="A422" s="2" t="inlineStr">
        <is>
          <t>2026/06/24</t>
        </is>
      </c>
      <c r="B422" s="2" t="inlineStr">
        <is>
          <t>工业级金属锂</t>
        </is>
      </c>
      <c r="C422" s="3" t="n">
        <v>1060000</v>
      </c>
      <c r="D422" s="4" t="n">
        <v>1100000</v>
      </c>
      <c r="E422" s="4" t="n">
        <v>1080000</v>
      </c>
      <c r="F422" s="4" t="n">
        <v>0</v>
      </c>
      <c r="G422" s="5" t="inlineStr">
        <is>
          <t>元/吨</t>
        </is>
      </c>
      <c r="H422" s="5" t="inlineStr">
        <is>
          <t>SMM</t>
        </is>
      </c>
    </row>
    <row r="423">
      <c r="A423" s="2" t="inlineStr">
        <is>
          <t>2026/06/24</t>
        </is>
      </c>
      <c r="B423" s="2" t="inlineStr">
        <is>
          <t>巴西锂辉石精矿（CIF中国）现货</t>
        </is>
      </c>
      <c r="C423" s="3" t="n">
        <v>2180</v>
      </c>
      <c r="D423" s="4" t="n">
        <v>2320</v>
      </c>
      <c r="E423" s="4" t="n">
        <v>2250</v>
      </c>
      <c r="F423" s="4" t="n">
        <v>0</v>
      </c>
      <c r="G423" s="5" t="inlineStr">
        <is>
          <t>美元/吨</t>
        </is>
      </c>
      <c r="H423" s="5" t="inlineStr">
        <is>
          <t>SMM</t>
        </is>
      </c>
    </row>
    <row r="424">
      <c r="A424" s="2" t="inlineStr">
        <is>
          <t>2026/06/24</t>
        </is>
      </c>
      <c r="B424" s="2" t="inlineStr">
        <is>
          <t>废旧磷酸铁锂储能正极片</t>
        </is>
      </c>
      <c r="C424" s="3" t="n">
        <v>20700</v>
      </c>
      <c r="D424" s="4" t="n">
        <v>23750</v>
      </c>
      <c r="E424" s="4" t="n">
        <v>22225</v>
      </c>
      <c r="F424" s="4" t="n">
        <v>-225</v>
      </c>
      <c r="G424" s="5" t="inlineStr">
        <is>
          <t>元/吨</t>
        </is>
      </c>
      <c r="H424" s="5" t="inlineStr">
        <is>
          <t>SMM</t>
        </is>
      </c>
    </row>
    <row r="425">
      <c r="A425" s="2" t="inlineStr">
        <is>
          <t>2026/06/24</t>
        </is>
      </c>
      <c r="B425" s="2" t="inlineStr">
        <is>
          <t>废旧磷酸铁锂动力正极片</t>
        </is>
      </c>
      <c r="C425" s="3" t="n">
        <v>24600</v>
      </c>
      <c r="D425" s="4" t="n">
        <v>28650</v>
      </c>
      <c r="E425" s="4" t="n">
        <v>26625</v>
      </c>
      <c r="F425" s="4" t="n">
        <v>-150</v>
      </c>
      <c r="G425" s="5" t="inlineStr">
        <is>
          <t>元/吨</t>
        </is>
      </c>
      <c r="H425" s="5" t="inlineStr">
        <is>
          <t>SMM</t>
        </is>
      </c>
    </row>
    <row r="426">
      <c r="A426" s="2" t="inlineStr">
        <is>
          <t>2026/06/24</t>
        </is>
      </c>
      <c r="B426" s="2" t="inlineStr">
        <is>
          <t>废旧磷酸铁锂软包电池</t>
        </is>
      </c>
      <c r="C426" s="3" t="n">
        <v>15700</v>
      </c>
      <c r="D426" s="4" t="n">
        <v>17000</v>
      </c>
      <c r="E426" s="4" t="n">
        <v>16350</v>
      </c>
      <c r="F426" s="4" t="n">
        <v>-100</v>
      </c>
      <c r="G426" s="5" t="inlineStr">
        <is>
          <t>元/吨</t>
        </is>
      </c>
      <c r="H426" s="5" t="inlineStr">
        <is>
          <t>SMM</t>
        </is>
      </c>
    </row>
    <row r="427">
      <c r="A427" s="2" t="inlineStr">
        <is>
          <t>2026/06/24</t>
        </is>
      </c>
      <c r="B427" s="2" t="inlineStr">
        <is>
          <t>废旧磷酸铁锂钢壳电池</t>
        </is>
      </c>
      <c r="C427" s="3" t="n">
        <v>9800</v>
      </c>
      <c r="D427" s="4" t="n">
        <v>11300</v>
      </c>
      <c r="E427" s="4" t="n">
        <v>10550</v>
      </c>
      <c r="F427" s="4" t="n">
        <v>-100</v>
      </c>
      <c r="G427" s="5" t="inlineStr">
        <is>
          <t>元/吨</t>
        </is>
      </c>
      <c r="H427" s="5" t="inlineStr">
        <is>
          <t>SMM</t>
        </is>
      </c>
    </row>
    <row r="428">
      <c r="A428" s="2" t="inlineStr">
        <is>
          <t>2026/06/24</t>
        </is>
      </c>
      <c r="B428" s="2" t="inlineStr">
        <is>
          <t>废旧磷酸铁锂铝壳电池</t>
        </is>
      </c>
      <c r="C428" s="3" t="n">
        <v>17000</v>
      </c>
      <c r="D428" s="4" t="n">
        <v>18100</v>
      </c>
      <c r="E428" s="4" t="n">
        <v>17550</v>
      </c>
      <c r="F428" s="4" t="n">
        <v>-100</v>
      </c>
      <c r="G428" s="5" t="inlineStr">
        <is>
          <t>元/吨</t>
        </is>
      </c>
      <c r="H428" s="5" t="inlineStr">
        <is>
          <t>SMM</t>
        </is>
      </c>
    </row>
    <row r="429">
      <c r="A429" s="2" t="inlineStr">
        <is>
          <t>2026/06/24</t>
        </is>
      </c>
      <c r="B429" s="2" t="inlineStr">
        <is>
          <t>方形磷酸铁锂电池B品</t>
        </is>
      </c>
      <c r="C429" s="7" t="n">
        <v>0.68</v>
      </c>
      <c r="D429" s="6" t="n">
        <v>0.8</v>
      </c>
      <c r="E429" s="6" t="n">
        <v>0.74</v>
      </c>
      <c r="F429" s="4" t="n">
        <v>0</v>
      </c>
      <c r="G429" s="5" t="inlineStr">
        <is>
          <t>元/Ah</t>
        </is>
      </c>
      <c r="H429" s="5" t="inlineStr">
        <is>
          <t>SMM</t>
        </is>
      </c>
    </row>
    <row r="430">
      <c r="A430" s="2" t="inlineStr">
        <is>
          <t>2026/06/24</t>
        </is>
      </c>
      <c r="B430" s="2" t="inlineStr">
        <is>
          <t>氧化亚镍</t>
        </is>
      </c>
      <c r="C430" s="3" t="n">
        <v>118000</v>
      </c>
      <c r="D430" s="4" t="n">
        <v>126000</v>
      </c>
      <c r="E430" s="4" t="n">
        <v>122000</v>
      </c>
      <c r="F430" s="4" t="n">
        <v>0</v>
      </c>
      <c r="G430" s="5" t="inlineStr">
        <is>
          <t>元/吨</t>
        </is>
      </c>
      <c r="H430" s="5" t="inlineStr">
        <is>
          <t>SMM</t>
        </is>
      </c>
    </row>
    <row r="431">
      <c r="A431" s="2" t="inlineStr">
        <is>
          <t>2026/06/24</t>
        </is>
      </c>
      <c r="B431" s="2" t="inlineStr">
        <is>
          <t>氧化钴</t>
        </is>
      </c>
      <c r="C431" s="3" t="n">
        <v>302000</v>
      </c>
      <c r="D431" s="4" t="n">
        <v>315000</v>
      </c>
      <c r="E431" s="4" t="n">
        <v>308500</v>
      </c>
      <c r="F431" s="4" t="n">
        <v>-1000</v>
      </c>
      <c r="G431" s="5" t="inlineStr">
        <is>
          <t>元/吨</t>
        </is>
      </c>
      <c r="H431" s="5" t="inlineStr">
        <is>
          <t>SMM</t>
        </is>
      </c>
    </row>
    <row r="432">
      <c r="A432" s="2" t="inlineStr">
        <is>
          <t>2026/06/24</t>
        </is>
      </c>
      <c r="B432" s="2" t="inlineStr">
        <is>
          <t>氯化钴</t>
        </is>
      </c>
      <c r="C432" s="3" t="n">
        <v>105300</v>
      </c>
      <c r="D432" s="4" t="n">
        <v>109000</v>
      </c>
      <c r="E432" s="4" t="n">
        <v>107150</v>
      </c>
      <c r="F432" s="4" t="n">
        <v>-100</v>
      </c>
      <c r="G432" s="5" t="inlineStr">
        <is>
          <t>元/吨</t>
        </is>
      </c>
      <c r="H432" s="5" t="inlineStr">
        <is>
          <t>SMM</t>
        </is>
      </c>
    </row>
    <row r="433">
      <c r="A433" s="2" t="inlineStr">
        <is>
          <t>2026/06/24</t>
        </is>
      </c>
      <c r="B433" s="2" t="inlineStr">
        <is>
          <t>氯化镍NiCl₂·6H₂O</t>
        </is>
      </c>
      <c r="C433" s="3" t="n">
        <v>38500</v>
      </c>
      <c r="D433" s="4" t="n">
        <v>41000</v>
      </c>
      <c r="E433" s="4" t="n">
        <v>39750</v>
      </c>
      <c r="F433" s="4" t="n">
        <v>0</v>
      </c>
      <c r="G433" s="5" t="inlineStr">
        <is>
          <t>元/吨</t>
        </is>
      </c>
      <c r="H433" s="5" t="inlineStr">
        <is>
          <t>SMM</t>
        </is>
      </c>
    </row>
    <row r="434">
      <c r="A434" s="2" t="inlineStr">
        <is>
          <t>2026/06/24</t>
        </is>
      </c>
      <c r="B434" s="2" t="inlineStr">
        <is>
          <t>津巴布韦锂辉石精矿（CIF中国）现货</t>
        </is>
      </c>
      <c r="C434" s="3" t="n">
        <v>2380</v>
      </c>
      <c r="D434" s="4" t="n">
        <v>2450</v>
      </c>
      <c r="E434" s="4" t="n">
        <v>2415</v>
      </c>
      <c r="F434" s="6" t="n">
        <v>-60</v>
      </c>
      <c r="G434" s="5" t="inlineStr">
        <is>
          <t>美元/吨</t>
        </is>
      </c>
      <c r="H434" s="5" t="inlineStr">
        <is>
          <t>SMM</t>
        </is>
      </c>
    </row>
    <row r="435">
      <c r="A435" s="2" t="inlineStr">
        <is>
          <t>2026/06/24</t>
        </is>
      </c>
      <c r="B435" s="2" t="inlineStr">
        <is>
          <t>澳大利亚锂辉石精矿（CIF中国）现货</t>
        </is>
      </c>
      <c r="C435" s="3" t="n">
        <v>2200</v>
      </c>
      <c r="D435" s="4" t="n">
        <v>2330</v>
      </c>
      <c r="E435" s="4" t="n">
        <v>2265</v>
      </c>
      <c r="F435" s="4" t="n">
        <v>0</v>
      </c>
      <c r="G435" s="5" t="inlineStr">
        <is>
          <t>美元/吨</t>
        </is>
      </c>
      <c r="H435" s="5" t="inlineStr">
        <is>
          <t>SMM</t>
        </is>
      </c>
    </row>
    <row r="436">
      <c r="A436" s="2" t="inlineStr">
        <is>
          <t>2026/06/24</t>
        </is>
      </c>
      <c r="B436" s="2" t="inlineStr">
        <is>
          <t>电池级无水氯化锂</t>
        </is>
      </c>
      <c r="C436" s="3" t="n">
        <v>230</v>
      </c>
      <c r="D436" s="4" t="n">
        <v>290</v>
      </c>
      <c r="E436" s="4" t="n">
        <v>260</v>
      </c>
      <c r="F436" s="4" t="n">
        <v>0</v>
      </c>
      <c r="G436" s="5" t="inlineStr">
        <is>
          <t>元/千克</t>
        </is>
      </c>
      <c r="H436" s="5" t="inlineStr">
        <is>
          <t>SMM</t>
        </is>
      </c>
    </row>
    <row r="437">
      <c r="A437" s="2" t="inlineStr">
        <is>
          <t>2026/06/24</t>
        </is>
      </c>
      <c r="B437" s="2" t="inlineStr">
        <is>
          <t>电池级氟化锂</t>
        </is>
      </c>
      <c r="C437" s="3" t="n">
        <v>272000</v>
      </c>
      <c r="D437" s="4" t="n">
        <v>280000</v>
      </c>
      <c r="E437" s="4" t="n">
        <v>276000</v>
      </c>
      <c r="F437" s="4" t="n">
        <v>-1500</v>
      </c>
      <c r="G437" s="5" t="inlineStr">
        <is>
          <t>元/吨</t>
        </is>
      </c>
      <c r="H437" s="5" t="inlineStr">
        <is>
          <t>SMM</t>
        </is>
      </c>
    </row>
    <row r="438">
      <c r="A438" s="2" t="inlineStr">
        <is>
          <t>2026/06/24</t>
        </is>
      </c>
      <c r="B438" s="2" t="inlineStr">
        <is>
          <t>电池级氢氧化锂(CIF中日韩)</t>
        </is>
      </c>
      <c r="C438" s="7" t="n">
        <v>17.4</v>
      </c>
      <c r="D438" s="6" t="n">
        <v>20.3</v>
      </c>
      <c r="E438" s="6" t="n">
        <v>18.85</v>
      </c>
      <c r="F438" s="4" t="n">
        <v>0</v>
      </c>
      <c r="G438" s="5" t="inlineStr">
        <is>
          <t>美元/千克</t>
        </is>
      </c>
      <c r="H438" s="5" t="inlineStr">
        <is>
          <t>SMM</t>
        </is>
      </c>
    </row>
    <row r="439">
      <c r="A439" s="2" t="inlineStr">
        <is>
          <t>2026/06/24</t>
        </is>
      </c>
      <c r="B439" s="2" t="inlineStr">
        <is>
          <t>电池级氢氧化锂(CIF韩国)</t>
        </is>
      </c>
      <c r="C439" s="7" t="n">
        <v>17.1</v>
      </c>
      <c r="D439" s="6" t="n">
        <v>20.4</v>
      </c>
      <c r="E439" s="6" t="n">
        <v>18.75</v>
      </c>
      <c r="F439" s="4" t="n">
        <v>0</v>
      </c>
      <c r="G439" s="5" t="inlineStr">
        <is>
          <t>美元/千克</t>
        </is>
      </c>
      <c r="H439" s="5" t="inlineStr">
        <is>
          <t>SMM</t>
        </is>
      </c>
    </row>
    <row r="440">
      <c r="A440" s="2" t="inlineStr">
        <is>
          <t>2026/06/24</t>
        </is>
      </c>
      <c r="B440" s="2" t="inlineStr">
        <is>
          <t>电池级氢氧化锂(微粉）</t>
        </is>
      </c>
      <c r="C440" s="3" t="n">
        <v>142000</v>
      </c>
      <c r="D440" s="4" t="n">
        <v>158000</v>
      </c>
      <c r="E440" s="4" t="n">
        <v>150000</v>
      </c>
      <c r="F440" s="4" t="n">
        <v>-750</v>
      </c>
      <c r="G440" s="5" t="inlineStr">
        <is>
          <t>元/吨</t>
        </is>
      </c>
      <c r="H440" s="5" t="inlineStr">
        <is>
          <t>SMM</t>
        </is>
      </c>
    </row>
    <row r="441">
      <c r="A441" s="2" t="inlineStr">
        <is>
          <t>2026/06/24</t>
        </is>
      </c>
      <c r="B441" s="2" t="inlineStr">
        <is>
          <t>电池级氢氧化锂（粗颗粒）</t>
        </is>
      </c>
      <c r="C441" s="3" t="n">
        <v>134000</v>
      </c>
      <c r="D441" s="4" t="n">
        <v>154000</v>
      </c>
      <c r="E441" s="4" t="n">
        <v>144000</v>
      </c>
      <c r="F441" s="4" t="n">
        <v>-750</v>
      </c>
      <c r="G441" s="5" t="inlineStr">
        <is>
          <t>元/吨</t>
        </is>
      </c>
      <c r="H441" s="5" t="inlineStr">
        <is>
          <t>SMM</t>
        </is>
      </c>
    </row>
    <row r="442">
      <c r="A442" s="2" t="inlineStr">
        <is>
          <t>2026/06/24</t>
        </is>
      </c>
      <c r="B442" s="2" t="inlineStr">
        <is>
          <t>电池级硫酸锰（出厂价）</t>
        </is>
      </c>
      <c r="C442" s="3" t="n">
        <v>7570</v>
      </c>
      <c r="D442" s="4" t="n">
        <v>7770</v>
      </c>
      <c r="E442" s="4" t="n">
        <v>7670</v>
      </c>
      <c r="F442" s="4" t="n">
        <v>0</v>
      </c>
      <c r="G442" s="5" t="inlineStr">
        <is>
          <t>元/吨</t>
        </is>
      </c>
      <c r="H442" s="5" t="inlineStr">
        <is>
          <t>SMM</t>
        </is>
      </c>
    </row>
    <row r="443">
      <c r="A443" s="2" t="inlineStr">
        <is>
          <t>2026/06/24</t>
        </is>
      </c>
      <c r="B443" s="2" t="inlineStr">
        <is>
          <t>电池级硫酸镍</t>
        </is>
      </c>
      <c r="C443" s="3" t="n">
        <v>32600</v>
      </c>
      <c r="D443" s="4" t="n">
        <v>33000</v>
      </c>
      <c r="E443" s="4" t="n">
        <v>32800</v>
      </c>
      <c r="F443" s="4" t="n">
        <v>-450</v>
      </c>
      <c r="G443" s="5" t="inlineStr">
        <is>
          <t>元/吨</t>
        </is>
      </c>
      <c r="H443" s="5" t="inlineStr">
        <is>
          <t>SMM</t>
        </is>
      </c>
    </row>
    <row r="444">
      <c r="A444" s="2" t="inlineStr">
        <is>
          <t>2026/06/24</t>
        </is>
      </c>
      <c r="B444" s="2" t="inlineStr">
        <is>
          <t>电池级碳酸锂</t>
        </is>
      </c>
      <c r="C444" s="3" t="n">
        <v>154000</v>
      </c>
      <c r="D444" s="4" t="n">
        <v>161000</v>
      </c>
      <c r="E444" s="4" t="n">
        <v>157500</v>
      </c>
      <c r="F444" s="4" t="n">
        <v>-1000</v>
      </c>
      <c r="G444" s="5" t="inlineStr">
        <is>
          <t>元/吨</t>
        </is>
      </c>
      <c r="H444" s="5" t="inlineStr">
        <is>
          <t>SMM</t>
        </is>
      </c>
    </row>
    <row r="445">
      <c r="A445" s="2" t="inlineStr">
        <is>
          <t>2026/06/24</t>
        </is>
      </c>
      <c r="B445" s="2" t="inlineStr">
        <is>
          <t>电池级碳酸锂(CIF韩国)</t>
        </is>
      </c>
      <c r="C445" s="7" t="n">
        <v>19.2</v>
      </c>
      <c r="D445" s="6" t="n">
        <v>21.5</v>
      </c>
      <c r="E445" s="6" t="n">
        <v>20.35</v>
      </c>
      <c r="F445" s="4" t="n">
        <v>0</v>
      </c>
      <c r="G445" s="5" t="inlineStr">
        <is>
          <t>美元/千克</t>
        </is>
      </c>
      <c r="H445" s="5" t="inlineStr">
        <is>
          <t>SMM</t>
        </is>
      </c>
    </row>
    <row r="446">
      <c r="A446" s="2" t="inlineStr">
        <is>
          <t>2026/06/24</t>
        </is>
      </c>
      <c r="B446" s="2" t="inlineStr">
        <is>
          <t>电池级碳酸锂（CIF中日韩）</t>
        </is>
      </c>
      <c r="C446" s="7" t="n">
        <v>19.3</v>
      </c>
      <c r="D446" s="6" t="n">
        <v>21.5</v>
      </c>
      <c r="E446" s="6" t="n">
        <v>20.4</v>
      </c>
      <c r="F446" s="4" t="n">
        <v>0</v>
      </c>
      <c r="G446" s="5" t="inlineStr">
        <is>
          <t>美元/千克</t>
        </is>
      </c>
      <c r="H446" s="5" t="inlineStr">
        <is>
          <t>SMM</t>
        </is>
      </c>
    </row>
    <row r="447">
      <c r="A447" s="2" t="inlineStr">
        <is>
          <t>2026/06/24</t>
        </is>
      </c>
      <c r="B447" s="2" t="inlineStr">
        <is>
          <t>电池级金属锂</t>
        </is>
      </c>
      <c r="C447" s="3" t="n">
        <v>1090000</v>
      </c>
      <c r="D447" s="4" t="n">
        <v>1130000</v>
      </c>
      <c r="E447" s="4" t="n">
        <v>1110000</v>
      </c>
      <c r="F447" s="4" t="n">
        <v>0</v>
      </c>
      <c r="G447" s="5" t="inlineStr">
        <is>
          <t>元/吨</t>
        </is>
      </c>
      <c r="H447" s="5" t="inlineStr">
        <is>
          <t>SMM</t>
        </is>
      </c>
    </row>
    <row r="448">
      <c r="A448" s="2" t="inlineStr">
        <is>
          <t>2026/06/24</t>
        </is>
      </c>
      <c r="B448" s="2" t="inlineStr">
        <is>
          <t>电解钴</t>
        </is>
      </c>
      <c r="C448" s="3" t="n">
        <v>370000</v>
      </c>
      <c r="D448" s="4" t="n">
        <v>385000</v>
      </c>
      <c r="E448" s="4" t="n">
        <v>377500</v>
      </c>
      <c r="F448" s="4" t="n">
        <v>0</v>
      </c>
      <c r="G448" s="5" t="inlineStr">
        <is>
          <t>元/吨</t>
        </is>
      </c>
      <c r="H448" s="5" t="inlineStr">
        <is>
          <t>SMM</t>
        </is>
      </c>
    </row>
    <row r="449">
      <c r="A449" s="2" t="inlineStr">
        <is>
          <t>2026/06/24</t>
        </is>
      </c>
      <c r="B449" s="2" t="inlineStr">
        <is>
          <t>电解钴（鹿特丹仓库）</t>
        </is>
      </c>
      <c r="C449" s="7" t="n">
        <v>25.5</v>
      </c>
      <c r="D449" s="6" t="n">
        <v>27</v>
      </c>
      <c r="E449" s="6" t="n">
        <v>26.25</v>
      </c>
      <c r="F449" s="4" t="n">
        <v>0</v>
      </c>
      <c r="G449" s="5" t="inlineStr">
        <is>
          <t>美元/磅</t>
        </is>
      </c>
      <c r="H449" s="5" t="inlineStr">
        <is>
          <t>SMM</t>
        </is>
      </c>
    </row>
    <row r="450">
      <c r="A450" s="2" t="inlineStr">
        <is>
          <t>2026/06/24</t>
        </is>
      </c>
      <c r="B450" s="2" t="inlineStr">
        <is>
          <t>电镀级硫酸镍</t>
        </is>
      </c>
      <c r="C450" s="3" t="n">
        <v>32500</v>
      </c>
      <c r="D450" s="4" t="n">
        <v>37000</v>
      </c>
      <c r="E450" s="4" t="n">
        <v>34750</v>
      </c>
      <c r="F450" s="4" t="n">
        <v>0</v>
      </c>
      <c r="G450" s="5" t="inlineStr">
        <is>
          <t>元/吨</t>
        </is>
      </c>
      <c r="H450" s="5" t="inlineStr">
        <is>
          <t>SMM</t>
        </is>
      </c>
    </row>
    <row r="451">
      <c r="A451" s="2" t="inlineStr">
        <is>
          <t>2026/06/24</t>
        </is>
      </c>
      <c r="B451" s="2" t="inlineStr">
        <is>
          <t>硫酸钴</t>
        </is>
      </c>
      <c r="C451" s="3" t="n">
        <v>86000</v>
      </c>
      <c r="D451" s="4" t="n">
        <v>88500</v>
      </c>
      <c r="E451" s="4" t="n">
        <v>87250</v>
      </c>
      <c r="F451" s="4" t="n">
        <v>-150</v>
      </c>
      <c r="G451" s="5" t="inlineStr">
        <is>
          <t>元/吨</t>
        </is>
      </c>
      <c r="H451" s="5" t="inlineStr">
        <is>
          <t>SMM</t>
        </is>
      </c>
    </row>
    <row r="452">
      <c r="A452" s="2" t="inlineStr">
        <is>
          <t>2026/06/24</t>
        </is>
      </c>
      <c r="B452" s="2" t="inlineStr">
        <is>
          <t>碳酸钴</t>
        </is>
      </c>
      <c r="C452" s="3" t="n">
        <v>208000</v>
      </c>
      <c r="D452" s="4" t="n">
        <v>218000</v>
      </c>
      <c r="E452" s="4" t="n">
        <v>213000</v>
      </c>
      <c r="F452" s="4" t="n">
        <v>0</v>
      </c>
      <c r="G452" s="5" t="inlineStr">
        <is>
          <t>元/吨</t>
        </is>
      </c>
      <c r="H452" s="5" t="inlineStr">
        <is>
          <t>SMM</t>
        </is>
      </c>
    </row>
    <row r="453">
      <c r="A453" s="2" t="inlineStr">
        <is>
          <t>2026/06/24</t>
        </is>
      </c>
      <c r="B453" s="2" t="inlineStr">
        <is>
          <t>磷酸铁锂</t>
        </is>
      </c>
      <c r="C453" s="3" t="n">
        <v>56790</v>
      </c>
      <c r="D453" s="4" t="n">
        <v>57390</v>
      </c>
      <c r="E453" s="4" t="n">
        <v>57090</v>
      </c>
      <c r="F453" s="4" t="n">
        <v>-240</v>
      </c>
      <c r="G453" s="5" t="inlineStr">
        <is>
          <t>元/吨</t>
        </is>
      </c>
      <c r="H453" s="5" t="inlineStr">
        <is>
          <t>SMM</t>
        </is>
      </c>
    </row>
    <row r="454">
      <c r="A454" s="2" t="inlineStr">
        <is>
          <t>2026/06/24</t>
        </is>
      </c>
      <c r="B454" s="2" t="inlineStr">
        <is>
          <t>磷酸锰铁锂</t>
        </is>
      </c>
      <c r="C454" s="3" t="n">
        <v>62500</v>
      </c>
      <c r="D454" s="4" t="n">
        <v>67500</v>
      </c>
      <c r="E454" s="4" t="n">
        <v>65000</v>
      </c>
      <c r="F454" s="4" t="n">
        <v>0</v>
      </c>
      <c r="G454" s="5" t="inlineStr">
        <is>
          <t>元/吨</t>
        </is>
      </c>
      <c r="H454" s="5" t="inlineStr">
        <is>
          <t>SMM</t>
        </is>
      </c>
    </row>
    <row r="455">
      <c r="A455" s="2" t="inlineStr">
        <is>
          <t>2026/06/24</t>
        </is>
      </c>
      <c r="B455" s="2" t="inlineStr">
        <is>
          <t>金属钴FOB</t>
        </is>
      </c>
      <c r="C455" s="7" t="n">
        <v>24</v>
      </c>
      <c r="D455" s="6" t="n">
        <v>25</v>
      </c>
      <c r="E455" s="6" t="n">
        <v>24.5</v>
      </c>
      <c r="F455" s="6" t="n">
        <v>-0.25</v>
      </c>
      <c r="G455" s="5" t="inlineStr">
        <is>
          <t>美元/磅</t>
        </is>
      </c>
      <c r="H455" s="5" t="inlineStr">
        <is>
          <t>SMM</t>
        </is>
      </c>
    </row>
    <row r="456">
      <c r="A456" s="2" t="inlineStr">
        <is>
          <t>2026/06/24</t>
        </is>
      </c>
      <c r="B456" s="2" t="inlineStr">
        <is>
          <t>钴中间品中钴含量≥30%</t>
        </is>
      </c>
      <c r="C456" s="3" t="n">
        <v>26122</v>
      </c>
      <c r="D456" s="4" t="n">
        <v>26122</v>
      </c>
      <c r="E456" s="4" t="n">
        <v>26122</v>
      </c>
      <c r="F456" s="4" t="n">
        <v>-661</v>
      </c>
      <c r="G456" s="5" t="inlineStr">
        <is>
          <t>元/金属吨</t>
        </is>
      </c>
      <c r="H456" s="5" t="inlineStr">
        <is>
          <t>SMM</t>
        </is>
      </c>
    </row>
    <row r="457">
      <c r="A457" s="2" t="inlineStr">
        <is>
          <t>2026/06/24</t>
        </is>
      </c>
      <c r="B457" s="2" t="inlineStr">
        <is>
          <t>钴中间品原料计价系数（对SMM硫酸钴均价）</t>
        </is>
      </c>
      <c r="C457" s="7" t="n">
        <v>99</v>
      </c>
      <c r="D457" s="4" t="n">
        <v>100</v>
      </c>
      <c r="E457" s="6" t="n">
        <v>99.5</v>
      </c>
      <c r="F457" s="4" t="n">
        <v>0</v>
      </c>
      <c r="G457" s="5" t="inlineStr">
        <is>
          <t>%</t>
        </is>
      </c>
      <c r="H457" s="5" t="inlineStr">
        <is>
          <t>SMM</t>
        </is>
      </c>
    </row>
    <row r="458">
      <c r="A458" s="2" t="inlineStr">
        <is>
          <t>2026/06/24</t>
        </is>
      </c>
      <c r="B458" s="2" t="inlineStr">
        <is>
          <t>钴酸锂</t>
        </is>
      </c>
      <c r="C458" s="3" t="n">
        <v>376000</v>
      </c>
      <c r="D458" s="4" t="n">
        <v>379000</v>
      </c>
      <c r="E458" s="4" t="n">
        <v>377500</v>
      </c>
      <c r="F458" s="4" t="n">
        <v>-3000</v>
      </c>
      <c r="G458" s="5" t="inlineStr">
        <is>
          <t>元/吨</t>
        </is>
      </c>
      <c r="H458" s="5" t="inlineStr">
        <is>
          <t>SMM</t>
        </is>
      </c>
    </row>
    <row r="459">
      <c r="A459" s="2" t="inlineStr">
        <is>
          <t>2026/06/24</t>
        </is>
      </c>
      <c r="B459" s="2" t="inlineStr">
        <is>
          <t>钴酸锂聚合物软包</t>
        </is>
      </c>
      <c r="C459" s="3" t="n">
        <v>97500</v>
      </c>
      <c r="D459" s="4" t="n">
        <v>99500</v>
      </c>
      <c r="E459" s="4" t="n">
        <v>98500</v>
      </c>
      <c r="F459" s="4" t="n">
        <v>-200</v>
      </c>
      <c r="G459" s="5" t="inlineStr">
        <is>
          <t>元/吨</t>
        </is>
      </c>
      <c r="H459" s="5" t="inlineStr">
        <is>
          <t>SMM</t>
        </is>
      </c>
    </row>
    <row r="460">
      <c r="A460" s="2" t="inlineStr">
        <is>
          <t>2026/06/24</t>
        </is>
      </c>
      <c r="B460" s="2" t="inlineStr">
        <is>
          <t>钴酸锂铝壳</t>
        </is>
      </c>
      <c r="C460" s="3" t="n">
        <v>84200</v>
      </c>
      <c r="D460" s="4" t="n">
        <v>92000</v>
      </c>
      <c r="E460" s="4" t="n">
        <v>88100</v>
      </c>
      <c r="F460" s="4" t="n">
        <v>-200</v>
      </c>
      <c r="G460" s="5" t="inlineStr">
        <is>
          <t>元/吨</t>
        </is>
      </c>
      <c r="H460" s="5" t="inlineStr">
        <is>
          <t>SMM</t>
        </is>
      </c>
    </row>
    <row r="461">
      <c r="A461" s="2" t="inlineStr">
        <is>
          <t>2026/06/24</t>
        </is>
      </c>
      <c r="B461" s="2" t="inlineStr">
        <is>
          <t>锰酸锂圆柱钢壳</t>
        </is>
      </c>
      <c r="C461" s="3" t="n">
        <v>5000</v>
      </c>
      <c r="D461" s="4" t="n">
        <v>7400</v>
      </c>
      <c r="E461" s="4" t="n">
        <v>6200</v>
      </c>
      <c r="F461" s="4" t="n">
        <v>0</v>
      </c>
      <c r="G461" s="5" t="inlineStr">
        <is>
          <t>元/吨</t>
        </is>
      </c>
      <c r="H461" s="5" t="inlineStr">
        <is>
          <t>SMM</t>
        </is>
      </c>
    </row>
    <row r="462">
      <c r="A462" s="2" t="inlineStr">
        <is>
          <t>2026/06/24</t>
        </is>
      </c>
      <c r="B462" s="2" t="inlineStr">
        <is>
          <t>非洲硫酸锂(CIF中国)</t>
        </is>
      </c>
      <c r="C462" s="3" t="n">
        <v>7419</v>
      </c>
      <c r="D462" s="4" t="n">
        <v>7799</v>
      </c>
      <c r="E462" s="4" t="n">
        <v>7609</v>
      </c>
      <c r="F462" s="6" t="n">
        <v>-71.5</v>
      </c>
      <c r="G462" s="5" t="inlineStr">
        <is>
          <t>美元/吨</t>
        </is>
      </c>
      <c r="H462" s="5" t="inlineStr">
        <is>
          <t>SMM</t>
        </is>
      </c>
    </row>
    <row r="463">
      <c r="A463" s="2" t="inlineStr">
        <is>
          <t>2026/06/24</t>
        </is>
      </c>
      <c r="B463" s="2" t="inlineStr">
        <is>
          <t>非洲锂辉石精矿（CIF中国）指数</t>
        </is>
      </c>
      <c r="C463" s="3" t="n">
        <v>2398</v>
      </c>
      <c r="D463" s="4" t="n">
        <v>2398</v>
      </c>
      <c r="E463" s="4" t="n">
        <v>2398</v>
      </c>
      <c r="F463" s="6" t="n">
        <v>-72</v>
      </c>
      <c r="G463" s="5" t="inlineStr">
        <is>
          <t>美元/吨</t>
        </is>
      </c>
      <c r="H463" s="5" t="inlineStr">
        <is>
          <t>SMM</t>
        </is>
      </c>
    </row>
    <row r="464">
      <c r="A464" s="2" t="inlineStr">
        <is>
          <t>2026/06/25</t>
        </is>
      </c>
      <c r="B464" s="2" t="inlineStr">
        <is>
          <t>5系三元前驱体</t>
        </is>
      </c>
      <c r="C464" s="3" t="n">
        <v>98700</v>
      </c>
      <c r="D464" s="4" t="n">
        <v>103800</v>
      </c>
      <c r="E464" s="4" t="n">
        <v>101250</v>
      </c>
      <c r="F464" s="4" t="n">
        <v>-650</v>
      </c>
      <c r="G464" s="5" t="inlineStr">
        <is>
          <t>元/吨</t>
        </is>
      </c>
      <c r="H464" s="5" t="inlineStr">
        <is>
          <t>SMM</t>
        </is>
      </c>
    </row>
    <row r="465">
      <c r="A465" s="2" t="inlineStr">
        <is>
          <t>2026/06/25</t>
        </is>
      </c>
      <c r="B465" s="2" t="inlineStr">
        <is>
          <t>5系三元材料</t>
        </is>
      </c>
      <c r="C465" s="3" t="n">
        <v>181400</v>
      </c>
      <c r="D465" s="4" t="n">
        <v>188500</v>
      </c>
      <c r="E465" s="4" t="n">
        <v>184950</v>
      </c>
      <c r="F465" s="4" t="n">
        <v>-400</v>
      </c>
      <c r="G465" s="5" t="inlineStr">
        <is>
          <t>元/吨</t>
        </is>
      </c>
      <c r="H465" s="5" t="inlineStr">
        <is>
          <t>SMM</t>
        </is>
      </c>
    </row>
    <row r="466">
      <c r="A466" s="2" t="inlineStr">
        <is>
          <t>2026/06/25</t>
        </is>
      </c>
      <c r="B466" s="2" t="inlineStr">
        <is>
          <t>6系三元前驱体（单晶/动力型）</t>
        </is>
      </c>
      <c r="C466" s="3" t="n">
        <v>91550</v>
      </c>
      <c r="D466" s="4" t="n">
        <v>96250</v>
      </c>
      <c r="E466" s="4" t="n">
        <v>93900</v>
      </c>
      <c r="F466" s="4" t="n">
        <v>-650</v>
      </c>
      <c r="G466" s="5" t="inlineStr">
        <is>
          <t>元/吨</t>
        </is>
      </c>
      <c r="H466" s="5" t="inlineStr">
        <is>
          <t>SMM</t>
        </is>
      </c>
    </row>
    <row r="467">
      <c r="A467" s="2" t="inlineStr">
        <is>
          <t>2026/06/25</t>
        </is>
      </c>
      <c r="B467" s="2" t="inlineStr">
        <is>
          <t>6系三元材料（单晶/动力型）</t>
        </is>
      </c>
      <c r="C467" s="3" t="n">
        <v>184900</v>
      </c>
      <c r="D467" s="4" t="n">
        <v>194400</v>
      </c>
      <c r="E467" s="4" t="n">
        <v>189650</v>
      </c>
      <c r="F467" s="4" t="n">
        <v>-700</v>
      </c>
      <c r="G467" s="5" t="inlineStr">
        <is>
          <t>元/吨</t>
        </is>
      </c>
      <c r="H467" s="5" t="inlineStr">
        <is>
          <t>SMM</t>
        </is>
      </c>
    </row>
    <row r="468">
      <c r="A468" s="2" t="inlineStr">
        <is>
          <t>2026/06/25</t>
        </is>
      </c>
      <c r="B468" s="2" t="inlineStr">
        <is>
          <t>8系三元前驱体（多晶/动力型）</t>
        </is>
      </c>
      <c r="C468" s="3" t="n">
        <v>113200</v>
      </c>
      <c r="D468" s="4" t="n">
        <v>118900</v>
      </c>
      <c r="E468" s="4" t="n">
        <v>116050</v>
      </c>
      <c r="F468" s="4" t="n">
        <v>-900</v>
      </c>
      <c r="G468" s="5" t="inlineStr">
        <is>
          <t>元/吨</t>
        </is>
      </c>
      <c r="H468" s="5" t="inlineStr">
        <is>
          <t>SMM</t>
        </is>
      </c>
    </row>
    <row r="469">
      <c r="A469" s="2" t="inlineStr">
        <is>
          <t>2026/06/25</t>
        </is>
      </c>
      <c r="B469" s="2" t="inlineStr">
        <is>
          <t>8系三元材料</t>
        </is>
      </c>
      <c r="C469" s="3" t="n">
        <v>207800</v>
      </c>
      <c r="D469" s="4" t="n">
        <v>217400</v>
      </c>
      <c r="E469" s="4" t="n">
        <v>212600</v>
      </c>
      <c r="F469" s="4" t="n">
        <v>-800</v>
      </c>
      <c r="G469" s="5" t="inlineStr">
        <is>
          <t>元/吨</t>
        </is>
      </c>
      <c r="H469" s="5" t="inlineStr">
        <is>
          <t>SMM</t>
        </is>
      </c>
    </row>
    <row r="470">
      <c r="A470" s="2" t="inlineStr">
        <is>
          <t>2026/06/25</t>
        </is>
      </c>
      <c r="B470" s="2" t="inlineStr">
        <is>
          <t>MHP系数（对SMM电池级硫酸镍指数）</t>
        </is>
      </c>
      <c r="C470" s="7" t="n">
        <v>81.5</v>
      </c>
      <c r="D470" s="6" t="n">
        <v>82.5</v>
      </c>
      <c r="E470" s="6" t="n">
        <v>82</v>
      </c>
      <c r="F470" s="6" t="n">
        <v>-2</v>
      </c>
      <c r="G470" s="5" t="inlineStr">
        <is>
          <t>%</t>
        </is>
      </c>
      <c r="H470" s="5" t="inlineStr">
        <is>
          <t>SMM</t>
        </is>
      </c>
    </row>
    <row r="471">
      <c r="A471" s="2" t="inlineStr">
        <is>
          <t>2026/06/25</t>
        </is>
      </c>
      <c r="B471" s="2" t="inlineStr">
        <is>
          <t>MHP钴元素计价系数（对SMM硫酸钴均价）</t>
        </is>
      </c>
      <c r="C471" s="7" t="n">
        <v>92</v>
      </c>
      <c r="D471" s="6" t="n">
        <v>93</v>
      </c>
      <c r="E471" s="6" t="n">
        <v>92.5</v>
      </c>
      <c r="F471" s="4" t="n">
        <v>0</v>
      </c>
      <c r="G471" s="5" t="inlineStr">
        <is>
          <t>%</t>
        </is>
      </c>
      <c r="H471" s="5" t="inlineStr">
        <is>
          <t>SMM</t>
        </is>
      </c>
    </row>
    <row r="472">
      <c r="A472" s="2" t="inlineStr">
        <is>
          <t>2026/06/25</t>
        </is>
      </c>
      <c r="B472" s="2" t="inlineStr">
        <is>
          <t>NCA三元材料</t>
        </is>
      </c>
      <c r="C472" s="3" t="n">
        <v>205000</v>
      </c>
      <c r="D472" s="4" t="n">
        <v>213500</v>
      </c>
      <c r="E472" s="4" t="n">
        <v>209250</v>
      </c>
      <c r="F472" s="4" t="n">
        <v>-300</v>
      </c>
      <c r="G472" s="5" t="inlineStr">
        <is>
          <t>元/吨</t>
        </is>
      </c>
      <c r="H472" s="5" t="inlineStr">
        <is>
          <t>SMM</t>
        </is>
      </c>
    </row>
    <row r="473">
      <c r="A473" s="2" t="inlineStr">
        <is>
          <t>2026/06/25</t>
        </is>
      </c>
      <c r="B473" s="2" t="inlineStr">
        <is>
          <t>SMM三元极片粉钴系数指数</t>
        </is>
      </c>
      <c r="C473" s="7" t="n">
        <v>78.31999999999999</v>
      </c>
      <c r="D473" s="6" t="n">
        <v>78.31999999999999</v>
      </c>
      <c r="E473" s="6" t="n">
        <v>78.31999999999999</v>
      </c>
      <c r="F473" s="6" t="n">
        <v>-0.03</v>
      </c>
      <c r="G473" s="5" t="inlineStr">
        <is>
          <t>%</t>
        </is>
      </c>
      <c r="H473" s="5" t="inlineStr">
        <is>
          <t>SMM</t>
        </is>
      </c>
    </row>
    <row r="474">
      <c r="A474" s="2" t="inlineStr">
        <is>
          <t>2026/06/25</t>
        </is>
      </c>
      <c r="B474" s="2" t="inlineStr">
        <is>
          <t>SMM三元极片粉锂系数指数</t>
        </is>
      </c>
      <c r="C474" s="7" t="n">
        <v>78.33</v>
      </c>
      <c r="D474" s="6" t="n">
        <v>78.33</v>
      </c>
      <c r="E474" s="6" t="n">
        <v>78.33</v>
      </c>
      <c r="F474" s="6" t="n">
        <v>-0.03</v>
      </c>
      <c r="G474" s="5" t="inlineStr">
        <is>
          <t>%</t>
        </is>
      </c>
      <c r="H474" s="5" t="inlineStr">
        <is>
          <t>SMM</t>
        </is>
      </c>
    </row>
    <row r="475">
      <c r="A475" s="2" t="inlineStr">
        <is>
          <t>2026/06/25</t>
        </is>
      </c>
      <c r="B475" s="2" t="inlineStr">
        <is>
          <t>SMM三元极片粉镍系数指数</t>
        </is>
      </c>
      <c r="C475" s="7" t="n">
        <v>78.33</v>
      </c>
      <c r="D475" s="6" t="n">
        <v>78.33</v>
      </c>
      <c r="E475" s="6" t="n">
        <v>78.33</v>
      </c>
      <c r="F475" s="6" t="n">
        <v>-0.03</v>
      </c>
      <c r="G475" s="5" t="inlineStr">
        <is>
          <t>%</t>
        </is>
      </c>
      <c r="H475" s="5" t="inlineStr">
        <is>
          <t>SMM</t>
        </is>
      </c>
    </row>
    <row r="476">
      <c r="A476" s="2" t="inlineStr">
        <is>
          <t>2026/06/25</t>
        </is>
      </c>
      <c r="B476" s="2" t="inlineStr">
        <is>
          <t>SMM三元电池粉钴系数指数</t>
        </is>
      </c>
      <c r="C476" s="7" t="n">
        <v>74.8</v>
      </c>
      <c r="D476" s="6" t="n">
        <v>74.8</v>
      </c>
      <c r="E476" s="6" t="n">
        <v>74.8</v>
      </c>
      <c r="F476" s="6" t="n">
        <v>-0.05</v>
      </c>
      <c r="G476" s="5" t="inlineStr">
        <is>
          <t>%</t>
        </is>
      </c>
      <c r="H476" s="5" t="inlineStr">
        <is>
          <t>SMM</t>
        </is>
      </c>
    </row>
    <row r="477">
      <c r="A477" s="2" t="inlineStr">
        <is>
          <t>2026/06/25</t>
        </is>
      </c>
      <c r="B477" s="2" t="inlineStr">
        <is>
          <t>SMM三元电池粉锂系数指数</t>
        </is>
      </c>
      <c r="C477" s="7" t="n">
        <v>74.8</v>
      </c>
      <c r="D477" s="6" t="n">
        <v>74.8</v>
      </c>
      <c r="E477" s="6" t="n">
        <v>74.8</v>
      </c>
      <c r="F477" s="6" t="n">
        <v>-0.05</v>
      </c>
      <c r="G477" s="5" t="inlineStr">
        <is>
          <t>%</t>
        </is>
      </c>
      <c r="H477" s="5" t="inlineStr">
        <is>
          <t>SMM</t>
        </is>
      </c>
    </row>
    <row r="478">
      <c r="A478" s="2" t="inlineStr">
        <is>
          <t>2026/06/25</t>
        </is>
      </c>
      <c r="B478" s="2" t="inlineStr">
        <is>
          <t>SMM三元电池粉镍系数指数</t>
        </is>
      </c>
      <c r="C478" s="7" t="n">
        <v>74.8</v>
      </c>
      <c r="D478" s="6" t="n">
        <v>74.8</v>
      </c>
      <c r="E478" s="6" t="n">
        <v>74.8</v>
      </c>
      <c r="F478" s="6" t="n">
        <v>-0.05</v>
      </c>
      <c r="G478" s="5" t="inlineStr">
        <is>
          <t>%</t>
        </is>
      </c>
      <c r="H478" s="5" t="inlineStr">
        <is>
          <t>SMM</t>
        </is>
      </c>
    </row>
    <row r="479">
      <c r="A479" s="2" t="inlineStr">
        <is>
          <t>2026/06/25</t>
        </is>
      </c>
      <c r="B479" s="2" t="inlineStr">
        <is>
          <t>SMM六氟磷酸锂指数</t>
        </is>
      </c>
      <c r="C479" s="3" t="n">
        <v>100740</v>
      </c>
      <c r="D479" s="4" t="n">
        <v>104852</v>
      </c>
      <c r="E479" s="4" t="n">
        <v>102796</v>
      </c>
      <c r="F479" s="4" t="n">
        <v>-189.5</v>
      </c>
      <c r="G479" s="5" t="inlineStr">
        <is>
          <t>元/吨</t>
        </is>
      </c>
      <c r="H479" s="5" t="inlineStr">
        <is>
          <t>SMM</t>
        </is>
      </c>
    </row>
    <row r="480">
      <c r="A480" s="2" t="inlineStr">
        <is>
          <t>2026/06/25</t>
        </is>
      </c>
      <c r="B480" s="2" t="inlineStr">
        <is>
          <t>SMM电池级氢氧化锂指数</t>
        </is>
      </c>
      <c r="C480" s="3" t="n">
        <v>143670</v>
      </c>
      <c r="D480" s="4" t="n">
        <v>143670</v>
      </c>
      <c r="E480" s="4" t="n">
        <v>143670</v>
      </c>
      <c r="F480" s="4" t="n">
        <v>-582</v>
      </c>
      <c r="G480" s="5" t="inlineStr">
        <is>
          <t>元/吨</t>
        </is>
      </c>
      <c r="H480" s="5" t="inlineStr">
        <is>
          <t>SMM</t>
        </is>
      </c>
    </row>
    <row r="481">
      <c r="A481" s="2" t="inlineStr">
        <is>
          <t>2026/06/25</t>
        </is>
      </c>
      <c r="B481" s="2" t="inlineStr">
        <is>
          <t>SMM电池级硫酸锰指数</t>
        </is>
      </c>
      <c r="C481" s="3" t="n">
        <v>7654</v>
      </c>
      <c r="D481" s="4" t="n">
        <v>7654</v>
      </c>
      <c r="E481" s="4" t="n">
        <v>7654</v>
      </c>
      <c r="F481" s="6" t="n">
        <v>7</v>
      </c>
      <c r="G481" s="5" t="inlineStr">
        <is>
          <t>元/吨</t>
        </is>
      </c>
      <c r="H481" s="5" t="inlineStr">
        <is>
          <t>SMM</t>
        </is>
      </c>
    </row>
    <row r="482">
      <c r="A482" s="2" t="inlineStr">
        <is>
          <t>2026/06/25</t>
        </is>
      </c>
      <c r="B482" s="2" t="inlineStr">
        <is>
          <t>SMM电池级硫酸镍指数</t>
        </is>
      </c>
      <c r="C482" s="3" t="n">
        <v>32642</v>
      </c>
      <c r="D482" s="4" t="n">
        <v>32642</v>
      </c>
      <c r="E482" s="4" t="n">
        <v>32642</v>
      </c>
      <c r="F482" s="4" t="n">
        <v>-155</v>
      </c>
      <c r="G482" s="5" t="inlineStr">
        <is>
          <t>元/吨</t>
        </is>
      </c>
      <c r="H482" s="5" t="inlineStr">
        <is>
          <t>SMM</t>
        </is>
      </c>
    </row>
    <row r="483">
      <c r="A483" s="2" t="inlineStr">
        <is>
          <t>2026/06/25</t>
        </is>
      </c>
      <c r="B483" s="2" t="inlineStr">
        <is>
          <t>SMM电池级碳酸锂指数</t>
        </is>
      </c>
      <c r="C483" s="3" t="n">
        <v>156755</v>
      </c>
      <c r="D483" s="4" t="n">
        <v>156755</v>
      </c>
      <c r="E483" s="4" t="n">
        <v>156755</v>
      </c>
      <c r="F483" s="4" t="n">
        <v>-115</v>
      </c>
      <c r="G483" s="5" t="inlineStr">
        <is>
          <t>元/吨</t>
        </is>
      </c>
      <c r="H483" s="5" t="inlineStr">
        <is>
          <t>SMM</t>
        </is>
      </c>
    </row>
    <row r="484">
      <c r="A484" s="2" t="inlineStr">
        <is>
          <t>2026/06/25</t>
        </is>
      </c>
      <c r="B484" s="2" t="inlineStr">
        <is>
          <t>SMM硫酸钴指数</t>
        </is>
      </c>
      <c r="C484" s="3" t="n">
        <v>86510</v>
      </c>
      <c r="D484" s="4" t="n">
        <v>86510</v>
      </c>
      <c r="E484" s="4" t="n">
        <v>86510</v>
      </c>
      <c r="F484" s="4" t="n">
        <v>-501</v>
      </c>
      <c r="G484" s="5" t="inlineStr">
        <is>
          <t>元/吨</t>
        </is>
      </c>
      <c r="H484" s="5" t="inlineStr">
        <is>
          <t>SMM</t>
        </is>
      </c>
    </row>
    <row r="485">
      <c r="A485" s="2" t="inlineStr">
        <is>
          <t>2026/06/25</t>
        </is>
      </c>
      <c r="B485" s="2" t="inlineStr">
        <is>
          <t>SMM磷酸铁锂极片粉指数</t>
        </is>
      </c>
      <c r="C485" s="3" t="n">
        <v>7039</v>
      </c>
      <c r="D485" s="4" t="n">
        <v>7039</v>
      </c>
      <c r="E485" s="4" t="n">
        <v>7039</v>
      </c>
      <c r="F485" s="6" t="n">
        <v>-9</v>
      </c>
      <c r="G485" s="5" t="inlineStr">
        <is>
          <t>元/锂点</t>
        </is>
      </c>
      <c r="H485" s="5" t="inlineStr">
        <is>
          <t>SMM</t>
        </is>
      </c>
    </row>
    <row r="486">
      <c r="A486" s="2" t="inlineStr">
        <is>
          <t>2026/06/25</t>
        </is>
      </c>
      <c r="B486" s="2" t="inlineStr">
        <is>
          <t>SMM磷酸铁锂电池粉指数</t>
        </is>
      </c>
      <c r="C486" s="3" t="n">
        <v>6595</v>
      </c>
      <c r="D486" s="4" t="n">
        <v>6595</v>
      </c>
      <c r="E486" s="4" t="n">
        <v>6595</v>
      </c>
      <c r="F486" s="6" t="n">
        <v>-1</v>
      </c>
      <c r="G486" s="5" t="inlineStr">
        <is>
          <t>元/锂点</t>
        </is>
      </c>
      <c r="H486" s="5" t="inlineStr">
        <is>
          <t>SMM</t>
        </is>
      </c>
    </row>
    <row r="487">
      <c r="A487" s="2" t="inlineStr">
        <is>
          <t>2026/06/25</t>
        </is>
      </c>
      <c r="B487" s="2" t="inlineStr">
        <is>
          <t>SMM钴酸锂极片粉钴系数指数</t>
        </is>
      </c>
      <c r="C487" s="7" t="n">
        <v>81.78</v>
      </c>
      <c r="D487" s="6" t="n">
        <v>81.78</v>
      </c>
      <c r="E487" s="6" t="n">
        <v>81.78</v>
      </c>
      <c r="F487" s="6" t="n">
        <v>-0.52</v>
      </c>
      <c r="G487" s="5" t="inlineStr">
        <is>
          <t>%</t>
        </is>
      </c>
      <c r="H487" s="5" t="inlineStr">
        <is>
          <t>SMM</t>
        </is>
      </c>
    </row>
    <row r="488">
      <c r="A488" s="2" t="inlineStr">
        <is>
          <t>2026/06/25</t>
        </is>
      </c>
      <c r="B488" s="2" t="inlineStr">
        <is>
          <t>SMM钴酸锂极片粉锂系数指数</t>
        </is>
      </c>
      <c r="C488" s="7" t="n">
        <v>76.23</v>
      </c>
      <c r="D488" s="6" t="n">
        <v>76.23</v>
      </c>
      <c r="E488" s="6" t="n">
        <v>76.23</v>
      </c>
      <c r="F488" s="4" t="n">
        <v>0</v>
      </c>
      <c r="G488" s="5" t="inlineStr">
        <is>
          <t>%</t>
        </is>
      </c>
      <c r="H488" s="5" t="inlineStr">
        <is>
          <t>SMM</t>
        </is>
      </c>
    </row>
    <row r="489">
      <c r="A489" s="2" t="inlineStr">
        <is>
          <t>2026/06/25</t>
        </is>
      </c>
      <c r="B489" s="2" t="inlineStr">
        <is>
          <t>SMM钴酸锂电池粉钴系数指数</t>
        </is>
      </c>
      <c r="C489" s="7" t="n">
        <v>79.34999999999999</v>
      </c>
      <c r="D489" s="6" t="n">
        <v>79.34999999999999</v>
      </c>
      <c r="E489" s="6" t="n">
        <v>79.34999999999999</v>
      </c>
      <c r="F489" s="6" t="n">
        <v>-0.62</v>
      </c>
      <c r="G489" s="5" t="inlineStr">
        <is>
          <t>%</t>
        </is>
      </c>
      <c r="H489" s="5" t="inlineStr">
        <is>
          <t>SMM</t>
        </is>
      </c>
    </row>
    <row r="490">
      <c r="A490" s="2" t="inlineStr">
        <is>
          <t>2026/06/25</t>
        </is>
      </c>
      <c r="B490" s="2" t="inlineStr">
        <is>
          <t>SMM钴酸锂电池粉锂系数指数</t>
        </is>
      </c>
      <c r="C490" s="7" t="n">
        <v>75.92</v>
      </c>
      <c r="D490" s="6" t="n">
        <v>75.92</v>
      </c>
      <c r="E490" s="6" t="n">
        <v>75.92</v>
      </c>
      <c r="F490" s="4" t="n">
        <v>0</v>
      </c>
      <c r="G490" s="5" t="inlineStr">
        <is>
          <t>%</t>
        </is>
      </c>
      <c r="H490" s="5" t="inlineStr">
        <is>
          <t>SMM</t>
        </is>
      </c>
    </row>
    <row r="491">
      <c r="A491" s="2" t="inlineStr">
        <is>
          <t>2026/06/25</t>
        </is>
      </c>
      <c r="B491" s="2" t="inlineStr">
        <is>
          <t>三元方壳锂电B品</t>
        </is>
      </c>
      <c r="C491" s="7" t="n">
        <v>0.75</v>
      </c>
      <c r="D491" s="6" t="n">
        <v>0.84</v>
      </c>
      <c r="E491" s="6" t="n">
        <v>0.795</v>
      </c>
      <c r="F491" s="6" t="n">
        <v>-0.005</v>
      </c>
      <c r="G491" s="5" t="inlineStr">
        <is>
          <t>元/Ah</t>
        </is>
      </c>
      <c r="H491" s="5" t="inlineStr">
        <is>
          <t>SMM</t>
        </is>
      </c>
    </row>
    <row r="492">
      <c r="A492" s="2" t="inlineStr">
        <is>
          <t>2026/06/25</t>
        </is>
      </c>
      <c r="B492" s="2" t="inlineStr">
        <is>
          <t>六氟磷酸锂（国产）</t>
        </is>
      </c>
      <c r="C492" s="3" t="n">
        <v>105000</v>
      </c>
      <c r="D492" s="4" t="n">
        <v>110000</v>
      </c>
      <c r="E492" s="4" t="n">
        <v>107500</v>
      </c>
      <c r="F492" s="4" t="n">
        <v>-500</v>
      </c>
      <c r="G492" s="5" t="inlineStr">
        <is>
          <t>元/吨</t>
        </is>
      </c>
      <c r="H492" s="5" t="inlineStr">
        <is>
          <t>SMM</t>
        </is>
      </c>
    </row>
    <row r="493">
      <c r="A493" s="2" t="inlineStr">
        <is>
          <t>2026/06/25</t>
        </is>
      </c>
      <c r="B493" s="2" t="inlineStr">
        <is>
          <t>四氧化三钴</t>
        </is>
      </c>
      <c r="C493" s="3" t="n">
        <v>330000</v>
      </c>
      <c r="D493" s="4" t="n">
        <v>342000</v>
      </c>
      <c r="E493" s="4" t="n">
        <v>336000</v>
      </c>
      <c r="F493" s="4" t="n">
        <v>0</v>
      </c>
      <c r="G493" s="5" t="inlineStr">
        <is>
          <t>元/吨</t>
        </is>
      </c>
      <c r="H493" s="5" t="inlineStr">
        <is>
          <t>SMM</t>
        </is>
      </c>
    </row>
    <row r="494">
      <c r="A494" s="2" t="inlineStr">
        <is>
          <t>2026/06/25</t>
        </is>
      </c>
      <c r="B494" s="2" t="inlineStr">
        <is>
          <t>四氧化三锰（电池级）</t>
        </is>
      </c>
      <c r="C494" s="3" t="n">
        <v>14000</v>
      </c>
      <c r="D494" s="4" t="n">
        <v>16000</v>
      </c>
      <c r="E494" s="4" t="n">
        <v>15000</v>
      </c>
      <c r="F494" s="4" t="n">
        <v>0</v>
      </c>
      <c r="G494" s="5" t="inlineStr">
        <is>
          <t>元/吨</t>
        </is>
      </c>
      <c r="H494" s="5" t="inlineStr">
        <is>
          <t>SMM</t>
        </is>
      </c>
    </row>
    <row r="495">
      <c r="A495" s="2" t="inlineStr">
        <is>
          <t>2026/06/25</t>
        </is>
      </c>
      <c r="B495" s="2" t="inlineStr">
        <is>
          <t>工业级氢氧化锂</t>
        </is>
      </c>
      <c r="C495" s="3" t="n">
        <v>128000</v>
      </c>
      <c r="D495" s="4" t="n">
        <v>134000</v>
      </c>
      <c r="E495" s="4" t="n">
        <v>131000</v>
      </c>
      <c r="F495" s="4" t="n">
        <v>-500</v>
      </c>
      <c r="G495" s="5" t="inlineStr">
        <is>
          <t>元/吨</t>
        </is>
      </c>
      <c r="H495" s="5" t="inlineStr">
        <is>
          <t>SMM</t>
        </is>
      </c>
    </row>
    <row r="496">
      <c r="A496" s="2" t="inlineStr">
        <is>
          <t>2026/06/25</t>
        </is>
      </c>
      <c r="B496" s="2" t="inlineStr">
        <is>
          <t>工业级碳酸锂</t>
        </is>
      </c>
      <c r="C496" s="3" t="n">
        <v>149000</v>
      </c>
      <c r="D496" s="4" t="n">
        <v>157000</v>
      </c>
      <c r="E496" s="4" t="n">
        <v>153000</v>
      </c>
      <c r="F496" s="4" t="n">
        <v>-500</v>
      </c>
      <c r="G496" s="5" t="inlineStr">
        <is>
          <t>元/吨</t>
        </is>
      </c>
      <c r="H496" s="5" t="inlineStr">
        <is>
          <t>SMM</t>
        </is>
      </c>
    </row>
    <row r="497">
      <c r="A497" s="2" t="inlineStr">
        <is>
          <t>2026/06/25</t>
        </is>
      </c>
      <c r="B497" s="2" t="inlineStr">
        <is>
          <t>工业级金属锂</t>
        </is>
      </c>
      <c r="C497" s="3" t="n">
        <v>1060000</v>
      </c>
      <c r="D497" s="4" t="n">
        <v>1100000</v>
      </c>
      <c r="E497" s="4" t="n">
        <v>1080000</v>
      </c>
      <c r="F497" s="4" t="n">
        <v>0</v>
      </c>
      <c r="G497" s="5" t="inlineStr">
        <is>
          <t>元/吨</t>
        </is>
      </c>
      <c r="H497" s="5" t="inlineStr">
        <is>
          <t>SMM</t>
        </is>
      </c>
    </row>
    <row r="498">
      <c r="A498" s="2" t="inlineStr">
        <is>
          <t>2026/06/25</t>
        </is>
      </c>
      <c r="B498" s="2" t="inlineStr">
        <is>
          <t>巴西锂辉石精矿（CIF中国）现货</t>
        </is>
      </c>
      <c r="C498" s="3" t="n">
        <v>2180</v>
      </c>
      <c r="D498" s="4" t="n">
        <v>2320</v>
      </c>
      <c r="E498" s="4" t="n">
        <v>2250</v>
      </c>
      <c r="F498" s="4" t="n">
        <v>0</v>
      </c>
      <c r="G498" s="5" t="inlineStr">
        <is>
          <t>美元/吨</t>
        </is>
      </c>
      <c r="H498" s="5" t="inlineStr">
        <is>
          <t>SMM</t>
        </is>
      </c>
    </row>
    <row r="499">
      <c r="A499" s="2" t="inlineStr">
        <is>
          <t>2026/06/25</t>
        </is>
      </c>
      <c r="B499" s="2" t="inlineStr">
        <is>
          <t>废旧磷酸铁锂储能正极片</t>
        </is>
      </c>
      <c r="C499" s="3" t="n">
        <v>20600</v>
      </c>
      <c r="D499" s="4" t="n">
        <v>23750</v>
      </c>
      <c r="E499" s="4" t="n">
        <v>22175</v>
      </c>
      <c r="F499" s="6" t="n">
        <v>-50</v>
      </c>
      <c r="G499" s="5" t="inlineStr">
        <is>
          <t>元/吨</t>
        </is>
      </c>
      <c r="H499" s="5" t="inlineStr">
        <is>
          <t>SMM</t>
        </is>
      </c>
    </row>
    <row r="500">
      <c r="A500" s="2" t="inlineStr">
        <is>
          <t>2026/06/25</t>
        </is>
      </c>
      <c r="B500" s="2" t="inlineStr">
        <is>
          <t>废旧磷酸铁锂动力正极片</t>
        </is>
      </c>
      <c r="C500" s="3" t="n">
        <v>24400</v>
      </c>
      <c r="D500" s="4" t="n">
        <v>28650</v>
      </c>
      <c r="E500" s="4" t="n">
        <v>26525</v>
      </c>
      <c r="F500" s="4" t="n">
        <v>-100</v>
      </c>
      <c r="G500" s="5" t="inlineStr">
        <is>
          <t>元/吨</t>
        </is>
      </c>
      <c r="H500" s="5" t="inlineStr">
        <is>
          <t>SMM</t>
        </is>
      </c>
    </row>
    <row r="501">
      <c r="A501" s="2" t="inlineStr">
        <is>
          <t>2026/06/25</t>
        </is>
      </c>
      <c r="B501" s="2" t="inlineStr">
        <is>
          <t>废旧磷酸铁锂软包电池</t>
        </is>
      </c>
      <c r="C501" s="3" t="n">
        <v>15500</v>
      </c>
      <c r="D501" s="4" t="n">
        <v>17000</v>
      </c>
      <c r="E501" s="4" t="n">
        <v>16250</v>
      </c>
      <c r="F501" s="4" t="n">
        <v>-100</v>
      </c>
      <c r="G501" s="5" t="inlineStr">
        <is>
          <t>元/吨</t>
        </is>
      </c>
      <c r="H501" s="5" t="inlineStr">
        <is>
          <t>SMM</t>
        </is>
      </c>
    </row>
    <row r="502">
      <c r="A502" s="2" t="inlineStr">
        <is>
          <t>2026/06/25</t>
        </is>
      </c>
      <c r="B502" s="2" t="inlineStr">
        <is>
          <t>废旧磷酸铁锂钢壳电池</t>
        </is>
      </c>
      <c r="C502" s="3" t="n">
        <v>9800</v>
      </c>
      <c r="D502" s="4" t="n">
        <v>11000</v>
      </c>
      <c r="E502" s="4" t="n">
        <v>10400</v>
      </c>
      <c r="F502" s="4" t="n">
        <v>-150</v>
      </c>
      <c r="G502" s="5" t="inlineStr">
        <is>
          <t>元/吨</t>
        </is>
      </c>
      <c r="H502" s="5" t="inlineStr">
        <is>
          <t>SMM</t>
        </is>
      </c>
    </row>
    <row r="503">
      <c r="A503" s="2" t="inlineStr">
        <is>
          <t>2026/06/25</t>
        </is>
      </c>
      <c r="B503" s="2" t="inlineStr">
        <is>
          <t>废旧磷酸铁锂铝壳电池</t>
        </is>
      </c>
      <c r="C503" s="3" t="n">
        <v>16800</v>
      </c>
      <c r="D503" s="4" t="n">
        <v>18000</v>
      </c>
      <c r="E503" s="4" t="n">
        <v>17400</v>
      </c>
      <c r="F503" s="4" t="n">
        <v>-150</v>
      </c>
      <c r="G503" s="5" t="inlineStr">
        <is>
          <t>元/吨</t>
        </is>
      </c>
      <c r="H503" s="5" t="inlineStr">
        <is>
          <t>SMM</t>
        </is>
      </c>
    </row>
    <row r="504">
      <c r="A504" s="2" t="inlineStr">
        <is>
          <t>2026/06/25</t>
        </is>
      </c>
      <c r="B504" s="2" t="inlineStr">
        <is>
          <t>方形磷酸铁锂电池B品</t>
        </is>
      </c>
      <c r="C504" s="7" t="n">
        <v>0.68</v>
      </c>
      <c r="D504" s="6" t="n">
        <v>0.8</v>
      </c>
      <c r="E504" s="6" t="n">
        <v>0.74</v>
      </c>
      <c r="F504" s="4" t="n">
        <v>0</v>
      </c>
      <c r="G504" s="5" t="inlineStr">
        <is>
          <t>元/Ah</t>
        </is>
      </c>
      <c r="H504" s="5" t="inlineStr">
        <is>
          <t>SMM</t>
        </is>
      </c>
    </row>
    <row r="505">
      <c r="A505" s="2" t="inlineStr">
        <is>
          <t>2026/06/25</t>
        </is>
      </c>
      <c r="B505" s="2" t="inlineStr">
        <is>
          <t>氧化亚镍</t>
        </is>
      </c>
      <c r="C505" s="3" t="n">
        <v>118000</v>
      </c>
      <c r="D505" s="4" t="n">
        <v>126000</v>
      </c>
      <c r="E505" s="4" t="n">
        <v>122000</v>
      </c>
      <c r="F505" s="4" t="n">
        <v>0</v>
      </c>
      <c r="G505" s="5" t="inlineStr">
        <is>
          <t>元/吨</t>
        </is>
      </c>
      <c r="H505" s="5" t="inlineStr">
        <is>
          <t>SMM</t>
        </is>
      </c>
    </row>
    <row r="506">
      <c r="A506" s="2" t="inlineStr">
        <is>
          <t>2026/06/25</t>
        </is>
      </c>
      <c r="B506" s="2" t="inlineStr">
        <is>
          <t>氧化钴</t>
        </is>
      </c>
      <c r="C506" s="3" t="n">
        <v>302000</v>
      </c>
      <c r="D506" s="4" t="n">
        <v>315000</v>
      </c>
      <c r="E506" s="4" t="n">
        <v>308500</v>
      </c>
      <c r="F506" s="4" t="n">
        <v>0</v>
      </c>
      <c r="G506" s="5" t="inlineStr">
        <is>
          <t>元/吨</t>
        </is>
      </c>
      <c r="H506" s="5" t="inlineStr">
        <is>
          <t>SMM</t>
        </is>
      </c>
    </row>
    <row r="507">
      <c r="A507" s="2" t="inlineStr">
        <is>
          <t>2026/06/25</t>
        </is>
      </c>
      <c r="B507" s="2" t="inlineStr">
        <is>
          <t>氯化钴</t>
        </is>
      </c>
      <c r="C507" s="3" t="n">
        <v>104500</v>
      </c>
      <c r="D507" s="4" t="n">
        <v>108000</v>
      </c>
      <c r="E507" s="4" t="n">
        <v>106250</v>
      </c>
      <c r="F507" s="4" t="n">
        <v>-900</v>
      </c>
      <c r="G507" s="5" t="inlineStr">
        <is>
          <t>元/吨</t>
        </is>
      </c>
      <c r="H507" s="5" t="inlineStr">
        <is>
          <t>SMM</t>
        </is>
      </c>
    </row>
    <row r="508">
      <c r="A508" s="2" t="inlineStr">
        <is>
          <t>2026/06/25</t>
        </is>
      </c>
      <c r="B508" s="2" t="inlineStr">
        <is>
          <t>氯化镍NiCl₂·6H₂O</t>
        </is>
      </c>
      <c r="C508" s="3" t="n">
        <v>38500</v>
      </c>
      <c r="D508" s="4" t="n">
        <v>41000</v>
      </c>
      <c r="E508" s="4" t="n">
        <v>39750</v>
      </c>
      <c r="F508" s="4" t="n">
        <v>0</v>
      </c>
      <c r="G508" s="5" t="inlineStr">
        <is>
          <t>元/吨</t>
        </is>
      </c>
      <c r="H508" s="5" t="inlineStr">
        <is>
          <t>SMM</t>
        </is>
      </c>
    </row>
    <row r="509">
      <c r="A509" s="2" t="inlineStr">
        <is>
          <t>2026/06/25</t>
        </is>
      </c>
      <c r="B509" s="2" t="inlineStr">
        <is>
          <t>津巴布韦锂辉石精矿（CIF中国）现货</t>
        </is>
      </c>
      <c r="C509" s="3" t="n">
        <v>2380</v>
      </c>
      <c r="D509" s="4" t="n">
        <v>2450</v>
      </c>
      <c r="E509" s="4" t="n">
        <v>2415</v>
      </c>
      <c r="F509" s="6" t="n">
        <v>-60</v>
      </c>
      <c r="G509" s="5" t="inlineStr">
        <is>
          <t>美元/吨</t>
        </is>
      </c>
      <c r="H509" s="5" t="inlineStr">
        <is>
          <t>SMM</t>
        </is>
      </c>
    </row>
    <row r="510">
      <c r="A510" s="2" t="inlineStr">
        <is>
          <t>2026/06/25</t>
        </is>
      </c>
      <c r="B510" s="2" t="inlineStr">
        <is>
          <t>澳大利亚锂辉石精矿（CIF中国）现货</t>
        </is>
      </c>
      <c r="C510" s="3" t="n">
        <v>2200</v>
      </c>
      <c r="D510" s="4" t="n">
        <v>2330</v>
      </c>
      <c r="E510" s="4" t="n">
        <v>2265</v>
      </c>
      <c r="F510" s="4" t="n">
        <v>0</v>
      </c>
      <c r="G510" s="5" t="inlineStr">
        <is>
          <t>美元/吨</t>
        </is>
      </c>
      <c r="H510" s="5" t="inlineStr">
        <is>
          <t>SMM</t>
        </is>
      </c>
    </row>
    <row r="511">
      <c r="A511" s="2" t="inlineStr">
        <is>
          <t>2026/06/25</t>
        </is>
      </c>
      <c r="B511" s="2" t="inlineStr">
        <is>
          <t>电池级无水氯化锂</t>
        </is>
      </c>
      <c r="C511" s="3" t="n">
        <v>230</v>
      </c>
      <c r="D511" s="4" t="n">
        <v>290</v>
      </c>
      <c r="E511" s="4" t="n">
        <v>260</v>
      </c>
      <c r="F511" s="4" t="n">
        <v>0</v>
      </c>
      <c r="G511" s="5" t="inlineStr">
        <is>
          <t>元/千克</t>
        </is>
      </c>
      <c r="H511" s="5" t="inlineStr">
        <is>
          <t>SMM</t>
        </is>
      </c>
    </row>
    <row r="512">
      <c r="A512" s="2" t="inlineStr">
        <is>
          <t>2026/06/25</t>
        </is>
      </c>
      <c r="B512" s="2" t="inlineStr">
        <is>
          <t>电池级氟化锂</t>
        </is>
      </c>
      <c r="C512" s="3" t="n">
        <v>270000</v>
      </c>
      <c r="D512" s="4" t="n">
        <v>280000</v>
      </c>
      <c r="E512" s="4" t="n">
        <v>275000</v>
      </c>
      <c r="F512" s="4" t="n">
        <v>-1000</v>
      </c>
      <c r="G512" s="5" t="inlineStr">
        <is>
          <t>元/吨</t>
        </is>
      </c>
      <c r="H512" s="5" t="inlineStr">
        <is>
          <t>SMM</t>
        </is>
      </c>
    </row>
    <row r="513">
      <c r="A513" s="2" t="inlineStr">
        <is>
          <t>2026/06/25</t>
        </is>
      </c>
      <c r="B513" s="2" t="inlineStr">
        <is>
          <t>电池级氢氧化锂(CIF中日韩)</t>
        </is>
      </c>
      <c r="C513" s="7" t="n">
        <v>17.4</v>
      </c>
      <c r="D513" s="6" t="n">
        <v>20.2</v>
      </c>
      <c r="E513" s="6" t="n">
        <v>18.8</v>
      </c>
      <c r="F513" s="6" t="n">
        <v>-0.05</v>
      </c>
      <c r="G513" s="5" t="inlineStr">
        <is>
          <t>美元/千克</t>
        </is>
      </c>
      <c r="H513" s="5" t="inlineStr">
        <is>
          <t>SMM</t>
        </is>
      </c>
    </row>
    <row r="514">
      <c r="A514" s="2" t="inlineStr">
        <is>
          <t>2026/06/25</t>
        </is>
      </c>
      <c r="B514" s="2" t="inlineStr">
        <is>
          <t>电池级氢氧化锂(CIF韩国)</t>
        </is>
      </c>
      <c r="C514" s="7" t="n">
        <v>17.1</v>
      </c>
      <c r="D514" s="6" t="n">
        <v>20.3</v>
      </c>
      <c r="E514" s="6" t="n">
        <v>18.7</v>
      </c>
      <c r="F514" s="6" t="n">
        <v>-0.05</v>
      </c>
      <c r="G514" s="5" t="inlineStr">
        <is>
          <t>美元/千克</t>
        </is>
      </c>
      <c r="H514" s="5" t="inlineStr">
        <is>
          <t>SMM</t>
        </is>
      </c>
    </row>
    <row r="515">
      <c r="A515" s="2" t="inlineStr">
        <is>
          <t>2026/06/25</t>
        </is>
      </c>
      <c r="B515" s="2" t="inlineStr">
        <is>
          <t>电池级氢氧化锂(微粉）</t>
        </is>
      </c>
      <c r="C515" s="3" t="n">
        <v>141500</v>
      </c>
      <c r="D515" s="4" t="n">
        <v>157500</v>
      </c>
      <c r="E515" s="4" t="n">
        <v>149500</v>
      </c>
      <c r="F515" s="4" t="n">
        <v>-500</v>
      </c>
      <c r="G515" s="5" t="inlineStr">
        <is>
          <t>元/吨</t>
        </is>
      </c>
      <c r="H515" s="5" t="inlineStr">
        <is>
          <t>SMM</t>
        </is>
      </c>
    </row>
    <row r="516">
      <c r="A516" s="2" t="inlineStr">
        <is>
          <t>2026/06/25</t>
        </is>
      </c>
      <c r="B516" s="2" t="inlineStr">
        <is>
          <t>电池级氢氧化锂（粗颗粒）</t>
        </is>
      </c>
      <c r="C516" s="3" t="n">
        <v>133500</v>
      </c>
      <c r="D516" s="4" t="n">
        <v>153500</v>
      </c>
      <c r="E516" s="4" t="n">
        <v>143500</v>
      </c>
      <c r="F516" s="4" t="n">
        <v>-500</v>
      </c>
      <c r="G516" s="5" t="inlineStr">
        <is>
          <t>元/吨</t>
        </is>
      </c>
      <c r="H516" s="5" t="inlineStr">
        <is>
          <t>SMM</t>
        </is>
      </c>
    </row>
    <row r="517">
      <c r="A517" s="2" t="inlineStr">
        <is>
          <t>2026/06/25</t>
        </is>
      </c>
      <c r="B517" s="2" t="inlineStr">
        <is>
          <t>电池级硫酸锰（出厂价）</t>
        </is>
      </c>
      <c r="C517" s="3" t="n">
        <v>7570</v>
      </c>
      <c r="D517" s="4" t="n">
        <v>7770</v>
      </c>
      <c r="E517" s="4" t="n">
        <v>7670</v>
      </c>
      <c r="F517" s="4" t="n">
        <v>0</v>
      </c>
      <c r="G517" s="5" t="inlineStr">
        <is>
          <t>元/吨</t>
        </is>
      </c>
      <c r="H517" s="5" t="inlineStr">
        <is>
          <t>SMM</t>
        </is>
      </c>
    </row>
    <row r="518">
      <c r="A518" s="2" t="inlineStr">
        <is>
          <t>2026/06/25</t>
        </is>
      </c>
      <c r="B518" s="2" t="inlineStr">
        <is>
          <t>电池级硫酸镍</t>
        </is>
      </c>
      <c r="C518" s="3" t="n">
        <v>32300</v>
      </c>
      <c r="D518" s="4" t="n">
        <v>32700</v>
      </c>
      <c r="E518" s="4" t="n">
        <v>32500</v>
      </c>
      <c r="F518" s="4" t="n">
        <v>-300</v>
      </c>
      <c r="G518" s="5" t="inlineStr">
        <is>
          <t>元/吨</t>
        </is>
      </c>
      <c r="H518" s="5" t="inlineStr">
        <is>
          <t>SMM</t>
        </is>
      </c>
    </row>
    <row r="519">
      <c r="A519" s="2" t="inlineStr">
        <is>
          <t>2026/06/25</t>
        </is>
      </c>
      <c r="B519" s="2" t="inlineStr">
        <is>
          <t>电池级碳酸锂</t>
        </is>
      </c>
      <c r="C519" s="3" t="n">
        <v>153000</v>
      </c>
      <c r="D519" s="4" t="n">
        <v>161000</v>
      </c>
      <c r="E519" s="4" t="n">
        <v>157000</v>
      </c>
      <c r="F519" s="4" t="n">
        <v>-500</v>
      </c>
      <c r="G519" s="5" t="inlineStr">
        <is>
          <t>元/吨</t>
        </is>
      </c>
      <c r="H519" s="5" t="inlineStr">
        <is>
          <t>SMM</t>
        </is>
      </c>
    </row>
    <row r="520">
      <c r="A520" s="2" t="inlineStr">
        <is>
          <t>2026/06/25</t>
        </is>
      </c>
      <c r="B520" s="2" t="inlineStr">
        <is>
          <t>电池级碳酸锂(CIF韩国)</t>
        </is>
      </c>
      <c r="C520" s="7" t="n">
        <v>19.2</v>
      </c>
      <c r="D520" s="6" t="n">
        <v>21.4</v>
      </c>
      <c r="E520" s="6" t="n">
        <v>20.3</v>
      </c>
      <c r="F520" s="6" t="n">
        <v>-0.05</v>
      </c>
      <c r="G520" s="5" t="inlineStr">
        <is>
          <t>美元/千克</t>
        </is>
      </c>
      <c r="H520" s="5" t="inlineStr">
        <is>
          <t>SMM</t>
        </is>
      </c>
    </row>
    <row r="521">
      <c r="A521" s="2" t="inlineStr">
        <is>
          <t>2026/06/25</t>
        </is>
      </c>
      <c r="B521" s="2" t="inlineStr">
        <is>
          <t>电池级碳酸锂（CIF中日韩）</t>
        </is>
      </c>
      <c r="C521" s="7" t="n">
        <v>19.3</v>
      </c>
      <c r="D521" s="6" t="n">
        <v>21.4</v>
      </c>
      <c r="E521" s="6" t="n">
        <v>20.35</v>
      </c>
      <c r="F521" s="6" t="n">
        <v>-0.05</v>
      </c>
      <c r="G521" s="5" t="inlineStr">
        <is>
          <t>美元/千克</t>
        </is>
      </c>
      <c r="H521" s="5" t="inlineStr">
        <is>
          <t>SMM</t>
        </is>
      </c>
    </row>
    <row r="522">
      <c r="A522" s="2" t="inlineStr">
        <is>
          <t>2026/06/25</t>
        </is>
      </c>
      <c r="B522" s="2" t="inlineStr">
        <is>
          <t>电池级金属锂</t>
        </is>
      </c>
      <c r="C522" s="3" t="n">
        <v>1090000</v>
      </c>
      <c r="D522" s="4" t="n">
        <v>1130000</v>
      </c>
      <c r="E522" s="4" t="n">
        <v>1110000</v>
      </c>
      <c r="F522" s="4" t="n">
        <v>0</v>
      </c>
      <c r="G522" s="5" t="inlineStr">
        <is>
          <t>元/吨</t>
        </is>
      </c>
      <c r="H522" s="5" t="inlineStr">
        <is>
          <t>SMM</t>
        </is>
      </c>
    </row>
    <row r="523">
      <c r="A523" s="2" t="inlineStr">
        <is>
          <t>2026/06/25</t>
        </is>
      </c>
      <c r="B523" s="2" t="inlineStr">
        <is>
          <t>电解钴</t>
        </is>
      </c>
      <c r="C523" s="3" t="n">
        <v>369000</v>
      </c>
      <c r="D523" s="4" t="n">
        <v>385000</v>
      </c>
      <c r="E523" s="4" t="n">
        <v>377000</v>
      </c>
      <c r="F523" s="4" t="n">
        <v>-500</v>
      </c>
      <c r="G523" s="5" t="inlineStr">
        <is>
          <t>元/吨</t>
        </is>
      </c>
      <c r="H523" s="5" t="inlineStr">
        <is>
          <t>SMM</t>
        </is>
      </c>
    </row>
    <row r="524">
      <c r="A524" s="2" t="inlineStr">
        <is>
          <t>2026/06/25</t>
        </is>
      </c>
      <c r="B524" s="2" t="inlineStr">
        <is>
          <t>电解钴（鹿特丹仓库）</t>
        </is>
      </c>
      <c r="C524" s="7" t="n">
        <v>25</v>
      </c>
      <c r="D524" s="6" t="n">
        <v>27</v>
      </c>
      <c r="E524" s="6" t="n">
        <v>26</v>
      </c>
      <c r="F524" s="6" t="n">
        <v>-0.25</v>
      </c>
      <c r="G524" s="5" t="inlineStr">
        <is>
          <t>美元/磅</t>
        </is>
      </c>
      <c r="H524" s="5" t="inlineStr">
        <is>
          <t>SMM</t>
        </is>
      </c>
    </row>
    <row r="525">
      <c r="A525" s="2" t="inlineStr">
        <is>
          <t>2026/06/25</t>
        </is>
      </c>
      <c r="B525" s="2" t="inlineStr">
        <is>
          <t>电镀级硫酸镍</t>
        </is>
      </c>
      <c r="C525" s="3" t="n">
        <v>32500</v>
      </c>
      <c r="D525" s="4" t="n">
        <v>37000</v>
      </c>
      <c r="E525" s="4" t="n">
        <v>34750</v>
      </c>
      <c r="F525" s="4" t="n">
        <v>0</v>
      </c>
      <c r="G525" s="5" t="inlineStr">
        <is>
          <t>元/吨</t>
        </is>
      </c>
      <c r="H525" s="5" t="inlineStr">
        <is>
          <t>SMM</t>
        </is>
      </c>
    </row>
    <row r="526">
      <c r="A526" s="2" t="inlineStr">
        <is>
          <t>2026/06/25</t>
        </is>
      </c>
      <c r="B526" s="2" t="inlineStr">
        <is>
          <t>硫酸钴</t>
        </is>
      </c>
      <c r="C526" s="3" t="n">
        <v>85500</v>
      </c>
      <c r="D526" s="4" t="n">
        <v>88000</v>
      </c>
      <c r="E526" s="4" t="n">
        <v>86750</v>
      </c>
      <c r="F526" s="4" t="n">
        <v>-500</v>
      </c>
      <c r="G526" s="5" t="inlineStr">
        <is>
          <t>元/吨</t>
        </is>
      </c>
      <c r="H526" s="5" t="inlineStr">
        <is>
          <t>SMM</t>
        </is>
      </c>
    </row>
    <row r="527">
      <c r="A527" s="2" t="inlineStr">
        <is>
          <t>2026/06/25</t>
        </is>
      </c>
      <c r="B527" s="2" t="inlineStr">
        <is>
          <t>碳酸钴</t>
        </is>
      </c>
      <c r="C527" s="3" t="n">
        <v>208000</v>
      </c>
      <c r="D527" s="4" t="n">
        <v>215000</v>
      </c>
      <c r="E527" s="4" t="n">
        <v>211500</v>
      </c>
      <c r="F527" s="4" t="n">
        <v>-1500</v>
      </c>
      <c r="G527" s="5" t="inlineStr">
        <is>
          <t>元/吨</t>
        </is>
      </c>
      <c r="H527" s="5" t="inlineStr">
        <is>
          <t>SMM</t>
        </is>
      </c>
    </row>
    <row r="528">
      <c r="A528" s="2" t="inlineStr">
        <is>
          <t>2026/06/25</t>
        </is>
      </c>
      <c r="B528" s="2" t="inlineStr">
        <is>
          <t>磷酸铁锂</t>
        </is>
      </c>
      <c r="C528" s="3" t="n">
        <v>56670</v>
      </c>
      <c r="D528" s="4" t="n">
        <v>57270</v>
      </c>
      <c r="E528" s="4" t="n">
        <v>56970</v>
      </c>
      <c r="F528" s="4" t="n">
        <v>-120</v>
      </c>
      <c r="G528" s="5" t="inlineStr">
        <is>
          <t>元/吨</t>
        </is>
      </c>
      <c r="H528" s="5" t="inlineStr">
        <is>
          <t>SMM</t>
        </is>
      </c>
    </row>
    <row r="529">
      <c r="A529" s="2" t="inlineStr">
        <is>
          <t>2026/06/25</t>
        </is>
      </c>
      <c r="B529" s="2" t="inlineStr">
        <is>
          <t>磷酸锰铁锂</t>
        </is>
      </c>
      <c r="C529" s="3" t="n">
        <v>62500</v>
      </c>
      <c r="D529" s="4" t="n">
        <v>67500</v>
      </c>
      <c r="E529" s="4" t="n">
        <v>65000</v>
      </c>
      <c r="F529" s="4" t="n">
        <v>0</v>
      </c>
      <c r="G529" s="5" t="inlineStr">
        <is>
          <t>元/吨</t>
        </is>
      </c>
      <c r="H529" s="5" t="inlineStr">
        <is>
          <t>SMM</t>
        </is>
      </c>
    </row>
    <row r="530">
      <c r="A530" s="2" t="inlineStr">
        <is>
          <t>2026/06/25</t>
        </is>
      </c>
      <c r="B530" s="2" t="inlineStr">
        <is>
          <t>金属钴FOB</t>
        </is>
      </c>
      <c r="C530" s="7" t="n">
        <v>24</v>
      </c>
      <c r="D530" s="6" t="n">
        <v>25</v>
      </c>
      <c r="E530" s="6" t="n">
        <v>24.5</v>
      </c>
      <c r="F530" s="4" t="n">
        <v>0</v>
      </c>
      <c r="G530" s="5" t="inlineStr">
        <is>
          <t>美元/磅</t>
        </is>
      </c>
      <c r="H530" s="5" t="inlineStr">
        <is>
          <t>SMM</t>
        </is>
      </c>
    </row>
    <row r="531">
      <c r="A531" s="2" t="inlineStr">
        <is>
          <t>2026/06/25</t>
        </is>
      </c>
      <c r="B531" s="2" t="inlineStr">
        <is>
          <t>钴中间品中钴含量≥30%</t>
        </is>
      </c>
      <c r="C531" s="3" t="n">
        <v>26122</v>
      </c>
      <c r="D531" s="4" t="n">
        <v>26122</v>
      </c>
      <c r="E531" s="4" t="n">
        <v>26122</v>
      </c>
      <c r="F531" s="4" t="n">
        <v>-661</v>
      </c>
      <c r="G531" s="5" t="inlineStr">
        <is>
          <t>元/金属吨</t>
        </is>
      </c>
      <c r="H531" s="5" t="inlineStr">
        <is>
          <t>SMM</t>
        </is>
      </c>
    </row>
    <row r="532">
      <c r="A532" s="2" t="inlineStr">
        <is>
          <t>2026/06/25</t>
        </is>
      </c>
      <c r="B532" s="2" t="inlineStr">
        <is>
          <t>钴中间品原料计价系数（对SMM硫酸钴均价）</t>
        </is>
      </c>
      <c r="C532" s="7" t="n">
        <v>99</v>
      </c>
      <c r="D532" s="4" t="n">
        <v>100</v>
      </c>
      <c r="E532" s="6" t="n">
        <v>99.5</v>
      </c>
      <c r="F532" s="4" t="n">
        <v>0</v>
      </c>
      <c r="G532" s="5" t="inlineStr">
        <is>
          <t>%</t>
        </is>
      </c>
      <c r="H532" s="5" t="inlineStr">
        <is>
          <t>SMM</t>
        </is>
      </c>
    </row>
    <row r="533">
      <c r="A533" s="2" t="inlineStr">
        <is>
          <t>2026/06/25</t>
        </is>
      </c>
      <c r="B533" s="2" t="inlineStr">
        <is>
          <t>钴酸锂</t>
        </is>
      </c>
      <c r="C533" s="3" t="n">
        <v>373000</v>
      </c>
      <c r="D533" s="4" t="n">
        <v>376000</v>
      </c>
      <c r="E533" s="4" t="n">
        <v>374500</v>
      </c>
      <c r="F533" s="4" t="n">
        <v>-3000</v>
      </c>
      <c r="G533" s="5" t="inlineStr">
        <is>
          <t>元/吨</t>
        </is>
      </c>
      <c r="H533" s="5" t="inlineStr">
        <is>
          <t>SMM</t>
        </is>
      </c>
    </row>
    <row r="534">
      <c r="A534" s="2" t="inlineStr">
        <is>
          <t>2026/06/25</t>
        </is>
      </c>
      <c r="B534" s="2" t="inlineStr">
        <is>
          <t>钴酸锂聚合物软包</t>
        </is>
      </c>
      <c r="C534" s="3" t="n">
        <v>97000</v>
      </c>
      <c r="D534" s="4" t="n">
        <v>99400</v>
      </c>
      <c r="E534" s="4" t="n">
        <v>98200</v>
      </c>
      <c r="F534" s="4" t="n">
        <v>-300</v>
      </c>
      <c r="G534" s="5" t="inlineStr">
        <is>
          <t>元/吨</t>
        </is>
      </c>
      <c r="H534" s="5" t="inlineStr">
        <is>
          <t>SMM</t>
        </is>
      </c>
    </row>
    <row r="535">
      <c r="A535" s="2" t="inlineStr">
        <is>
          <t>2026/06/25</t>
        </is>
      </c>
      <c r="B535" s="2" t="inlineStr">
        <is>
          <t>钴酸锂铝壳</t>
        </is>
      </c>
      <c r="C535" s="3" t="n">
        <v>84000</v>
      </c>
      <c r="D535" s="4" t="n">
        <v>91500</v>
      </c>
      <c r="E535" s="4" t="n">
        <v>87750</v>
      </c>
      <c r="F535" s="4" t="n">
        <v>-350</v>
      </c>
      <c r="G535" s="5" t="inlineStr">
        <is>
          <t>元/吨</t>
        </is>
      </c>
      <c r="H535" s="5" t="inlineStr">
        <is>
          <t>SMM</t>
        </is>
      </c>
    </row>
    <row r="536">
      <c r="A536" s="2" t="inlineStr">
        <is>
          <t>2026/06/25</t>
        </is>
      </c>
      <c r="B536" s="2" t="inlineStr">
        <is>
          <t>锰酸锂圆柱钢壳</t>
        </is>
      </c>
      <c r="C536" s="3" t="n">
        <v>5000</v>
      </c>
      <c r="D536" s="4" t="n">
        <v>7400</v>
      </c>
      <c r="E536" s="4" t="n">
        <v>6200</v>
      </c>
      <c r="F536" s="4" t="n">
        <v>0</v>
      </c>
      <c r="G536" s="5" t="inlineStr">
        <is>
          <t>元/吨</t>
        </is>
      </c>
      <c r="H536" s="5" t="inlineStr">
        <is>
          <t>SMM</t>
        </is>
      </c>
    </row>
    <row r="537">
      <c r="A537" s="2" t="inlineStr">
        <is>
          <t>2026/06/25</t>
        </is>
      </c>
      <c r="B537" s="2" t="inlineStr">
        <is>
          <t>非洲硫酸锂(CIF中国)</t>
        </is>
      </c>
      <c r="C537" s="3" t="n">
        <v>7347</v>
      </c>
      <c r="D537" s="4" t="n">
        <v>7779</v>
      </c>
      <c r="E537" s="4" t="n">
        <v>7563</v>
      </c>
      <c r="F537" s="6" t="n">
        <v>-46</v>
      </c>
      <c r="G537" s="5" t="inlineStr">
        <is>
          <t>美元/吨</t>
        </is>
      </c>
      <c r="H537" s="5" t="inlineStr">
        <is>
          <t>SMM</t>
        </is>
      </c>
    </row>
    <row r="538">
      <c r="A538" s="2" t="inlineStr">
        <is>
          <t>2026/06/25</t>
        </is>
      </c>
      <c r="B538" s="2" t="inlineStr">
        <is>
          <t>非洲锂辉石精矿（CIF中国）指数</t>
        </is>
      </c>
      <c r="C538" s="3" t="n">
        <v>2398</v>
      </c>
      <c r="D538" s="4" t="n">
        <v>2398</v>
      </c>
      <c r="E538" s="4" t="n">
        <v>2398</v>
      </c>
      <c r="F538" s="6" t="n">
        <v>-72</v>
      </c>
      <c r="G538" s="5" t="inlineStr">
        <is>
          <t>美元/吨</t>
        </is>
      </c>
      <c r="H538" s="5" t="inlineStr">
        <is>
          <t>SMM</t>
        </is>
      </c>
    </row>
    <row r="539">
      <c r="A539" s="2" t="inlineStr">
        <is>
          <t>2026/06/26</t>
        </is>
      </c>
      <c r="B539" s="2" t="inlineStr">
        <is>
          <t>5系三元前驱体</t>
        </is>
      </c>
      <c r="C539" s="3" t="n">
        <v>98350</v>
      </c>
      <c r="D539" s="4" t="n">
        <v>103450</v>
      </c>
      <c r="E539" s="4" t="n">
        <v>100900</v>
      </c>
      <c r="F539" s="4" t="n">
        <v>-350</v>
      </c>
      <c r="G539" s="5" t="inlineStr">
        <is>
          <t>元/吨</t>
        </is>
      </c>
      <c r="H539" s="5" t="inlineStr">
        <is>
          <t>SMM</t>
        </is>
      </c>
    </row>
    <row r="540">
      <c r="A540" s="2" t="inlineStr">
        <is>
          <t>2026/06/26</t>
        </is>
      </c>
      <c r="B540" s="2" t="inlineStr">
        <is>
          <t>5系三元材料</t>
        </is>
      </c>
      <c r="C540" s="3" t="n">
        <v>180100</v>
      </c>
      <c r="D540" s="4" t="n">
        <v>187200</v>
      </c>
      <c r="E540" s="4" t="n">
        <v>183650</v>
      </c>
      <c r="F540" s="4" t="n">
        <v>-1300</v>
      </c>
      <c r="G540" s="5" t="inlineStr">
        <is>
          <t>元/吨</t>
        </is>
      </c>
      <c r="H540" s="5" t="inlineStr">
        <is>
          <t>SMM</t>
        </is>
      </c>
    </row>
    <row r="541">
      <c r="A541" s="2" t="inlineStr">
        <is>
          <t>2026/06/26</t>
        </is>
      </c>
      <c r="B541" s="2" t="inlineStr">
        <is>
          <t>6系三元前驱体（单晶/动力型）</t>
        </is>
      </c>
      <c r="C541" s="3" t="n">
        <v>91250</v>
      </c>
      <c r="D541" s="4" t="n">
        <v>95950</v>
      </c>
      <c r="E541" s="4" t="n">
        <v>93600</v>
      </c>
      <c r="F541" s="4" t="n">
        <v>-300</v>
      </c>
      <c r="G541" s="5" t="inlineStr">
        <is>
          <t>元/吨</t>
        </is>
      </c>
      <c r="H541" s="5" t="inlineStr">
        <is>
          <t>SMM</t>
        </is>
      </c>
    </row>
    <row r="542">
      <c r="A542" s="2" t="inlineStr">
        <is>
          <t>2026/06/26</t>
        </is>
      </c>
      <c r="B542" s="2" t="inlineStr">
        <is>
          <t>6系三元材料（单晶/动力型）</t>
        </is>
      </c>
      <c r="C542" s="3" t="n">
        <v>183200</v>
      </c>
      <c r="D542" s="4" t="n">
        <v>192700</v>
      </c>
      <c r="E542" s="4" t="n">
        <v>187950</v>
      </c>
      <c r="F542" s="4" t="n">
        <v>-1700</v>
      </c>
      <c r="G542" s="5" t="inlineStr">
        <is>
          <t>元/吨</t>
        </is>
      </c>
      <c r="H542" s="5" t="inlineStr">
        <is>
          <t>SMM</t>
        </is>
      </c>
    </row>
    <row r="543">
      <c r="A543" s="2" t="inlineStr">
        <is>
          <t>2026/06/26</t>
        </is>
      </c>
      <c r="B543" s="2" t="inlineStr">
        <is>
          <t>8系三元前驱体（多晶/动力型）</t>
        </is>
      </c>
      <c r="C543" s="3" t="n">
        <v>112800</v>
      </c>
      <c r="D543" s="4" t="n">
        <v>118500</v>
      </c>
      <c r="E543" s="4" t="n">
        <v>115650</v>
      </c>
      <c r="F543" s="4" t="n">
        <v>-400</v>
      </c>
      <c r="G543" s="5" t="inlineStr">
        <is>
          <t>元/吨</t>
        </is>
      </c>
      <c r="H543" s="5" t="inlineStr">
        <is>
          <t>SMM</t>
        </is>
      </c>
    </row>
    <row r="544">
      <c r="A544" s="2" t="inlineStr">
        <is>
          <t>2026/06/26</t>
        </is>
      </c>
      <c r="B544" s="2" t="inlineStr">
        <is>
          <t>8系三元材料</t>
        </is>
      </c>
      <c r="C544" s="3" t="n">
        <v>206000</v>
      </c>
      <c r="D544" s="4" t="n">
        <v>215600</v>
      </c>
      <c r="E544" s="4" t="n">
        <v>210800</v>
      </c>
      <c r="F544" s="4" t="n">
        <v>-1800</v>
      </c>
      <c r="G544" s="5" t="inlineStr">
        <is>
          <t>元/吨</t>
        </is>
      </c>
      <c r="H544" s="5" t="inlineStr">
        <is>
          <t>SMM</t>
        </is>
      </c>
    </row>
    <row r="545">
      <c r="A545" s="2" t="inlineStr">
        <is>
          <t>2026/06/26</t>
        </is>
      </c>
      <c r="B545" s="2" t="inlineStr">
        <is>
          <t>MHP系数（对SMM电池级硫酸镍指数）</t>
        </is>
      </c>
      <c r="C545" s="7" t="n">
        <v>81.5</v>
      </c>
      <c r="D545" s="6" t="n">
        <v>83</v>
      </c>
      <c r="E545" s="6" t="n">
        <v>82.25</v>
      </c>
      <c r="F545" s="6" t="n">
        <v>0.25</v>
      </c>
      <c r="G545" s="5" t="inlineStr">
        <is>
          <t>%</t>
        </is>
      </c>
      <c r="H545" s="5" t="inlineStr">
        <is>
          <t>SMM</t>
        </is>
      </c>
    </row>
    <row r="546">
      <c r="A546" s="2" t="inlineStr">
        <is>
          <t>2026/06/26</t>
        </is>
      </c>
      <c r="B546" s="2" t="inlineStr">
        <is>
          <t>MHP钴元素计价系数（对SMM硫酸钴均价）</t>
        </is>
      </c>
      <c r="C546" s="7" t="n">
        <v>92</v>
      </c>
      <c r="D546" s="6" t="n">
        <v>93</v>
      </c>
      <c r="E546" s="6" t="n">
        <v>92.5</v>
      </c>
      <c r="F546" s="4" t="n">
        <v>0</v>
      </c>
      <c r="G546" s="5" t="inlineStr">
        <is>
          <t>%</t>
        </is>
      </c>
      <c r="H546" s="5" t="inlineStr">
        <is>
          <t>SMM</t>
        </is>
      </c>
    </row>
    <row r="547">
      <c r="A547" s="2" t="inlineStr">
        <is>
          <t>2026/06/26</t>
        </is>
      </c>
      <c r="B547" s="2" t="inlineStr">
        <is>
          <t>NCA三元材料</t>
        </is>
      </c>
      <c r="C547" s="3" t="n">
        <v>204200</v>
      </c>
      <c r="D547" s="4" t="n">
        <v>212700</v>
      </c>
      <c r="E547" s="4" t="n">
        <v>208450</v>
      </c>
      <c r="F547" s="4" t="n">
        <v>-800</v>
      </c>
      <c r="G547" s="5" t="inlineStr">
        <is>
          <t>元/吨</t>
        </is>
      </c>
      <c r="H547" s="5" t="inlineStr">
        <is>
          <t>SMM</t>
        </is>
      </c>
    </row>
    <row r="548">
      <c r="A548" s="2" t="inlineStr">
        <is>
          <t>2026/06/26</t>
        </is>
      </c>
      <c r="B548" s="2" t="inlineStr">
        <is>
          <t>SMM三元极片粉钴系数指数</t>
        </is>
      </c>
      <c r="C548" s="7" t="n">
        <v>78.31999999999999</v>
      </c>
      <c r="D548" s="6" t="n">
        <v>78.31999999999999</v>
      </c>
      <c r="E548" s="6" t="n">
        <v>78.31999999999999</v>
      </c>
      <c r="F548" s="4" t="n">
        <v>0</v>
      </c>
      <c r="G548" s="5" t="inlineStr">
        <is>
          <t>%</t>
        </is>
      </c>
      <c r="H548" s="5" t="inlineStr">
        <is>
          <t>SMM</t>
        </is>
      </c>
    </row>
    <row r="549">
      <c r="A549" s="2" t="inlineStr">
        <is>
          <t>2026/06/26</t>
        </is>
      </c>
      <c r="B549" s="2" t="inlineStr">
        <is>
          <t>SMM三元极片粉锂系数指数</t>
        </is>
      </c>
      <c r="C549" s="7" t="n">
        <v>78.31999999999999</v>
      </c>
      <c r="D549" s="6" t="n">
        <v>78.31999999999999</v>
      </c>
      <c r="E549" s="6" t="n">
        <v>78.31999999999999</v>
      </c>
      <c r="F549" s="6" t="n">
        <v>-0.01</v>
      </c>
      <c r="G549" s="5" t="inlineStr">
        <is>
          <t>%</t>
        </is>
      </c>
      <c r="H549" s="5" t="inlineStr">
        <is>
          <t>SMM</t>
        </is>
      </c>
    </row>
    <row r="550">
      <c r="A550" s="2" t="inlineStr">
        <is>
          <t>2026/06/26</t>
        </is>
      </c>
      <c r="B550" s="2" t="inlineStr">
        <is>
          <t>SMM三元极片粉镍系数指数</t>
        </is>
      </c>
      <c r="C550" s="7" t="n">
        <v>78.31999999999999</v>
      </c>
      <c r="D550" s="6" t="n">
        <v>78.31999999999999</v>
      </c>
      <c r="E550" s="6" t="n">
        <v>78.31999999999999</v>
      </c>
      <c r="F550" s="6" t="n">
        <v>-0.01</v>
      </c>
      <c r="G550" s="5" t="inlineStr">
        <is>
          <t>%</t>
        </is>
      </c>
      <c r="H550" s="5" t="inlineStr">
        <is>
          <t>SMM</t>
        </is>
      </c>
    </row>
    <row r="551">
      <c r="A551" s="2" t="inlineStr">
        <is>
          <t>2026/06/26</t>
        </is>
      </c>
      <c r="B551" s="2" t="inlineStr">
        <is>
          <t>SMM三元电池粉钴系数指数</t>
        </is>
      </c>
      <c r="C551" s="7" t="n">
        <v>74.8</v>
      </c>
      <c r="D551" s="6" t="n">
        <v>74.8</v>
      </c>
      <c r="E551" s="6" t="n">
        <v>74.8</v>
      </c>
      <c r="F551" s="4" t="n">
        <v>0</v>
      </c>
      <c r="G551" s="5" t="inlineStr">
        <is>
          <t>%</t>
        </is>
      </c>
      <c r="H551" s="5" t="inlineStr">
        <is>
          <t>SMM</t>
        </is>
      </c>
    </row>
    <row r="552">
      <c r="A552" s="2" t="inlineStr">
        <is>
          <t>2026/06/26</t>
        </is>
      </c>
      <c r="B552" s="2" t="inlineStr">
        <is>
          <t>SMM三元电池粉锂系数指数</t>
        </is>
      </c>
      <c r="C552" s="7" t="n">
        <v>74.8</v>
      </c>
      <c r="D552" s="6" t="n">
        <v>74.8</v>
      </c>
      <c r="E552" s="6" t="n">
        <v>74.8</v>
      </c>
      <c r="F552" s="4" t="n">
        <v>0</v>
      </c>
      <c r="G552" s="5" t="inlineStr">
        <is>
          <t>%</t>
        </is>
      </c>
      <c r="H552" s="5" t="inlineStr">
        <is>
          <t>SMM</t>
        </is>
      </c>
    </row>
    <row r="553">
      <c r="A553" s="2" t="inlineStr">
        <is>
          <t>2026/06/26</t>
        </is>
      </c>
      <c r="B553" s="2" t="inlineStr">
        <is>
          <t>SMM三元电池粉镍系数指数</t>
        </is>
      </c>
      <c r="C553" s="7" t="n">
        <v>74.8</v>
      </c>
      <c r="D553" s="6" t="n">
        <v>74.8</v>
      </c>
      <c r="E553" s="6" t="n">
        <v>74.8</v>
      </c>
      <c r="F553" s="4" t="n">
        <v>0</v>
      </c>
      <c r="G553" s="5" t="inlineStr">
        <is>
          <t>%</t>
        </is>
      </c>
      <c r="H553" s="5" t="inlineStr">
        <is>
          <t>SMM</t>
        </is>
      </c>
    </row>
    <row r="554">
      <c r="A554" s="2" t="inlineStr">
        <is>
          <t>2026/06/26</t>
        </is>
      </c>
      <c r="B554" s="2" t="inlineStr">
        <is>
          <t>SMM六氟磷酸锂指数</t>
        </is>
      </c>
      <c r="C554" s="3" t="n">
        <v>100240</v>
      </c>
      <c r="D554" s="4" t="n">
        <v>104331</v>
      </c>
      <c r="E554" s="4" t="n">
        <v>102285.5</v>
      </c>
      <c r="F554" s="4" t="n">
        <v>-510.5</v>
      </c>
      <c r="G554" s="5" t="inlineStr">
        <is>
          <t>元/吨</t>
        </is>
      </c>
      <c r="H554" s="5" t="inlineStr">
        <is>
          <t>SMM</t>
        </is>
      </c>
    </row>
    <row r="555">
      <c r="A555" s="2" t="inlineStr">
        <is>
          <t>2026/06/26</t>
        </is>
      </c>
      <c r="B555" s="2" t="inlineStr">
        <is>
          <t>SMM电池级氢氧化锂指数</t>
        </is>
      </c>
      <c r="C555" s="3" t="n">
        <v>139288</v>
      </c>
      <c r="D555" s="4" t="n">
        <v>139288</v>
      </c>
      <c r="E555" s="4" t="n">
        <v>139288</v>
      </c>
      <c r="F555" s="4" t="n">
        <v>-4382</v>
      </c>
      <c r="G555" s="5" t="inlineStr">
        <is>
          <t>元/吨</t>
        </is>
      </c>
      <c r="H555" s="5" t="inlineStr">
        <is>
          <t>SMM</t>
        </is>
      </c>
    </row>
    <row r="556">
      <c r="A556" s="2" t="inlineStr">
        <is>
          <t>2026/06/26</t>
        </is>
      </c>
      <c r="B556" s="2" t="inlineStr">
        <is>
          <t>SMM电池级硫酸锰指数</t>
        </is>
      </c>
      <c r="C556" s="3" t="n">
        <v>7666</v>
      </c>
      <c r="D556" s="4" t="n">
        <v>7666</v>
      </c>
      <c r="E556" s="4" t="n">
        <v>7666</v>
      </c>
      <c r="F556" s="6" t="n">
        <v>12</v>
      </c>
      <c r="G556" s="5" t="inlineStr">
        <is>
          <t>元/吨</t>
        </is>
      </c>
      <c r="H556" s="5" t="inlineStr">
        <is>
          <t>SMM</t>
        </is>
      </c>
    </row>
    <row r="557">
      <c r="A557" s="2" t="inlineStr">
        <is>
          <t>2026/06/26</t>
        </is>
      </c>
      <c r="B557" s="2" t="inlineStr">
        <is>
          <t>SMM电池级硫酸镍指数</t>
        </is>
      </c>
      <c r="C557" s="3" t="n">
        <v>32551</v>
      </c>
      <c r="D557" s="4" t="n">
        <v>32551</v>
      </c>
      <c r="E557" s="4" t="n">
        <v>32551</v>
      </c>
      <c r="F557" s="6" t="n">
        <v>-91</v>
      </c>
      <c r="G557" s="5" t="inlineStr">
        <is>
          <t>元/吨</t>
        </is>
      </c>
      <c r="H557" s="5" t="inlineStr">
        <is>
          <t>SMM</t>
        </is>
      </c>
    </row>
    <row r="558">
      <c r="A558" s="2" t="inlineStr">
        <is>
          <t>2026/06/26</t>
        </is>
      </c>
      <c r="B558" s="2" t="inlineStr">
        <is>
          <t>SMM电池级碳酸锂指数</t>
        </is>
      </c>
      <c r="C558" s="3" t="n">
        <v>152571</v>
      </c>
      <c r="D558" s="4" t="n">
        <v>152571</v>
      </c>
      <c r="E558" s="4" t="n">
        <v>152571</v>
      </c>
      <c r="F558" s="4" t="n">
        <v>-4184</v>
      </c>
      <c r="G558" s="5" t="inlineStr">
        <is>
          <t>元/吨</t>
        </is>
      </c>
      <c r="H558" s="5" t="inlineStr">
        <is>
          <t>SMM</t>
        </is>
      </c>
    </row>
    <row r="559">
      <c r="A559" s="2" t="inlineStr">
        <is>
          <t>2026/06/26</t>
        </is>
      </c>
      <c r="B559" s="2" t="inlineStr">
        <is>
          <t>SMM硫酸钴指数</t>
        </is>
      </c>
      <c r="C559" s="3" t="n">
        <v>85909</v>
      </c>
      <c r="D559" s="4" t="n">
        <v>85909</v>
      </c>
      <c r="E559" s="4" t="n">
        <v>85909</v>
      </c>
      <c r="F559" s="4" t="n">
        <v>-601</v>
      </c>
      <c r="G559" s="5" t="inlineStr">
        <is>
          <t>元/吨</t>
        </is>
      </c>
      <c r="H559" s="5" t="inlineStr">
        <is>
          <t>SMM</t>
        </is>
      </c>
    </row>
    <row r="560">
      <c r="A560" s="2" t="inlineStr">
        <is>
          <t>2026/06/26</t>
        </is>
      </c>
      <c r="B560" s="2" t="inlineStr">
        <is>
          <t>SMM磷酸铁锂极片粉指数</t>
        </is>
      </c>
      <c r="C560" s="3" t="n">
        <v>6803</v>
      </c>
      <c r="D560" s="4" t="n">
        <v>6803</v>
      </c>
      <c r="E560" s="4" t="n">
        <v>6803</v>
      </c>
      <c r="F560" s="4" t="n">
        <v>-236</v>
      </c>
      <c r="G560" s="5" t="inlineStr">
        <is>
          <t>元/锂点</t>
        </is>
      </c>
      <c r="H560" s="5" t="inlineStr">
        <is>
          <t>SMM</t>
        </is>
      </c>
    </row>
    <row r="561">
      <c r="A561" s="2" t="inlineStr">
        <is>
          <t>2026/06/26</t>
        </is>
      </c>
      <c r="B561" s="2" t="inlineStr">
        <is>
          <t>SMM磷酸铁锂电池粉指数</t>
        </is>
      </c>
      <c r="C561" s="3" t="n">
        <v>6464</v>
      </c>
      <c r="D561" s="4" t="n">
        <v>6464</v>
      </c>
      <c r="E561" s="4" t="n">
        <v>6464</v>
      </c>
      <c r="F561" s="4" t="n">
        <v>-131</v>
      </c>
      <c r="G561" s="5" t="inlineStr">
        <is>
          <t>元/锂点</t>
        </is>
      </c>
      <c r="H561" s="5" t="inlineStr">
        <is>
          <t>SMM</t>
        </is>
      </c>
    </row>
    <row r="562">
      <c r="A562" s="2" t="inlineStr">
        <is>
          <t>2026/06/26</t>
        </is>
      </c>
      <c r="B562" s="2" t="inlineStr">
        <is>
          <t>SMM钴酸锂极片粉钴系数指数</t>
        </is>
      </c>
      <c r="C562" s="7" t="n">
        <v>79.68000000000001</v>
      </c>
      <c r="D562" s="6" t="n">
        <v>79.68000000000001</v>
      </c>
      <c r="E562" s="6" t="n">
        <v>79.68000000000001</v>
      </c>
      <c r="F562" s="6" t="n">
        <v>-2.1</v>
      </c>
      <c r="G562" s="5" t="inlineStr">
        <is>
          <t>%</t>
        </is>
      </c>
      <c r="H562" s="5" t="inlineStr">
        <is>
          <t>SMM</t>
        </is>
      </c>
    </row>
    <row r="563">
      <c r="A563" s="2" t="inlineStr">
        <is>
          <t>2026/06/26</t>
        </is>
      </c>
      <c r="B563" s="2" t="inlineStr">
        <is>
          <t>SMM钴酸锂极片粉锂系数指数</t>
        </is>
      </c>
      <c r="C563" s="7" t="n">
        <v>76.23</v>
      </c>
      <c r="D563" s="6" t="n">
        <v>76.23</v>
      </c>
      <c r="E563" s="6" t="n">
        <v>76.23</v>
      </c>
      <c r="F563" s="4" t="n">
        <v>0</v>
      </c>
      <c r="G563" s="5" t="inlineStr">
        <is>
          <t>%</t>
        </is>
      </c>
      <c r="H563" s="5" t="inlineStr">
        <is>
          <t>SMM</t>
        </is>
      </c>
    </row>
    <row r="564">
      <c r="A564" s="2" t="inlineStr">
        <is>
          <t>2026/06/26</t>
        </is>
      </c>
      <c r="B564" s="2" t="inlineStr">
        <is>
          <t>SMM钴酸锂电池粉钴系数指数</t>
        </is>
      </c>
      <c r="C564" s="7" t="n">
        <v>76.84</v>
      </c>
      <c r="D564" s="6" t="n">
        <v>76.84</v>
      </c>
      <c r="E564" s="6" t="n">
        <v>76.84</v>
      </c>
      <c r="F564" s="6" t="n">
        <v>-2.51</v>
      </c>
      <c r="G564" s="5" t="inlineStr">
        <is>
          <t>%</t>
        </is>
      </c>
      <c r="H564" s="5" t="inlineStr">
        <is>
          <t>SMM</t>
        </is>
      </c>
    </row>
    <row r="565">
      <c r="A565" s="2" t="inlineStr">
        <is>
          <t>2026/06/26</t>
        </is>
      </c>
      <c r="B565" s="2" t="inlineStr">
        <is>
          <t>SMM钴酸锂电池粉锂系数指数</t>
        </is>
      </c>
      <c r="C565" s="7" t="n">
        <v>75.92</v>
      </c>
      <c r="D565" s="6" t="n">
        <v>75.92</v>
      </c>
      <c r="E565" s="6" t="n">
        <v>75.92</v>
      </c>
      <c r="F565" s="4" t="n">
        <v>0</v>
      </c>
      <c r="G565" s="5" t="inlineStr">
        <is>
          <t>%</t>
        </is>
      </c>
      <c r="H565" s="5" t="inlineStr">
        <is>
          <t>SMM</t>
        </is>
      </c>
    </row>
    <row r="566">
      <c r="A566" s="2" t="inlineStr">
        <is>
          <t>2026/06/26</t>
        </is>
      </c>
      <c r="B566" s="2" t="inlineStr">
        <is>
          <t>三元方壳锂电B品</t>
        </is>
      </c>
      <c r="C566" s="7" t="n">
        <v>0.75</v>
      </c>
      <c r="D566" s="6" t="n">
        <v>0.84</v>
      </c>
      <c r="E566" s="6" t="n">
        <v>0.795</v>
      </c>
      <c r="F566" s="4" t="n">
        <v>0</v>
      </c>
      <c r="G566" s="5" t="inlineStr">
        <is>
          <t>元/Ah</t>
        </is>
      </c>
      <c r="H566" s="5" t="inlineStr">
        <is>
          <t>SMM</t>
        </is>
      </c>
    </row>
    <row r="567">
      <c r="A567" s="2" t="inlineStr">
        <is>
          <t>2026/06/26</t>
        </is>
      </c>
      <c r="B567" s="2" t="inlineStr">
        <is>
          <t>六氟磷酸锂（国产）</t>
        </is>
      </c>
      <c r="C567" s="3" t="n">
        <v>105000</v>
      </c>
      <c r="D567" s="4" t="n">
        <v>108000</v>
      </c>
      <c r="E567" s="4" t="n">
        <v>106500</v>
      </c>
      <c r="F567" s="4" t="n">
        <v>-1000</v>
      </c>
      <c r="G567" s="5" t="inlineStr">
        <is>
          <t>元/吨</t>
        </is>
      </c>
      <c r="H567" s="5" t="inlineStr">
        <is>
          <t>SMM</t>
        </is>
      </c>
    </row>
    <row r="568">
      <c r="A568" s="2" t="inlineStr">
        <is>
          <t>2026/06/26</t>
        </is>
      </c>
      <c r="B568" s="2" t="inlineStr">
        <is>
          <t>四氧化三钴</t>
        </is>
      </c>
      <c r="C568" s="3" t="n">
        <v>329000</v>
      </c>
      <c r="D568" s="4" t="n">
        <v>341000</v>
      </c>
      <c r="E568" s="4" t="n">
        <v>335000</v>
      </c>
      <c r="F568" s="4" t="n">
        <v>-1000</v>
      </c>
      <c r="G568" s="5" t="inlineStr">
        <is>
          <t>元/吨</t>
        </is>
      </c>
      <c r="H568" s="5" t="inlineStr">
        <is>
          <t>SMM</t>
        </is>
      </c>
    </row>
    <row r="569">
      <c r="A569" s="2" t="inlineStr">
        <is>
          <t>2026/06/26</t>
        </is>
      </c>
      <c r="B569" s="2" t="inlineStr">
        <is>
          <t>四氧化三锰（电池级）</t>
        </is>
      </c>
      <c r="C569" s="3" t="n">
        <v>14000</v>
      </c>
      <c r="D569" s="4" t="n">
        <v>16000</v>
      </c>
      <c r="E569" s="4" t="n">
        <v>15000</v>
      </c>
      <c r="F569" s="4" t="n">
        <v>0</v>
      </c>
      <c r="G569" s="5" t="inlineStr">
        <is>
          <t>元/吨</t>
        </is>
      </c>
      <c r="H569" s="5" t="inlineStr">
        <is>
          <t>SMM</t>
        </is>
      </c>
    </row>
    <row r="570">
      <c r="A570" s="2" t="inlineStr">
        <is>
          <t>2026/06/26</t>
        </is>
      </c>
      <c r="B570" s="2" t="inlineStr">
        <is>
          <t>工业级氢氧化锂</t>
        </is>
      </c>
      <c r="C570" s="3" t="n">
        <v>124000</v>
      </c>
      <c r="D570" s="4" t="n">
        <v>129000</v>
      </c>
      <c r="E570" s="4" t="n">
        <v>126500</v>
      </c>
      <c r="F570" s="4" t="n">
        <v>-4500</v>
      </c>
      <c r="G570" s="5" t="inlineStr">
        <is>
          <t>元/吨</t>
        </is>
      </c>
      <c r="H570" s="5" t="inlineStr">
        <is>
          <t>SMM</t>
        </is>
      </c>
    </row>
    <row r="571">
      <c r="A571" s="2" t="inlineStr">
        <is>
          <t>2026/06/26</t>
        </is>
      </c>
      <c r="B571" s="2" t="inlineStr">
        <is>
          <t>工业级碳酸锂</t>
        </is>
      </c>
      <c r="C571" s="3" t="n">
        <v>143000</v>
      </c>
      <c r="D571" s="4" t="n">
        <v>154000</v>
      </c>
      <c r="E571" s="4" t="n">
        <v>148500</v>
      </c>
      <c r="F571" s="4" t="n">
        <v>-4500</v>
      </c>
      <c r="G571" s="5" t="inlineStr">
        <is>
          <t>元/吨</t>
        </is>
      </c>
      <c r="H571" s="5" t="inlineStr">
        <is>
          <t>SMM</t>
        </is>
      </c>
    </row>
    <row r="572">
      <c r="A572" s="2" t="inlineStr">
        <is>
          <t>2026/06/26</t>
        </is>
      </c>
      <c r="B572" s="2" t="inlineStr">
        <is>
          <t>工业级金属锂</t>
        </is>
      </c>
      <c r="C572" s="3" t="n">
        <v>1060000</v>
      </c>
      <c r="D572" s="4" t="n">
        <v>1080000</v>
      </c>
      <c r="E572" s="4" t="n">
        <v>1070000</v>
      </c>
      <c r="F572" s="4" t="n">
        <v>-10000</v>
      </c>
      <c r="G572" s="5" t="inlineStr">
        <is>
          <t>元/吨</t>
        </is>
      </c>
      <c r="H572" s="5" t="inlineStr">
        <is>
          <t>SMM</t>
        </is>
      </c>
    </row>
    <row r="573">
      <c r="A573" s="2" t="inlineStr">
        <is>
          <t>2026/06/26</t>
        </is>
      </c>
      <c r="B573" s="2" t="inlineStr">
        <is>
          <t>巴西锂辉石精矿（CIF中国）现货</t>
        </is>
      </c>
      <c r="C573" s="3" t="n">
        <v>2090</v>
      </c>
      <c r="D573" s="4" t="n">
        <v>2240</v>
      </c>
      <c r="E573" s="4" t="n">
        <v>2165</v>
      </c>
      <c r="F573" s="6" t="n">
        <v>-85</v>
      </c>
      <c r="G573" s="5" t="inlineStr">
        <is>
          <t>美元/吨</t>
        </is>
      </c>
      <c r="H573" s="5" t="inlineStr">
        <is>
          <t>SMM</t>
        </is>
      </c>
    </row>
    <row r="574">
      <c r="A574" s="2" t="inlineStr">
        <is>
          <t>2026/06/26</t>
        </is>
      </c>
      <c r="B574" s="2" t="inlineStr">
        <is>
          <t>废旧磷酸铁锂储能正极片</t>
        </is>
      </c>
      <c r="C574" s="3" t="n">
        <v>20050</v>
      </c>
      <c r="D574" s="4" t="n">
        <v>23200</v>
      </c>
      <c r="E574" s="4" t="n">
        <v>21625</v>
      </c>
      <c r="F574" s="4" t="n">
        <v>-550</v>
      </c>
      <c r="G574" s="5" t="inlineStr">
        <is>
          <t>元/吨</t>
        </is>
      </c>
      <c r="H574" s="5" t="inlineStr">
        <is>
          <t>SMM</t>
        </is>
      </c>
    </row>
    <row r="575">
      <c r="A575" s="2" t="inlineStr">
        <is>
          <t>2026/06/26</t>
        </is>
      </c>
      <c r="B575" s="2" t="inlineStr">
        <is>
          <t>废旧磷酸铁锂动力正极片</t>
        </is>
      </c>
      <c r="C575" s="3" t="n">
        <v>23850</v>
      </c>
      <c r="D575" s="4" t="n">
        <v>28100</v>
      </c>
      <c r="E575" s="4" t="n">
        <v>25975</v>
      </c>
      <c r="F575" s="4" t="n">
        <v>-550</v>
      </c>
      <c r="G575" s="5" t="inlineStr">
        <is>
          <t>元/吨</t>
        </is>
      </c>
      <c r="H575" s="5" t="inlineStr">
        <is>
          <t>SMM</t>
        </is>
      </c>
    </row>
    <row r="576">
      <c r="A576" s="2" t="inlineStr">
        <is>
          <t>2026/06/26</t>
        </is>
      </c>
      <c r="B576" s="2" t="inlineStr">
        <is>
          <t>废旧磷酸铁锂软包电池</t>
        </is>
      </c>
      <c r="C576" s="3" t="n">
        <v>15300</v>
      </c>
      <c r="D576" s="4" t="n">
        <v>16800</v>
      </c>
      <c r="E576" s="4" t="n">
        <v>16050</v>
      </c>
      <c r="F576" s="4" t="n">
        <v>-200</v>
      </c>
      <c r="G576" s="5" t="inlineStr">
        <is>
          <t>元/吨</t>
        </is>
      </c>
      <c r="H576" s="5" t="inlineStr">
        <is>
          <t>SMM</t>
        </is>
      </c>
    </row>
    <row r="577">
      <c r="A577" s="2" t="inlineStr">
        <is>
          <t>2026/06/26</t>
        </is>
      </c>
      <c r="B577" s="2" t="inlineStr">
        <is>
          <t>废旧磷酸铁锂钢壳电池</t>
        </is>
      </c>
      <c r="C577" s="3" t="n">
        <v>9800</v>
      </c>
      <c r="D577" s="4" t="n">
        <v>10800</v>
      </c>
      <c r="E577" s="4" t="n">
        <v>10300</v>
      </c>
      <c r="F577" s="4" t="n">
        <v>-100</v>
      </c>
      <c r="G577" s="5" t="inlineStr">
        <is>
          <t>元/吨</t>
        </is>
      </c>
      <c r="H577" s="5" t="inlineStr">
        <is>
          <t>SMM</t>
        </is>
      </c>
    </row>
    <row r="578">
      <c r="A578" s="2" t="inlineStr">
        <is>
          <t>2026/06/26</t>
        </is>
      </c>
      <c r="B578" s="2" t="inlineStr">
        <is>
          <t>废旧磷酸铁锂铝壳电池</t>
        </is>
      </c>
      <c r="C578" s="3" t="n">
        <v>16700</v>
      </c>
      <c r="D578" s="4" t="n">
        <v>17800</v>
      </c>
      <c r="E578" s="4" t="n">
        <v>17250</v>
      </c>
      <c r="F578" s="4" t="n">
        <v>-150</v>
      </c>
      <c r="G578" s="5" t="inlineStr">
        <is>
          <t>元/吨</t>
        </is>
      </c>
      <c r="H578" s="5" t="inlineStr">
        <is>
          <t>SMM</t>
        </is>
      </c>
    </row>
    <row r="579">
      <c r="A579" s="2" t="inlineStr">
        <is>
          <t>2026/06/26</t>
        </is>
      </c>
      <c r="B579" s="2" t="inlineStr">
        <is>
          <t>方形磷酸铁锂电池B品</t>
        </is>
      </c>
      <c r="C579" s="7" t="n">
        <v>0.68</v>
      </c>
      <c r="D579" s="6" t="n">
        <v>0.8</v>
      </c>
      <c r="E579" s="6" t="n">
        <v>0.74</v>
      </c>
      <c r="F579" s="4" t="n">
        <v>0</v>
      </c>
      <c r="G579" s="5" t="inlineStr">
        <is>
          <t>元/Ah</t>
        </is>
      </c>
      <c r="H579" s="5" t="inlineStr">
        <is>
          <t>SMM</t>
        </is>
      </c>
    </row>
    <row r="580">
      <c r="A580" s="2" t="inlineStr">
        <is>
          <t>2026/06/26</t>
        </is>
      </c>
      <c r="B580" s="2" t="inlineStr">
        <is>
          <t>氧化亚镍</t>
        </is>
      </c>
      <c r="C580" s="3" t="n">
        <v>118000</v>
      </c>
      <c r="D580" s="4" t="n">
        <v>126000</v>
      </c>
      <c r="E580" s="4" t="n">
        <v>122000</v>
      </c>
      <c r="F580" s="4" t="n">
        <v>0</v>
      </c>
      <c r="G580" s="5" t="inlineStr">
        <is>
          <t>元/吨</t>
        </is>
      </c>
      <c r="H580" s="5" t="inlineStr">
        <is>
          <t>SMM</t>
        </is>
      </c>
    </row>
    <row r="581">
      <c r="A581" s="2" t="inlineStr">
        <is>
          <t>2026/06/26</t>
        </is>
      </c>
      <c r="B581" s="2" t="inlineStr">
        <is>
          <t>氧化钴</t>
        </is>
      </c>
      <c r="C581" s="3" t="n">
        <v>302000</v>
      </c>
      <c r="D581" s="4" t="n">
        <v>315000</v>
      </c>
      <c r="E581" s="4" t="n">
        <v>308500</v>
      </c>
      <c r="F581" s="4" t="n">
        <v>0</v>
      </c>
      <c r="G581" s="5" t="inlineStr">
        <is>
          <t>元/吨</t>
        </is>
      </c>
      <c r="H581" s="5" t="inlineStr">
        <is>
          <t>SMM</t>
        </is>
      </c>
    </row>
    <row r="582">
      <c r="A582" s="2" t="inlineStr">
        <is>
          <t>2026/06/26</t>
        </is>
      </c>
      <c r="B582" s="2" t="inlineStr">
        <is>
          <t>氯化钴</t>
        </is>
      </c>
      <c r="C582" s="3" t="n">
        <v>104000</v>
      </c>
      <c r="D582" s="4" t="n">
        <v>106500</v>
      </c>
      <c r="E582" s="4" t="n">
        <v>105250</v>
      </c>
      <c r="F582" s="4" t="n">
        <v>-1000</v>
      </c>
      <c r="G582" s="5" t="inlineStr">
        <is>
          <t>元/吨</t>
        </is>
      </c>
      <c r="H582" s="5" t="inlineStr">
        <is>
          <t>SMM</t>
        </is>
      </c>
    </row>
    <row r="583">
      <c r="A583" s="2" t="inlineStr">
        <is>
          <t>2026/06/26</t>
        </is>
      </c>
      <c r="B583" s="2" t="inlineStr">
        <is>
          <t>氯化镍NiCl₂·6H₂O</t>
        </is>
      </c>
      <c r="C583" s="3" t="n">
        <v>38500</v>
      </c>
      <c r="D583" s="4" t="n">
        <v>41000</v>
      </c>
      <c r="E583" s="4" t="n">
        <v>39750</v>
      </c>
      <c r="F583" s="4" t="n">
        <v>0</v>
      </c>
      <c r="G583" s="5" t="inlineStr">
        <is>
          <t>元/吨</t>
        </is>
      </c>
      <c r="H583" s="5" t="inlineStr">
        <is>
          <t>SMM</t>
        </is>
      </c>
    </row>
    <row r="584">
      <c r="A584" s="2" t="inlineStr">
        <is>
          <t>2026/06/26</t>
        </is>
      </c>
      <c r="B584" s="2" t="inlineStr">
        <is>
          <t>津巴布韦锂辉石精矿（CIF中国）现货</t>
        </is>
      </c>
      <c r="C584" s="3" t="n">
        <v>2060</v>
      </c>
      <c r="D584" s="4" t="n">
        <v>2200</v>
      </c>
      <c r="E584" s="4" t="n">
        <v>2130</v>
      </c>
      <c r="F584" s="4" t="n">
        <v>-285</v>
      </c>
      <c r="G584" s="5" t="inlineStr">
        <is>
          <t>美元/吨</t>
        </is>
      </c>
      <c r="H584" s="5" t="inlineStr">
        <is>
          <t>SMM</t>
        </is>
      </c>
    </row>
    <row r="585">
      <c r="A585" s="2" t="inlineStr">
        <is>
          <t>2026/06/26</t>
        </is>
      </c>
      <c r="B585" s="2" t="inlineStr">
        <is>
          <t>澳大利亚锂辉石精矿（CIF中国）现货</t>
        </is>
      </c>
      <c r="C585" s="3" t="n">
        <v>2110</v>
      </c>
      <c r="D585" s="4" t="n">
        <v>2250</v>
      </c>
      <c r="E585" s="4" t="n">
        <v>2180</v>
      </c>
      <c r="F585" s="6" t="n">
        <v>-85</v>
      </c>
      <c r="G585" s="5" t="inlineStr">
        <is>
          <t>美元/吨</t>
        </is>
      </c>
      <c r="H585" s="5" t="inlineStr">
        <is>
          <t>SMM</t>
        </is>
      </c>
    </row>
    <row r="586">
      <c r="A586" s="2" t="inlineStr">
        <is>
          <t>2026/06/26</t>
        </is>
      </c>
      <c r="B586" s="2" t="inlineStr">
        <is>
          <t>电池级无水氯化锂</t>
        </is>
      </c>
      <c r="C586" s="3" t="n">
        <v>230</v>
      </c>
      <c r="D586" s="4" t="n">
        <v>290</v>
      </c>
      <c r="E586" s="4" t="n">
        <v>260</v>
      </c>
      <c r="F586" s="4" t="n">
        <v>0</v>
      </c>
      <c r="G586" s="5" t="inlineStr">
        <is>
          <t>元/千克</t>
        </is>
      </c>
      <c r="H586" s="5" t="inlineStr">
        <is>
          <t>SMM</t>
        </is>
      </c>
    </row>
    <row r="587">
      <c r="A587" s="2" t="inlineStr">
        <is>
          <t>2026/06/26</t>
        </is>
      </c>
      <c r="B587" s="2" t="inlineStr">
        <is>
          <t>电池级氟化锂</t>
        </is>
      </c>
      <c r="C587" s="3" t="n">
        <v>265000</v>
      </c>
      <c r="D587" s="4" t="n">
        <v>273000</v>
      </c>
      <c r="E587" s="4" t="n">
        <v>269000</v>
      </c>
      <c r="F587" s="4" t="n">
        <v>-6000</v>
      </c>
      <c r="G587" s="5" t="inlineStr">
        <is>
          <t>元/吨</t>
        </is>
      </c>
      <c r="H587" s="5" t="inlineStr">
        <is>
          <t>SMM</t>
        </is>
      </c>
    </row>
    <row r="588">
      <c r="A588" s="2" t="inlineStr">
        <is>
          <t>2026/06/26</t>
        </is>
      </c>
      <c r="B588" s="2" t="inlineStr">
        <is>
          <t>电池级氢氧化锂(CIF中日韩)</t>
        </is>
      </c>
      <c r="C588" s="7" t="n">
        <v>16.9</v>
      </c>
      <c r="D588" s="6" t="n">
        <v>19.9</v>
      </c>
      <c r="E588" s="6" t="n">
        <v>18.4</v>
      </c>
      <c r="F588" s="6" t="n">
        <v>-0.4</v>
      </c>
      <c r="G588" s="5" t="inlineStr">
        <is>
          <t>美元/千克</t>
        </is>
      </c>
      <c r="H588" s="5" t="inlineStr">
        <is>
          <t>SMM</t>
        </is>
      </c>
    </row>
    <row r="589">
      <c r="A589" s="2" t="inlineStr">
        <is>
          <t>2026/06/26</t>
        </is>
      </c>
      <c r="B589" s="2" t="inlineStr">
        <is>
          <t>电池级氢氧化锂(CIF韩国)</t>
        </is>
      </c>
      <c r="C589" s="7" t="n">
        <v>16.6</v>
      </c>
      <c r="D589" s="6" t="n">
        <v>20</v>
      </c>
      <c r="E589" s="6" t="n">
        <v>18.3</v>
      </c>
      <c r="F589" s="6" t="n">
        <v>-0.4</v>
      </c>
      <c r="G589" s="5" t="inlineStr">
        <is>
          <t>美元/千克</t>
        </is>
      </c>
      <c r="H589" s="5" t="inlineStr">
        <is>
          <t>SMM</t>
        </is>
      </c>
    </row>
    <row r="590">
      <c r="A590" s="2" t="inlineStr">
        <is>
          <t>2026/06/26</t>
        </is>
      </c>
      <c r="B590" s="2" t="inlineStr">
        <is>
          <t>电池级氢氧化锂(微粉）</t>
        </is>
      </c>
      <c r="C590" s="3" t="n">
        <v>137000</v>
      </c>
      <c r="D590" s="4" t="n">
        <v>153000</v>
      </c>
      <c r="E590" s="4" t="n">
        <v>145000</v>
      </c>
      <c r="F590" s="4" t="n">
        <v>-4500</v>
      </c>
      <c r="G590" s="5" t="inlineStr">
        <is>
          <t>元/吨</t>
        </is>
      </c>
      <c r="H590" s="5" t="inlineStr">
        <is>
          <t>SMM</t>
        </is>
      </c>
    </row>
    <row r="591">
      <c r="A591" s="2" t="inlineStr">
        <is>
          <t>2026/06/26</t>
        </is>
      </c>
      <c r="B591" s="2" t="inlineStr">
        <is>
          <t>电池级氢氧化锂（粗颗粒）</t>
        </is>
      </c>
      <c r="C591" s="3" t="n">
        <v>128000</v>
      </c>
      <c r="D591" s="4" t="n">
        <v>150000</v>
      </c>
      <c r="E591" s="4" t="n">
        <v>139000</v>
      </c>
      <c r="F591" s="4" t="n">
        <v>-4500</v>
      </c>
      <c r="G591" s="5" t="inlineStr">
        <is>
          <t>元/吨</t>
        </is>
      </c>
      <c r="H591" s="5" t="inlineStr">
        <is>
          <t>SMM</t>
        </is>
      </c>
    </row>
    <row r="592">
      <c r="A592" s="2" t="inlineStr">
        <is>
          <t>2026/06/26</t>
        </is>
      </c>
      <c r="B592" s="2" t="inlineStr">
        <is>
          <t>电池级硫酸锰（出厂价）</t>
        </is>
      </c>
      <c r="C592" s="3" t="n">
        <v>7570</v>
      </c>
      <c r="D592" s="4" t="n">
        <v>7770</v>
      </c>
      <c r="E592" s="4" t="n">
        <v>7670</v>
      </c>
      <c r="F592" s="4" t="n">
        <v>0</v>
      </c>
      <c r="G592" s="5" t="inlineStr">
        <is>
          <t>元/吨</t>
        </is>
      </c>
      <c r="H592" s="5" t="inlineStr">
        <is>
          <t>SMM</t>
        </is>
      </c>
    </row>
    <row r="593">
      <c r="A593" s="2" t="inlineStr">
        <is>
          <t>2026/06/26</t>
        </is>
      </c>
      <c r="B593" s="2" t="inlineStr">
        <is>
          <t>电池级硫酸镍</t>
        </is>
      </c>
      <c r="C593" s="3" t="n">
        <v>32200</v>
      </c>
      <c r="D593" s="4" t="n">
        <v>32600</v>
      </c>
      <c r="E593" s="4" t="n">
        <v>32400</v>
      </c>
      <c r="F593" s="4" t="n">
        <v>-100</v>
      </c>
      <c r="G593" s="5" t="inlineStr">
        <is>
          <t>元/吨</t>
        </is>
      </c>
      <c r="H593" s="5" t="inlineStr">
        <is>
          <t>SMM</t>
        </is>
      </c>
    </row>
    <row r="594">
      <c r="A594" s="2" t="inlineStr">
        <is>
          <t>2026/06/26</t>
        </is>
      </c>
      <c r="B594" s="2" t="inlineStr">
        <is>
          <t>电池级碳酸锂</t>
        </is>
      </c>
      <c r="C594" s="3" t="n">
        <v>147000</v>
      </c>
      <c r="D594" s="4" t="n">
        <v>158000</v>
      </c>
      <c r="E594" s="4" t="n">
        <v>152500</v>
      </c>
      <c r="F594" s="4" t="n">
        <v>-4500</v>
      </c>
      <c r="G594" s="5" t="inlineStr">
        <is>
          <t>元/吨</t>
        </is>
      </c>
      <c r="H594" s="5" t="inlineStr">
        <is>
          <t>SMM</t>
        </is>
      </c>
    </row>
    <row r="595">
      <c r="A595" s="2" t="inlineStr">
        <is>
          <t>2026/06/26</t>
        </is>
      </c>
      <c r="B595" s="2" t="inlineStr">
        <is>
          <t>电池级碳酸锂(CIF韩国)</t>
        </is>
      </c>
      <c r="C595" s="7" t="n">
        <v>18.6</v>
      </c>
      <c r="D595" s="6" t="n">
        <v>21.2</v>
      </c>
      <c r="E595" s="6" t="n">
        <v>19.9</v>
      </c>
      <c r="F595" s="6" t="n">
        <v>-0.4</v>
      </c>
      <c r="G595" s="5" t="inlineStr">
        <is>
          <t>美元/千克</t>
        </is>
      </c>
      <c r="H595" s="5" t="inlineStr">
        <is>
          <t>SMM</t>
        </is>
      </c>
    </row>
    <row r="596">
      <c r="A596" s="2" t="inlineStr">
        <is>
          <t>2026/06/26</t>
        </is>
      </c>
      <c r="B596" s="2" t="inlineStr">
        <is>
          <t>电池级碳酸锂（CIF中日韩）</t>
        </is>
      </c>
      <c r="C596" s="7" t="n">
        <v>18.7</v>
      </c>
      <c r="D596" s="6" t="n">
        <v>21.2</v>
      </c>
      <c r="E596" s="6" t="n">
        <v>19.95</v>
      </c>
      <c r="F596" s="6" t="n">
        <v>-0.4</v>
      </c>
      <c r="G596" s="5" t="inlineStr">
        <is>
          <t>美元/千克</t>
        </is>
      </c>
      <c r="H596" s="5" t="inlineStr">
        <is>
          <t>SMM</t>
        </is>
      </c>
    </row>
    <row r="597">
      <c r="A597" s="2" t="inlineStr">
        <is>
          <t>2026/06/26</t>
        </is>
      </c>
      <c r="B597" s="2" t="inlineStr">
        <is>
          <t>电池级金属锂</t>
        </is>
      </c>
      <c r="C597" s="3" t="n">
        <v>1090000</v>
      </c>
      <c r="D597" s="4" t="n">
        <v>1110000</v>
      </c>
      <c r="E597" s="4" t="n">
        <v>1100000</v>
      </c>
      <c r="F597" s="4" t="n">
        <v>-10000</v>
      </c>
      <c r="G597" s="5" t="inlineStr">
        <is>
          <t>元/吨</t>
        </is>
      </c>
      <c r="H597" s="5" t="inlineStr">
        <is>
          <t>SMM</t>
        </is>
      </c>
    </row>
    <row r="598">
      <c r="A598" s="2" t="inlineStr">
        <is>
          <t>2026/06/26</t>
        </is>
      </c>
      <c r="B598" s="2" t="inlineStr">
        <is>
          <t>电解钴</t>
        </is>
      </c>
      <c r="C598" s="3" t="n">
        <v>374000</v>
      </c>
      <c r="D598" s="4" t="n">
        <v>385000</v>
      </c>
      <c r="E598" s="4" t="n">
        <v>379500</v>
      </c>
      <c r="F598" s="4" t="n">
        <v>2500</v>
      </c>
      <c r="G598" s="5" t="inlineStr">
        <is>
          <t>元/吨</t>
        </is>
      </c>
      <c r="H598" s="5" t="inlineStr">
        <is>
          <t>SMM</t>
        </is>
      </c>
    </row>
    <row r="599">
      <c r="A599" s="2" t="inlineStr">
        <is>
          <t>2026/06/26</t>
        </is>
      </c>
      <c r="B599" s="2" t="inlineStr">
        <is>
          <t>电解钴（鹿特丹仓库）</t>
        </is>
      </c>
      <c r="C599" s="7" t="n">
        <v>25</v>
      </c>
      <c r="D599" s="6" t="n">
        <v>27</v>
      </c>
      <c r="E599" s="6" t="n">
        <v>26</v>
      </c>
      <c r="F599" s="4" t="n">
        <v>0</v>
      </c>
      <c r="G599" s="5" t="inlineStr">
        <is>
          <t>美元/磅</t>
        </is>
      </c>
      <c r="H599" s="5" t="inlineStr">
        <is>
          <t>SMM</t>
        </is>
      </c>
    </row>
    <row r="600">
      <c r="A600" s="2" t="inlineStr">
        <is>
          <t>2026/06/26</t>
        </is>
      </c>
      <c r="B600" s="2" t="inlineStr">
        <is>
          <t>电镀级硫酸镍</t>
        </is>
      </c>
      <c r="C600" s="3" t="n">
        <v>32500</v>
      </c>
      <c r="D600" s="4" t="n">
        <v>37000</v>
      </c>
      <c r="E600" s="4" t="n">
        <v>34750</v>
      </c>
      <c r="F600" s="4" t="n">
        <v>0</v>
      </c>
      <c r="G600" s="5" t="inlineStr">
        <is>
          <t>元/吨</t>
        </is>
      </c>
      <c r="H600" s="5" t="inlineStr">
        <is>
          <t>SMM</t>
        </is>
      </c>
    </row>
    <row r="601">
      <c r="A601" s="2" t="inlineStr">
        <is>
          <t>2026/06/26</t>
        </is>
      </c>
      <c r="B601" s="2" t="inlineStr">
        <is>
          <t>硫酸钴</t>
        </is>
      </c>
      <c r="C601" s="3" t="n">
        <v>85000</v>
      </c>
      <c r="D601" s="4" t="n">
        <v>87300</v>
      </c>
      <c r="E601" s="4" t="n">
        <v>86150</v>
      </c>
      <c r="F601" s="4" t="n">
        <v>-600</v>
      </c>
      <c r="G601" s="5" t="inlineStr">
        <is>
          <t>元/吨</t>
        </is>
      </c>
      <c r="H601" s="5" t="inlineStr">
        <is>
          <t>SMM</t>
        </is>
      </c>
    </row>
    <row r="602">
      <c r="A602" s="2" t="inlineStr">
        <is>
          <t>2026/06/26</t>
        </is>
      </c>
      <c r="B602" s="2" t="inlineStr">
        <is>
          <t>碳酸钴</t>
        </is>
      </c>
      <c r="C602" s="3" t="n">
        <v>208000</v>
      </c>
      <c r="D602" s="4" t="n">
        <v>215000</v>
      </c>
      <c r="E602" s="4" t="n">
        <v>211500</v>
      </c>
      <c r="F602" s="4" t="n">
        <v>0</v>
      </c>
      <c r="G602" s="5" t="inlineStr">
        <is>
          <t>元/吨</t>
        </is>
      </c>
      <c r="H602" s="5" t="inlineStr">
        <is>
          <t>SMM</t>
        </is>
      </c>
    </row>
    <row r="603">
      <c r="A603" s="2" t="inlineStr">
        <is>
          <t>2026/06/26</t>
        </is>
      </c>
      <c r="B603" s="2" t="inlineStr">
        <is>
          <t>磷酸铁锂</t>
        </is>
      </c>
      <c r="C603" s="3" t="n">
        <v>55660</v>
      </c>
      <c r="D603" s="4" t="n">
        <v>56360</v>
      </c>
      <c r="E603" s="4" t="n">
        <v>56010</v>
      </c>
      <c r="F603" s="4" t="n">
        <v>-960</v>
      </c>
      <c r="G603" s="5" t="inlineStr">
        <is>
          <t>元/吨</t>
        </is>
      </c>
      <c r="H603" s="5" t="inlineStr">
        <is>
          <t>SMM</t>
        </is>
      </c>
    </row>
    <row r="604">
      <c r="A604" s="2" t="inlineStr">
        <is>
          <t>2026/06/26</t>
        </is>
      </c>
      <c r="B604" s="2" t="inlineStr">
        <is>
          <t>磷酸锰铁锂</t>
        </is>
      </c>
      <c r="C604" s="3" t="n">
        <v>61500</v>
      </c>
      <c r="D604" s="4" t="n">
        <v>66500</v>
      </c>
      <c r="E604" s="4" t="n">
        <v>64000</v>
      </c>
      <c r="F604" s="4" t="n">
        <v>-1000</v>
      </c>
      <c r="G604" s="5" t="inlineStr">
        <is>
          <t>元/吨</t>
        </is>
      </c>
      <c r="H604" s="5" t="inlineStr">
        <is>
          <t>SMM</t>
        </is>
      </c>
    </row>
    <row r="605">
      <c r="A605" s="2" t="inlineStr">
        <is>
          <t>2026/06/26</t>
        </is>
      </c>
      <c r="B605" s="2" t="inlineStr">
        <is>
          <t>金属钴FOB</t>
        </is>
      </c>
      <c r="C605" s="7" t="n">
        <v>24</v>
      </c>
      <c r="D605" s="6" t="n">
        <v>25</v>
      </c>
      <c r="E605" s="6" t="n">
        <v>24.5</v>
      </c>
      <c r="F605" s="4" t="n">
        <v>0</v>
      </c>
      <c r="G605" s="5" t="inlineStr">
        <is>
          <t>美元/磅</t>
        </is>
      </c>
      <c r="H605" s="5" t="inlineStr">
        <is>
          <t>SMM</t>
        </is>
      </c>
    </row>
    <row r="606">
      <c r="A606" s="2" t="inlineStr">
        <is>
          <t>2026/06/26</t>
        </is>
      </c>
      <c r="B606" s="2" t="inlineStr">
        <is>
          <t>钴中间品中钴含量≥30%</t>
        </is>
      </c>
      <c r="C606" s="3" t="n">
        <v>26122</v>
      </c>
      <c r="D606" s="4" t="n">
        <v>26122</v>
      </c>
      <c r="E606" s="4" t="n">
        <v>26122</v>
      </c>
      <c r="F606" s="4" t="n">
        <v>-661</v>
      </c>
      <c r="G606" s="5" t="inlineStr">
        <is>
          <t>元/金属吨</t>
        </is>
      </c>
      <c r="H606" s="5" t="inlineStr">
        <is>
          <t>SMM</t>
        </is>
      </c>
    </row>
    <row r="607">
      <c r="A607" s="2" t="inlineStr">
        <is>
          <t>2026/06/26</t>
        </is>
      </c>
      <c r="B607" s="2" t="inlineStr">
        <is>
          <t>钴中间品原料计价系数（对SMM硫酸钴均价）</t>
        </is>
      </c>
      <c r="C607" s="7" t="n">
        <v>99</v>
      </c>
      <c r="D607" s="4" t="n">
        <v>100</v>
      </c>
      <c r="E607" s="6" t="n">
        <v>99.5</v>
      </c>
      <c r="F607" s="4" t="n">
        <v>0</v>
      </c>
      <c r="G607" s="5" t="inlineStr">
        <is>
          <t>%</t>
        </is>
      </c>
      <c r="H607" s="5" t="inlineStr">
        <is>
          <t>SMM</t>
        </is>
      </c>
    </row>
    <row r="608">
      <c r="A608" s="2" t="inlineStr">
        <is>
          <t>2026/06/26</t>
        </is>
      </c>
      <c r="B608" s="2" t="inlineStr">
        <is>
          <t>钴酸锂</t>
        </is>
      </c>
      <c r="C608" s="3" t="n">
        <v>373000</v>
      </c>
      <c r="D608" s="4" t="n">
        <v>376000</v>
      </c>
      <c r="E608" s="4" t="n">
        <v>374500</v>
      </c>
      <c r="F608" s="4" t="n">
        <v>0</v>
      </c>
      <c r="G608" s="5" t="inlineStr">
        <is>
          <t>元/吨</t>
        </is>
      </c>
      <c r="H608" s="5" t="inlineStr">
        <is>
          <t>SMM</t>
        </is>
      </c>
    </row>
    <row r="609">
      <c r="A609" s="2" t="inlineStr">
        <is>
          <t>2026/06/26</t>
        </is>
      </c>
      <c r="B609" s="2" t="inlineStr">
        <is>
          <t>钴酸锂聚合物软包</t>
        </is>
      </c>
      <c r="C609" s="3" t="n">
        <v>96500</v>
      </c>
      <c r="D609" s="4" t="n">
        <v>99000</v>
      </c>
      <c r="E609" s="4" t="n">
        <v>97750</v>
      </c>
      <c r="F609" s="4" t="n">
        <v>-450</v>
      </c>
      <c r="G609" s="5" t="inlineStr">
        <is>
          <t>元/吨</t>
        </is>
      </c>
      <c r="H609" s="5" t="inlineStr">
        <is>
          <t>SMM</t>
        </is>
      </c>
    </row>
    <row r="610">
      <c r="A610" s="2" t="inlineStr">
        <is>
          <t>2026/06/26</t>
        </is>
      </c>
      <c r="B610" s="2" t="inlineStr">
        <is>
          <t>钴酸锂铝壳</t>
        </is>
      </c>
      <c r="C610" s="3" t="n">
        <v>84000</v>
      </c>
      <c r="D610" s="4" t="n">
        <v>91000</v>
      </c>
      <c r="E610" s="4" t="n">
        <v>87500</v>
      </c>
      <c r="F610" s="4" t="n">
        <v>-250</v>
      </c>
      <c r="G610" s="5" t="inlineStr">
        <is>
          <t>元/吨</t>
        </is>
      </c>
      <c r="H610" s="5" t="inlineStr">
        <is>
          <t>SMM</t>
        </is>
      </c>
    </row>
    <row r="611">
      <c r="A611" s="2" t="inlineStr">
        <is>
          <t>2026/06/26</t>
        </is>
      </c>
      <c r="B611" s="2" t="inlineStr">
        <is>
          <t>锰酸锂圆柱钢壳</t>
        </is>
      </c>
      <c r="C611" s="3" t="n">
        <v>5000</v>
      </c>
      <c r="D611" s="4" t="n">
        <v>7400</v>
      </c>
      <c r="E611" s="4" t="n">
        <v>6200</v>
      </c>
      <c r="F611" s="4" t="n">
        <v>0</v>
      </c>
      <c r="G611" s="5" t="inlineStr">
        <is>
          <t>元/吨</t>
        </is>
      </c>
      <c r="H611" s="5" t="inlineStr">
        <is>
          <t>SMM</t>
        </is>
      </c>
    </row>
    <row r="612">
      <c r="A612" s="2" t="inlineStr">
        <is>
          <t>2026/06/26</t>
        </is>
      </c>
      <c r="B612" s="2" t="inlineStr">
        <is>
          <t>非洲硫酸锂(CIF中国)</t>
        </is>
      </c>
      <c r="C612" s="3" t="n">
        <v>7027</v>
      </c>
      <c r="D612" s="4" t="n">
        <v>7622</v>
      </c>
      <c r="E612" s="4" t="n">
        <v>7324.5</v>
      </c>
      <c r="F612" s="4" t="n">
        <v>-238.5</v>
      </c>
      <c r="G612" s="5" t="inlineStr">
        <is>
          <t>美元/吨</t>
        </is>
      </c>
      <c r="H612" s="5" t="inlineStr">
        <is>
          <t>SMM</t>
        </is>
      </c>
    </row>
    <row r="613">
      <c r="A613" s="2" t="inlineStr">
        <is>
          <t>2026/06/26</t>
        </is>
      </c>
      <c r="B613" s="2" t="inlineStr">
        <is>
          <t>非洲锂辉石精矿（CIF中国）指数</t>
        </is>
      </c>
      <c r="C613" s="3" t="n">
        <v>2120</v>
      </c>
      <c r="D613" s="4" t="n">
        <v>2120</v>
      </c>
      <c r="E613" s="4" t="n">
        <v>2120</v>
      </c>
      <c r="F613" s="4" t="n">
        <v>-278</v>
      </c>
      <c r="G613" s="5" t="inlineStr">
        <is>
          <t>美元/吨</t>
        </is>
      </c>
      <c r="H613" s="5" t="inlineStr">
        <is>
          <t>SMM</t>
        </is>
      </c>
    </row>
    <row r="615">
      <c r="A615" s="8" t="inlineStr">
        <is>
          <t>当月均价</t>
        </is>
      </c>
      <c r="B615" s="9" t="n"/>
      <c r="C615" s="9" t="n"/>
      <c r="D615" s="9" t="n"/>
      <c r="E615" s="9" t="n"/>
      <c r="F615" s="9" t="n"/>
      <c r="G615" s="9" t="n"/>
      <c r="H615" s="9" t="n"/>
    </row>
    <row r="616">
      <c r="B616" s="2" t="inlineStr">
        <is>
          <t>5系三元前驱体</t>
        </is>
      </c>
      <c r="C616" s="10">
        <f>IFERROR(AVERAGEIFS(C$2:C$613,A$2:A$613,"&gt;="&amp;DATE(YEAR(TODAY()),MONTH(TODAY()),1),A$2:A$613,"&lt;"&amp;DATE(YEAR(TODAY()),MONTH(TODAY())+1,1),B$2:B$613,$B$616),"")</f>
        <v/>
      </c>
      <c r="D616" s="10">
        <f>IFERROR(AVERAGEIFS(D$2:D$613,A$2:A$613,"&gt;="&amp;DATE(YEAR(TODAY()),MONTH(TODAY()),1),A$2:A$613,"&lt;"&amp;DATE(YEAR(TODAY()),MONTH(TODAY())+1,1),B$2:B$613,$B$616),"")</f>
        <v/>
      </c>
      <c r="E616" s="10">
        <f>IFERROR(AVERAGEIFS(E$2:E$613,A$2:A$613,"&gt;="&amp;DATE(YEAR(TODAY()),MONTH(TODAY()),1),A$2:A$613,"&lt;"&amp;DATE(YEAR(TODAY()),MONTH(TODAY())+1,1),B$2:B$613,$B$616),"")</f>
        <v/>
      </c>
      <c r="F616" s="11">
        <f>IFERROR(SUMPRODUCT((YEAR(A$2:A$613)=YEAR(TODAY()))*(MONTH(A$2:A$613)=MONTH(TODAY()))*(B$2:B$613=$B$616)*(F$2:F$613),"")</f>
        <v/>
      </c>
    </row>
    <row r="617">
      <c r="B617" s="2" t="inlineStr">
        <is>
          <t>5系三元材料</t>
        </is>
      </c>
      <c r="C617" s="10">
        <f>IFERROR(AVERAGEIFS(C$2:C$613,A$2:A$613,"&gt;="&amp;DATE(YEAR(TODAY()),MONTH(TODAY()),1),A$2:A$613,"&lt;"&amp;DATE(YEAR(TODAY()),MONTH(TODAY())+1,1),B$2:B$613,$B$617),"")</f>
        <v/>
      </c>
      <c r="D617" s="10">
        <f>IFERROR(AVERAGEIFS(D$2:D$613,A$2:A$613,"&gt;="&amp;DATE(YEAR(TODAY()),MONTH(TODAY()),1),A$2:A$613,"&lt;"&amp;DATE(YEAR(TODAY()),MONTH(TODAY())+1,1),B$2:B$613,$B$617),"")</f>
        <v/>
      </c>
      <c r="E617" s="10">
        <f>IFERROR(AVERAGEIFS(E$2:E$613,A$2:A$613,"&gt;="&amp;DATE(YEAR(TODAY()),MONTH(TODAY()),1),A$2:A$613,"&lt;"&amp;DATE(YEAR(TODAY()),MONTH(TODAY())+1,1),B$2:B$613,$B$617),"")</f>
        <v/>
      </c>
      <c r="F617" s="11">
        <f>IFERROR(SUMPRODUCT((YEAR(A$2:A$613)=YEAR(TODAY()))*(MONTH(A$2:A$613)=MONTH(TODAY()))*(B$2:B$613=$B$617)*(F$2:F$613),"")</f>
        <v/>
      </c>
    </row>
    <row r="618">
      <c r="B618" s="2" t="inlineStr">
        <is>
          <t>6系三元前驱体（单晶/动力型）</t>
        </is>
      </c>
      <c r="C618" s="10">
        <f>IFERROR(AVERAGEIFS(C$2:C$613,A$2:A$613,"&gt;="&amp;DATE(YEAR(TODAY()),MONTH(TODAY()),1),A$2:A$613,"&lt;"&amp;DATE(YEAR(TODAY()),MONTH(TODAY())+1,1),B$2:B$613,$B$618),"")</f>
        <v/>
      </c>
      <c r="D618" s="10">
        <f>IFERROR(AVERAGEIFS(D$2:D$613,A$2:A$613,"&gt;="&amp;DATE(YEAR(TODAY()),MONTH(TODAY()),1),A$2:A$613,"&lt;"&amp;DATE(YEAR(TODAY()),MONTH(TODAY())+1,1),B$2:B$613,$B$618),"")</f>
        <v/>
      </c>
      <c r="E618" s="10">
        <f>IFERROR(AVERAGEIFS(E$2:E$613,A$2:A$613,"&gt;="&amp;DATE(YEAR(TODAY()),MONTH(TODAY()),1),A$2:A$613,"&lt;"&amp;DATE(YEAR(TODAY()),MONTH(TODAY())+1,1),B$2:B$613,$B$618),"")</f>
        <v/>
      </c>
      <c r="F618" s="11">
        <f>IFERROR(SUMPRODUCT((YEAR(A$2:A$613)=YEAR(TODAY()))*(MONTH(A$2:A$613)=MONTH(TODAY()))*(B$2:B$613=$B$618)*(F$2:F$613),"")</f>
        <v/>
      </c>
    </row>
    <row r="619">
      <c r="B619" s="2" t="inlineStr">
        <is>
          <t>6系三元材料（单晶/动力型）</t>
        </is>
      </c>
      <c r="C619" s="10">
        <f>IFERROR(AVERAGEIFS(C$2:C$613,A$2:A$613,"&gt;="&amp;DATE(YEAR(TODAY()),MONTH(TODAY()),1),A$2:A$613,"&lt;"&amp;DATE(YEAR(TODAY()),MONTH(TODAY())+1,1),B$2:B$613,$B$619),"")</f>
        <v/>
      </c>
      <c r="D619" s="10">
        <f>IFERROR(AVERAGEIFS(D$2:D$613,A$2:A$613,"&gt;="&amp;DATE(YEAR(TODAY()),MONTH(TODAY()),1),A$2:A$613,"&lt;"&amp;DATE(YEAR(TODAY()),MONTH(TODAY())+1,1),B$2:B$613,$B$619),"")</f>
        <v/>
      </c>
      <c r="E619" s="10">
        <f>IFERROR(AVERAGEIFS(E$2:E$613,A$2:A$613,"&gt;="&amp;DATE(YEAR(TODAY()),MONTH(TODAY()),1),A$2:A$613,"&lt;"&amp;DATE(YEAR(TODAY()),MONTH(TODAY())+1,1),B$2:B$613,$B$619),"")</f>
        <v/>
      </c>
      <c r="F619" s="11">
        <f>IFERROR(SUMPRODUCT((YEAR(A$2:A$613)=YEAR(TODAY()))*(MONTH(A$2:A$613)=MONTH(TODAY()))*(B$2:B$613=$B$619)*(F$2:F$613),"")</f>
        <v/>
      </c>
    </row>
    <row r="620">
      <c r="B620" s="2" t="inlineStr">
        <is>
          <t>8系三元前驱体（多晶/动力型）</t>
        </is>
      </c>
      <c r="C620" s="10">
        <f>IFERROR(AVERAGEIFS(C$2:C$613,A$2:A$613,"&gt;="&amp;DATE(YEAR(TODAY()),MONTH(TODAY()),1),A$2:A$613,"&lt;"&amp;DATE(YEAR(TODAY()),MONTH(TODAY())+1,1),B$2:B$613,$B$620),"")</f>
        <v/>
      </c>
      <c r="D620" s="10">
        <f>IFERROR(AVERAGEIFS(D$2:D$613,A$2:A$613,"&gt;="&amp;DATE(YEAR(TODAY()),MONTH(TODAY()),1),A$2:A$613,"&lt;"&amp;DATE(YEAR(TODAY()),MONTH(TODAY())+1,1),B$2:B$613,$B$620),"")</f>
        <v/>
      </c>
      <c r="E620" s="10">
        <f>IFERROR(AVERAGEIFS(E$2:E$613,A$2:A$613,"&gt;="&amp;DATE(YEAR(TODAY()),MONTH(TODAY()),1),A$2:A$613,"&lt;"&amp;DATE(YEAR(TODAY()),MONTH(TODAY())+1,1),B$2:B$613,$B$620),"")</f>
        <v/>
      </c>
      <c r="F620" s="11">
        <f>IFERROR(SUMPRODUCT((YEAR(A$2:A$613)=YEAR(TODAY()))*(MONTH(A$2:A$613)=MONTH(TODAY()))*(B$2:B$613=$B$620)*(F$2:F$613),"")</f>
        <v/>
      </c>
    </row>
    <row r="621">
      <c r="B621" s="2" t="inlineStr">
        <is>
          <t>8系三元材料</t>
        </is>
      </c>
      <c r="C621" s="10">
        <f>IFERROR(AVERAGEIFS(C$2:C$613,A$2:A$613,"&gt;="&amp;DATE(YEAR(TODAY()),MONTH(TODAY()),1),A$2:A$613,"&lt;"&amp;DATE(YEAR(TODAY()),MONTH(TODAY())+1,1),B$2:B$613,$B$621),"")</f>
        <v/>
      </c>
      <c r="D621" s="10">
        <f>IFERROR(AVERAGEIFS(D$2:D$613,A$2:A$613,"&gt;="&amp;DATE(YEAR(TODAY()),MONTH(TODAY()),1),A$2:A$613,"&lt;"&amp;DATE(YEAR(TODAY()),MONTH(TODAY())+1,1),B$2:B$613,$B$621),"")</f>
        <v/>
      </c>
      <c r="E621" s="10">
        <f>IFERROR(AVERAGEIFS(E$2:E$613,A$2:A$613,"&gt;="&amp;DATE(YEAR(TODAY()),MONTH(TODAY()),1),A$2:A$613,"&lt;"&amp;DATE(YEAR(TODAY()),MONTH(TODAY())+1,1),B$2:B$613,$B$621),"")</f>
        <v/>
      </c>
      <c r="F621" s="11">
        <f>IFERROR(SUMPRODUCT((YEAR(A$2:A$613)=YEAR(TODAY()))*(MONTH(A$2:A$613)=MONTH(TODAY()))*(B$2:B$613=$B$621)*(F$2:F$613),"")</f>
        <v/>
      </c>
    </row>
    <row r="622">
      <c r="B622" s="2" t="inlineStr">
        <is>
          <t>MHP系数（对SMM电池级硫酸镍指数）</t>
        </is>
      </c>
      <c r="C622" s="10">
        <f>IFERROR(AVERAGEIFS(C$2:C$613,A$2:A$613,"&gt;="&amp;DATE(YEAR(TODAY()),MONTH(TODAY()),1),A$2:A$613,"&lt;"&amp;DATE(YEAR(TODAY()),MONTH(TODAY())+1,1),B$2:B$613,$B$622),"")</f>
        <v/>
      </c>
      <c r="D622" s="10">
        <f>IFERROR(AVERAGEIFS(D$2:D$613,A$2:A$613,"&gt;="&amp;DATE(YEAR(TODAY()),MONTH(TODAY()),1),A$2:A$613,"&lt;"&amp;DATE(YEAR(TODAY()),MONTH(TODAY())+1,1),B$2:B$613,$B$622),"")</f>
        <v/>
      </c>
      <c r="E622" s="10">
        <f>IFERROR(AVERAGEIFS(E$2:E$613,A$2:A$613,"&gt;="&amp;DATE(YEAR(TODAY()),MONTH(TODAY()),1),A$2:A$613,"&lt;"&amp;DATE(YEAR(TODAY()),MONTH(TODAY())+1,1),B$2:B$613,$B$622),"")</f>
        <v/>
      </c>
      <c r="F622" s="11">
        <f>IFERROR(SUMPRODUCT((YEAR(A$2:A$613)=YEAR(TODAY()))*(MONTH(A$2:A$613)=MONTH(TODAY()))*(B$2:B$613=$B$622)*(F$2:F$613),"")</f>
        <v/>
      </c>
    </row>
    <row r="623">
      <c r="B623" s="2" t="inlineStr">
        <is>
          <t>MHP钴元素计价系数（对SMM硫酸钴均价）</t>
        </is>
      </c>
      <c r="C623" s="10">
        <f>IFERROR(AVERAGEIFS(C$2:C$613,A$2:A$613,"&gt;="&amp;DATE(YEAR(TODAY()),MONTH(TODAY()),1),A$2:A$613,"&lt;"&amp;DATE(YEAR(TODAY()),MONTH(TODAY())+1,1),B$2:B$613,$B$623),"")</f>
        <v/>
      </c>
      <c r="D623" s="10">
        <f>IFERROR(AVERAGEIFS(D$2:D$613,A$2:A$613,"&gt;="&amp;DATE(YEAR(TODAY()),MONTH(TODAY()),1),A$2:A$613,"&lt;"&amp;DATE(YEAR(TODAY()),MONTH(TODAY())+1,1),B$2:B$613,$B$623),"")</f>
        <v/>
      </c>
      <c r="E623" s="10">
        <f>IFERROR(AVERAGEIFS(E$2:E$613,A$2:A$613,"&gt;="&amp;DATE(YEAR(TODAY()),MONTH(TODAY()),1),A$2:A$613,"&lt;"&amp;DATE(YEAR(TODAY()),MONTH(TODAY())+1,1),B$2:B$613,$B$623),"")</f>
        <v/>
      </c>
      <c r="F623" s="11">
        <f>IFERROR(SUMPRODUCT((YEAR(A$2:A$613)=YEAR(TODAY()))*(MONTH(A$2:A$613)=MONTH(TODAY()))*(B$2:B$613=$B$623)*(F$2:F$613),"")</f>
        <v/>
      </c>
    </row>
    <row r="624">
      <c r="B624" s="2" t="inlineStr">
        <is>
          <t>NCA三元材料</t>
        </is>
      </c>
      <c r="C624" s="10">
        <f>IFERROR(AVERAGEIFS(C$2:C$613,A$2:A$613,"&gt;="&amp;DATE(YEAR(TODAY()),MONTH(TODAY()),1),A$2:A$613,"&lt;"&amp;DATE(YEAR(TODAY()),MONTH(TODAY())+1,1),B$2:B$613,$B$624),"")</f>
        <v/>
      </c>
      <c r="D624" s="10">
        <f>IFERROR(AVERAGEIFS(D$2:D$613,A$2:A$613,"&gt;="&amp;DATE(YEAR(TODAY()),MONTH(TODAY()),1),A$2:A$613,"&lt;"&amp;DATE(YEAR(TODAY()),MONTH(TODAY())+1,1),B$2:B$613,$B$624),"")</f>
        <v/>
      </c>
      <c r="E624" s="10">
        <f>IFERROR(AVERAGEIFS(E$2:E$613,A$2:A$613,"&gt;="&amp;DATE(YEAR(TODAY()),MONTH(TODAY()),1),A$2:A$613,"&lt;"&amp;DATE(YEAR(TODAY()),MONTH(TODAY())+1,1),B$2:B$613,$B$624),"")</f>
        <v/>
      </c>
      <c r="F624" s="11">
        <f>IFERROR(SUMPRODUCT((YEAR(A$2:A$613)=YEAR(TODAY()))*(MONTH(A$2:A$613)=MONTH(TODAY()))*(B$2:B$613=$B$624)*(F$2:F$613),"")</f>
        <v/>
      </c>
    </row>
    <row r="625">
      <c r="B625" s="2" t="inlineStr">
        <is>
          <t>SMM三元极片粉钴系数指数</t>
        </is>
      </c>
      <c r="C625" s="10">
        <f>IFERROR(AVERAGEIFS(C$2:C$613,A$2:A$613,"&gt;="&amp;DATE(YEAR(TODAY()),MONTH(TODAY()),1),A$2:A$613,"&lt;"&amp;DATE(YEAR(TODAY()),MONTH(TODAY())+1,1),B$2:B$613,$B$625),"")</f>
        <v/>
      </c>
      <c r="D625" s="10">
        <f>IFERROR(AVERAGEIFS(D$2:D$613,A$2:A$613,"&gt;="&amp;DATE(YEAR(TODAY()),MONTH(TODAY()),1),A$2:A$613,"&lt;"&amp;DATE(YEAR(TODAY()),MONTH(TODAY())+1,1),B$2:B$613,$B$625),"")</f>
        <v/>
      </c>
      <c r="E625" s="10">
        <f>IFERROR(AVERAGEIFS(E$2:E$613,A$2:A$613,"&gt;="&amp;DATE(YEAR(TODAY()),MONTH(TODAY()),1),A$2:A$613,"&lt;"&amp;DATE(YEAR(TODAY()),MONTH(TODAY())+1,1),B$2:B$613,$B$625),"")</f>
        <v/>
      </c>
      <c r="F625" s="11">
        <f>IFERROR(SUMPRODUCT((YEAR(A$2:A$613)=YEAR(TODAY()))*(MONTH(A$2:A$613)=MONTH(TODAY()))*(B$2:B$613=$B$625)*(F$2:F$613),"")</f>
        <v/>
      </c>
    </row>
    <row r="626">
      <c r="B626" s="2" t="inlineStr">
        <is>
          <t>SMM三元极片粉锂系数指数</t>
        </is>
      </c>
      <c r="C626" s="10">
        <f>IFERROR(AVERAGEIFS(C$2:C$613,A$2:A$613,"&gt;="&amp;DATE(YEAR(TODAY()),MONTH(TODAY()),1),A$2:A$613,"&lt;"&amp;DATE(YEAR(TODAY()),MONTH(TODAY())+1,1),B$2:B$613,$B$626),"")</f>
        <v/>
      </c>
      <c r="D626" s="10">
        <f>IFERROR(AVERAGEIFS(D$2:D$613,A$2:A$613,"&gt;="&amp;DATE(YEAR(TODAY()),MONTH(TODAY()),1),A$2:A$613,"&lt;"&amp;DATE(YEAR(TODAY()),MONTH(TODAY())+1,1),B$2:B$613,$B$626),"")</f>
        <v/>
      </c>
      <c r="E626" s="10">
        <f>IFERROR(AVERAGEIFS(E$2:E$613,A$2:A$613,"&gt;="&amp;DATE(YEAR(TODAY()),MONTH(TODAY()),1),A$2:A$613,"&lt;"&amp;DATE(YEAR(TODAY()),MONTH(TODAY())+1,1),B$2:B$613,$B$626),"")</f>
        <v/>
      </c>
      <c r="F626" s="11">
        <f>IFERROR(SUMPRODUCT((YEAR(A$2:A$613)=YEAR(TODAY()))*(MONTH(A$2:A$613)=MONTH(TODAY()))*(B$2:B$613=$B$626)*(F$2:F$613),"")</f>
        <v/>
      </c>
    </row>
    <row r="627">
      <c r="B627" s="2" t="inlineStr">
        <is>
          <t>SMM三元极片粉镍系数指数</t>
        </is>
      </c>
      <c r="C627" s="10">
        <f>IFERROR(AVERAGEIFS(C$2:C$613,A$2:A$613,"&gt;="&amp;DATE(YEAR(TODAY()),MONTH(TODAY()),1),A$2:A$613,"&lt;"&amp;DATE(YEAR(TODAY()),MONTH(TODAY())+1,1),B$2:B$613,$B$627),"")</f>
        <v/>
      </c>
      <c r="D627" s="10">
        <f>IFERROR(AVERAGEIFS(D$2:D$613,A$2:A$613,"&gt;="&amp;DATE(YEAR(TODAY()),MONTH(TODAY()),1),A$2:A$613,"&lt;"&amp;DATE(YEAR(TODAY()),MONTH(TODAY())+1,1),B$2:B$613,$B$627),"")</f>
        <v/>
      </c>
      <c r="E627" s="10">
        <f>IFERROR(AVERAGEIFS(E$2:E$613,A$2:A$613,"&gt;="&amp;DATE(YEAR(TODAY()),MONTH(TODAY()),1),A$2:A$613,"&lt;"&amp;DATE(YEAR(TODAY()),MONTH(TODAY())+1,1),B$2:B$613,$B$627),"")</f>
        <v/>
      </c>
      <c r="F627" s="11">
        <f>IFERROR(SUMPRODUCT((YEAR(A$2:A$613)=YEAR(TODAY()))*(MONTH(A$2:A$613)=MONTH(TODAY()))*(B$2:B$613=$B$627)*(F$2:F$613),"")</f>
        <v/>
      </c>
    </row>
    <row r="628">
      <c r="B628" s="2" t="inlineStr">
        <is>
          <t>SMM三元电池粉钴系数指数</t>
        </is>
      </c>
      <c r="C628" s="10">
        <f>IFERROR(AVERAGEIFS(C$2:C$613,A$2:A$613,"&gt;="&amp;DATE(YEAR(TODAY()),MONTH(TODAY()),1),A$2:A$613,"&lt;"&amp;DATE(YEAR(TODAY()),MONTH(TODAY())+1,1),B$2:B$613,$B$628),"")</f>
        <v/>
      </c>
      <c r="D628" s="10">
        <f>IFERROR(AVERAGEIFS(D$2:D$613,A$2:A$613,"&gt;="&amp;DATE(YEAR(TODAY()),MONTH(TODAY()),1),A$2:A$613,"&lt;"&amp;DATE(YEAR(TODAY()),MONTH(TODAY())+1,1),B$2:B$613,$B$628),"")</f>
        <v/>
      </c>
      <c r="E628" s="10">
        <f>IFERROR(AVERAGEIFS(E$2:E$613,A$2:A$613,"&gt;="&amp;DATE(YEAR(TODAY()),MONTH(TODAY()),1),A$2:A$613,"&lt;"&amp;DATE(YEAR(TODAY()),MONTH(TODAY())+1,1),B$2:B$613,$B$628),"")</f>
        <v/>
      </c>
      <c r="F628" s="11">
        <f>IFERROR(SUMPRODUCT((YEAR(A$2:A$613)=YEAR(TODAY()))*(MONTH(A$2:A$613)=MONTH(TODAY()))*(B$2:B$613=$B$628)*(F$2:F$613),"")</f>
        <v/>
      </c>
    </row>
    <row r="629">
      <c r="B629" s="2" t="inlineStr">
        <is>
          <t>SMM三元电池粉锂系数指数</t>
        </is>
      </c>
      <c r="C629" s="10">
        <f>IFERROR(AVERAGEIFS(C$2:C$613,A$2:A$613,"&gt;="&amp;DATE(YEAR(TODAY()),MONTH(TODAY()),1),A$2:A$613,"&lt;"&amp;DATE(YEAR(TODAY()),MONTH(TODAY())+1,1),B$2:B$613,$B$629),"")</f>
        <v/>
      </c>
      <c r="D629" s="10">
        <f>IFERROR(AVERAGEIFS(D$2:D$613,A$2:A$613,"&gt;="&amp;DATE(YEAR(TODAY()),MONTH(TODAY()),1),A$2:A$613,"&lt;"&amp;DATE(YEAR(TODAY()),MONTH(TODAY())+1,1),B$2:B$613,$B$629),"")</f>
        <v/>
      </c>
      <c r="E629" s="10">
        <f>IFERROR(AVERAGEIFS(E$2:E$613,A$2:A$613,"&gt;="&amp;DATE(YEAR(TODAY()),MONTH(TODAY()),1),A$2:A$613,"&lt;"&amp;DATE(YEAR(TODAY()),MONTH(TODAY())+1,1),B$2:B$613,$B$629),"")</f>
        <v/>
      </c>
      <c r="F629" s="11">
        <f>IFERROR(SUMPRODUCT((YEAR(A$2:A$613)=YEAR(TODAY()))*(MONTH(A$2:A$613)=MONTH(TODAY()))*(B$2:B$613=$B$629)*(F$2:F$613),"")</f>
        <v/>
      </c>
    </row>
    <row r="630">
      <c r="B630" s="2" t="inlineStr">
        <is>
          <t>SMM三元电池粉镍系数指数</t>
        </is>
      </c>
      <c r="C630" s="10">
        <f>IFERROR(AVERAGEIFS(C$2:C$613,A$2:A$613,"&gt;="&amp;DATE(YEAR(TODAY()),MONTH(TODAY()),1),A$2:A$613,"&lt;"&amp;DATE(YEAR(TODAY()),MONTH(TODAY())+1,1),B$2:B$613,$B$630),"")</f>
        <v/>
      </c>
      <c r="D630" s="10">
        <f>IFERROR(AVERAGEIFS(D$2:D$613,A$2:A$613,"&gt;="&amp;DATE(YEAR(TODAY()),MONTH(TODAY()),1),A$2:A$613,"&lt;"&amp;DATE(YEAR(TODAY()),MONTH(TODAY())+1,1),B$2:B$613,$B$630),"")</f>
        <v/>
      </c>
      <c r="E630" s="10">
        <f>IFERROR(AVERAGEIFS(E$2:E$613,A$2:A$613,"&gt;="&amp;DATE(YEAR(TODAY()),MONTH(TODAY()),1),A$2:A$613,"&lt;"&amp;DATE(YEAR(TODAY()),MONTH(TODAY())+1,1),B$2:B$613,$B$630),"")</f>
        <v/>
      </c>
      <c r="F630" s="11">
        <f>IFERROR(SUMPRODUCT((YEAR(A$2:A$613)=YEAR(TODAY()))*(MONTH(A$2:A$613)=MONTH(TODAY()))*(B$2:B$613=$B$630)*(F$2:F$613),"")</f>
        <v/>
      </c>
    </row>
    <row r="631">
      <c r="B631" s="2" t="inlineStr">
        <is>
          <t>SMM六氟磷酸锂指数</t>
        </is>
      </c>
      <c r="C631" s="10">
        <f>IFERROR(AVERAGEIFS(C$2:C$613,A$2:A$613,"&gt;="&amp;DATE(YEAR(TODAY()),MONTH(TODAY()),1),A$2:A$613,"&lt;"&amp;DATE(YEAR(TODAY()),MONTH(TODAY())+1,1),B$2:B$613,$B$631),"")</f>
        <v/>
      </c>
      <c r="D631" s="10">
        <f>IFERROR(AVERAGEIFS(D$2:D$613,A$2:A$613,"&gt;="&amp;DATE(YEAR(TODAY()),MONTH(TODAY()),1),A$2:A$613,"&lt;"&amp;DATE(YEAR(TODAY()),MONTH(TODAY())+1,1),B$2:B$613,$B$631),"")</f>
        <v/>
      </c>
      <c r="E631" s="10">
        <f>IFERROR(AVERAGEIFS(E$2:E$613,A$2:A$613,"&gt;="&amp;DATE(YEAR(TODAY()),MONTH(TODAY()),1),A$2:A$613,"&lt;"&amp;DATE(YEAR(TODAY()),MONTH(TODAY())+1,1),B$2:B$613,$B$631),"")</f>
        <v/>
      </c>
      <c r="F631" s="11">
        <f>IFERROR(SUMPRODUCT((YEAR(A$2:A$613)=YEAR(TODAY()))*(MONTH(A$2:A$613)=MONTH(TODAY()))*(B$2:B$613=$B$631)*(F$2:F$613),"")</f>
        <v/>
      </c>
    </row>
    <row r="632">
      <c r="B632" s="2" t="inlineStr">
        <is>
          <t>SMM电池级氢氧化锂指数</t>
        </is>
      </c>
      <c r="C632" s="10">
        <f>IFERROR(AVERAGEIFS(C$2:C$613,A$2:A$613,"&gt;="&amp;DATE(YEAR(TODAY()),MONTH(TODAY()),1),A$2:A$613,"&lt;"&amp;DATE(YEAR(TODAY()),MONTH(TODAY())+1,1),B$2:B$613,$B$632),"")</f>
        <v/>
      </c>
      <c r="D632" s="10">
        <f>IFERROR(AVERAGEIFS(D$2:D$613,A$2:A$613,"&gt;="&amp;DATE(YEAR(TODAY()),MONTH(TODAY()),1),A$2:A$613,"&lt;"&amp;DATE(YEAR(TODAY()),MONTH(TODAY())+1,1),B$2:B$613,$B$632),"")</f>
        <v/>
      </c>
      <c r="E632" s="10">
        <f>IFERROR(AVERAGEIFS(E$2:E$613,A$2:A$613,"&gt;="&amp;DATE(YEAR(TODAY()),MONTH(TODAY()),1),A$2:A$613,"&lt;"&amp;DATE(YEAR(TODAY()),MONTH(TODAY())+1,1),B$2:B$613,$B$632),"")</f>
        <v/>
      </c>
      <c r="F632" s="11">
        <f>IFERROR(SUMPRODUCT((YEAR(A$2:A$613)=YEAR(TODAY()))*(MONTH(A$2:A$613)=MONTH(TODAY()))*(B$2:B$613=$B$632)*(F$2:F$613),"")</f>
        <v/>
      </c>
    </row>
    <row r="633">
      <c r="B633" s="2" t="inlineStr">
        <is>
          <t>SMM电池级硫酸锰指数</t>
        </is>
      </c>
      <c r="C633" s="10">
        <f>IFERROR(AVERAGEIFS(C$2:C$613,A$2:A$613,"&gt;="&amp;DATE(YEAR(TODAY()),MONTH(TODAY()),1),A$2:A$613,"&lt;"&amp;DATE(YEAR(TODAY()),MONTH(TODAY())+1,1),B$2:B$613,$B$633),"")</f>
        <v/>
      </c>
      <c r="D633" s="10">
        <f>IFERROR(AVERAGEIFS(D$2:D$613,A$2:A$613,"&gt;="&amp;DATE(YEAR(TODAY()),MONTH(TODAY()),1),A$2:A$613,"&lt;"&amp;DATE(YEAR(TODAY()),MONTH(TODAY())+1,1),B$2:B$613,$B$633),"")</f>
        <v/>
      </c>
      <c r="E633" s="10">
        <f>IFERROR(AVERAGEIFS(E$2:E$613,A$2:A$613,"&gt;="&amp;DATE(YEAR(TODAY()),MONTH(TODAY()),1),A$2:A$613,"&lt;"&amp;DATE(YEAR(TODAY()),MONTH(TODAY())+1,1),B$2:B$613,$B$633),"")</f>
        <v/>
      </c>
      <c r="F633" s="11">
        <f>IFERROR(SUMPRODUCT((YEAR(A$2:A$613)=YEAR(TODAY()))*(MONTH(A$2:A$613)=MONTH(TODAY()))*(B$2:B$613=$B$633)*(F$2:F$613),"")</f>
        <v/>
      </c>
    </row>
    <row r="634">
      <c r="B634" s="2" t="inlineStr">
        <is>
          <t>SMM电池级硫酸镍指数</t>
        </is>
      </c>
      <c r="C634" s="10">
        <f>IFERROR(AVERAGEIFS(C$2:C$613,A$2:A$613,"&gt;="&amp;DATE(YEAR(TODAY()),MONTH(TODAY()),1),A$2:A$613,"&lt;"&amp;DATE(YEAR(TODAY()),MONTH(TODAY())+1,1),B$2:B$613,$B$634),"")</f>
        <v/>
      </c>
      <c r="D634" s="10">
        <f>IFERROR(AVERAGEIFS(D$2:D$613,A$2:A$613,"&gt;="&amp;DATE(YEAR(TODAY()),MONTH(TODAY()),1),A$2:A$613,"&lt;"&amp;DATE(YEAR(TODAY()),MONTH(TODAY())+1,1),B$2:B$613,$B$634),"")</f>
        <v/>
      </c>
      <c r="E634" s="10">
        <f>IFERROR(AVERAGEIFS(E$2:E$613,A$2:A$613,"&gt;="&amp;DATE(YEAR(TODAY()),MONTH(TODAY()),1),A$2:A$613,"&lt;"&amp;DATE(YEAR(TODAY()),MONTH(TODAY())+1,1),B$2:B$613,$B$634),"")</f>
        <v/>
      </c>
      <c r="F634" s="11">
        <f>IFERROR(SUMPRODUCT((YEAR(A$2:A$613)=YEAR(TODAY()))*(MONTH(A$2:A$613)=MONTH(TODAY()))*(B$2:B$613=$B$634)*(F$2:F$613),"")</f>
        <v/>
      </c>
    </row>
    <row r="635">
      <c r="B635" s="2" t="inlineStr">
        <is>
          <t>SMM电池级碳酸锂指数</t>
        </is>
      </c>
      <c r="C635" s="10">
        <f>IFERROR(AVERAGEIFS(C$2:C$613,A$2:A$613,"&gt;="&amp;DATE(YEAR(TODAY()),MONTH(TODAY()),1),A$2:A$613,"&lt;"&amp;DATE(YEAR(TODAY()),MONTH(TODAY())+1,1),B$2:B$613,$B$635),"")</f>
        <v/>
      </c>
      <c r="D635" s="10">
        <f>IFERROR(AVERAGEIFS(D$2:D$613,A$2:A$613,"&gt;="&amp;DATE(YEAR(TODAY()),MONTH(TODAY()),1),A$2:A$613,"&lt;"&amp;DATE(YEAR(TODAY()),MONTH(TODAY())+1,1),B$2:B$613,$B$635),"")</f>
        <v/>
      </c>
      <c r="E635" s="10">
        <f>IFERROR(AVERAGEIFS(E$2:E$613,A$2:A$613,"&gt;="&amp;DATE(YEAR(TODAY()),MONTH(TODAY()),1),A$2:A$613,"&lt;"&amp;DATE(YEAR(TODAY()),MONTH(TODAY())+1,1),B$2:B$613,$B$635),"")</f>
        <v/>
      </c>
      <c r="F635" s="11">
        <f>IFERROR(SUMPRODUCT((YEAR(A$2:A$613)=YEAR(TODAY()))*(MONTH(A$2:A$613)=MONTH(TODAY()))*(B$2:B$613=$B$635)*(F$2:F$613),"")</f>
        <v/>
      </c>
    </row>
    <row r="636">
      <c r="B636" s="2" t="inlineStr">
        <is>
          <t>SMM硫酸钴指数</t>
        </is>
      </c>
      <c r="C636" s="10">
        <f>IFERROR(AVERAGEIFS(C$2:C$613,A$2:A$613,"&gt;="&amp;DATE(YEAR(TODAY()),MONTH(TODAY()),1),A$2:A$613,"&lt;"&amp;DATE(YEAR(TODAY()),MONTH(TODAY())+1,1),B$2:B$613,$B$636),"")</f>
        <v/>
      </c>
      <c r="D636" s="10">
        <f>IFERROR(AVERAGEIFS(D$2:D$613,A$2:A$613,"&gt;="&amp;DATE(YEAR(TODAY()),MONTH(TODAY()),1),A$2:A$613,"&lt;"&amp;DATE(YEAR(TODAY()),MONTH(TODAY())+1,1),B$2:B$613,$B$636),"")</f>
        <v/>
      </c>
      <c r="E636" s="10">
        <f>IFERROR(AVERAGEIFS(E$2:E$613,A$2:A$613,"&gt;="&amp;DATE(YEAR(TODAY()),MONTH(TODAY()),1),A$2:A$613,"&lt;"&amp;DATE(YEAR(TODAY()),MONTH(TODAY())+1,1),B$2:B$613,$B$636),"")</f>
        <v/>
      </c>
      <c r="F636" s="11">
        <f>IFERROR(SUMPRODUCT((YEAR(A$2:A$613)=YEAR(TODAY()))*(MONTH(A$2:A$613)=MONTH(TODAY()))*(B$2:B$613=$B$636)*(F$2:F$613),"")</f>
        <v/>
      </c>
    </row>
    <row r="637">
      <c r="B637" s="2" t="inlineStr">
        <is>
          <t>SMM磷酸铁锂极片粉指数</t>
        </is>
      </c>
      <c r="C637" s="10">
        <f>IFERROR(AVERAGEIFS(C$2:C$613,A$2:A$613,"&gt;="&amp;DATE(YEAR(TODAY()),MONTH(TODAY()),1),A$2:A$613,"&lt;"&amp;DATE(YEAR(TODAY()),MONTH(TODAY())+1,1),B$2:B$613,$B$637),"")</f>
        <v/>
      </c>
      <c r="D637" s="10">
        <f>IFERROR(AVERAGEIFS(D$2:D$613,A$2:A$613,"&gt;="&amp;DATE(YEAR(TODAY()),MONTH(TODAY()),1),A$2:A$613,"&lt;"&amp;DATE(YEAR(TODAY()),MONTH(TODAY())+1,1),B$2:B$613,$B$637),"")</f>
        <v/>
      </c>
      <c r="E637" s="10">
        <f>IFERROR(AVERAGEIFS(E$2:E$613,A$2:A$613,"&gt;="&amp;DATE(YEAR(TODAY()),MONTH(TODAY()),1),A$2:A$613,"&lt;"&amp;DATE(YEAR(TODAY()),MONTH(TODAY())+1,1),B$2:B$613,$B$637),"")</f>
        <v/>
      </c>
      <c r="F637" s="11">
        <f>IFERROR(SUMPRODUCT((YEAR(A$2:A$613)=YEAR(TODAY()))*(MONTH(A$2:A$613)=MONTH(TODAY()))*(B$2:B$613=$B$637)*(F$2:F$613),"")</f>
        <v/>
      </c>
    </row>
    <row r="638">
      <c r="B638" s="2" t="inlineStr">
        <is>
          <t>SMM磷酸铁锂电池粉指数</t>
        </is>
      </c>
      <c r="C638" s="10">
        <f>IFERROR(AVERAGEIFS(C$2:C$613,A$2:A$613,"&gt;="&amp;DATE(YEAR(TODAY()),MONTH(TODAY()),1),A$2:A$613,"&lt;"&amp;DATE(YEAR(TODAY()),MONTH(TODAY())+1,1),B$2:B$613,$B$638),"")</f>
        <v/>
      </c>
      <c r="D638" s="10">
        <f>IFERROR(AVERAGEIFS(D$2:D$613,A$2:A$613,"&gt;="&amp;DATE(YEAR(TODAY()),MONTH(TODAY()),1),A$2:A$613,"&lt;"&amp;DATE(YEAR(TODAY()),MONTH(TODAY())+1,1),B$2:B$613,$B$638),"")</f>
        <v/>
      </c>
      <c r="E638" s="10">
        <f>IFERROR(AVERAGEIFS(E$2:E$613,A$2:A$613,"&gt;="&amp;DATE(YEAR(TODAY()),MONTH(TODAY()),1),A$2:A$613,"&lt;"&amp;DATE(YEAR(TODAY()),MONTH(TODAY())+1,1),B$2:B$613,$B$638),"")</f>
        <v/>
      </c>
      <c r="F638" s="11">
        <f>IFERROR(SUMPRODUCT((YEAR(A$2:A$613)=YEAR(TODAY()))*(MONTH(A$2:A$613)=MONTH(TODAY()))*(B$2:B$613=$B$638)*(F$2:F$613),"")</f>
        <v/>
      </c>
    </row>
    <row r="639">
      <c r="B639" s="2" t="inlineStr">
        <is>
          <t>SMM钴酸锂极片粉钴系数指数</t>
        </is>
      </c>
      <c r="C639" s="10">
        <f>IFERROR(AVERAGEIFS(C$2:C$613,A$2:A$613,"&gt;="&amp;DATE(YEAR(TODAY()),MONTH(TODAY()),1),A$2:A$613,"&lt;"&amp;DATE(YEAR(TODAY()),MONTH(TODAY())+1,1),B$2:B$613,$B$639),"")</f>
        <v/>
      </c>
      <c r="D639" s="10">
        <f>IFERROR(AVERAGEIFS(D$2:D$613,A$2:A$613,"&gt;="&amp;DATE(YEAR(TODAY()),MONTH(TODAY()),1),A$2:A$613,"&lt;"&amp;DATE(YEAR(TODAY()),MONTH(TODAY())+1,1),B$2:B$613,$B$639),"")</f>
        <v/>
      </c>
      <c r="E639" s="10">
        <f>IFERROR(AVERAGEIFS(E$2:E$613,A$2:A$613,"&gt;="&amp;DATE(YEAR(TODAY()),MONTH(TODAY()),1),A$2:A$613,"&lt;"&amp;DATE(YEAR(TODAY()),MONTH(TODAY())+1,1),B$2:B$613,$B$639),"")</f>
        <v/>
      </c>
      <c r="F639" s="11">
        <f>IFERROR(SUMPRODUCT((YEAR(A$2:A$613)=YEAR(TODAY()))*(MONTH(A$2:A$613)=MONTH(TODAY()))*(B$2:B$613=$B$639)*(F$2:F$613),"")</f>
        <v/>
      </c>
    </row>
    <row r="640">
      <c r="B640" s="2" t="inlineStr">
        <is>
          <t>SMM钴酸锂极片粉锂系数指数</t>
        </is>
      </c>
      <c r="C640" s="10">
        <f>IFERROR(AVERAGEIFS(C$2:C$613,A$2:A$613,"&gt;="&amp;DATE(YEAR(TODAY()),MONTH(TODAY()),1),A$2:A$613,"&lt;"&amp;DATE(YEAR(TODAY()),MONTH(TODAY())+1,1),B$2:B$613,$B$640),"")</f>
        <v/>
      </c>
      <c r="D640" s="10">
        <f>IFERROR(AVERAGEIFS(D$2:D$613,A$2:A$613,"&gt;="&amp;DATE(YEAR(TODAY()),MONTH(TODAY()),1),A$2:A$613,"&lt;"&amp;DATE(YEAR(TODAY()),MONTH(TODAY())+1,1),B$2:B$613,$B$640),"")</f>
        <v/>
      </c>
      <c r="E640" s="10">
        <f>IFERROR(AVERAGEIFS(E$2:E$613,A$2:A$613,"&gt;="&amp;DATE(YEAR(TODAY()),MONTH(TODAY()),1),A$2:A$613,"&lt;"&amp;DATE(YEAR(TODAY()),MONTH(TODAY())+1,1),B$2:B$613,$B$640),"")</f>
        <v/>
      </c>
      <c r="F640" s="11">
        <f>IFERROR(SUMPRODUCT((YEAR(A$2:A$613)=YEAR(TODAY()))*(MONTH(A$2:A$613)=MONTH(TODAY()))*(B$2:B$613=$B$640)*(F$2:F$613),"")</f>
        <v/>
      </c>
    </row>
    <row r="641">
      <c r="B641" s="2" t="inlineStr">
        <is>
          <t>SMM钴酸锂电池粉钴系数指数</t>
        </is>
      </c>
      <c r="C641" s="10">
        <f>IFERROR(AVERAGEIFS(C$2:C$613,A$2:A$613,"&gt;="&amp;DATE(YEAR(TODAY()),MONTH(TODAY()),1),A$2:A$613,"&lt;"&amp;DATE(YEAR(TODAY()),MONTH(TODAY())+1,1),B$2:B$613,$B$641),"")</f>
        <v/>
      </c>
      <c r="D641" s="10">
        <f>IFERROR(AVERAGEIFS(D$2:D$613,A$2:A$613,"&gt;="&amp;DATE(YEAR(TODAY()),MONTH(TODAY()),1),A$2:A$613,"&lt;"&amp;DATE(YEAR(TODAY()),MONTH(TODAY())+1,1),B$2:B$613,$B$641),"")</f>
        <v/>
      </c>
      <c r="E641" s="10">
        <f>IFERROR(AVERAGEIFS(E$2:E$613,A$2:A$613,"&gt;="&amp;DATE(YEAR(TODAY()),MONTH(TODAY()),1),A$2:A$613,"&lt;"&amp;DATE(YEAR(TODAY()),MONTH(TODAY())+1,1),B$2:B$613,$B$641),"")</f>
        <v/>
      </c>
      <c r="F641" s="11">
        <f>IFERROR(SUMPRODUCT((YEAR(A$2:A$613)=YEAR(TODAY()))*(MONTH(A$2:A$613)=MONTH(TODAY()))*(B$2:B$613=$B$641)*(F$2:F$613),"")</f>
        <v/>
      </c>
    </row>
    <row r="642">
      <c r="B642" s="2" t="inlineStr">
        <is>
          <t>SMM钴酸锂电池粉锂系数指数</t>
        </is>
      </c>
      <c r="C642" s="10">
        <f>IFERROR(AVERAGEIFS(C$2:C$613,A$2:A$613,"&gt;="&amp;DATE(YEAR(TODAY()),MONTH(TODAY()),1),A$2:A$613,"&lt;"&amp;DATE(YEAR(TODAY()),MONTH(TODAY())+1,1),B$2:B$613,$B$642),"")</f>
        <v/>
      </c>
      <c r="D642" s="10">
        <f>IFERROR(AVERAGEIFS(D$2:D$613,A$2:A$613,"&gt;="&amp;DATE(YEAR(TODAY()),MONTH(TODAY()),1),A$2:A$613,"&lt;"&amp;DATE(YEAR(TODAY()),MONTH(TODAY())+1,1),B$2:B$613,$B$642),"")</f>
        <v/>
      </c>
      <c r="E642" s="10">
        <f>IFERROR(AVERAGEIFS(E$2:E$613,A$2:A$613,"&gt;="&amp;DATE(YEAR(TODAY()),MONTH(TODAY()),1),A$2:A$613,"&lt;"&amp;DATE(YEAR(TODAY()),MONTH(TODAY())+1,1),B$2:B$613,$B$642),"")</f>
        <v/>
      </c>
      <c r="F642" s="11">
        <f>IFERROR(SUMPRODUCT((YEAR(A$2:A$613)=YEAR(TODAY()))*(MONTH(A$2:A$613)=MONTH(TODAY()))*(B$2:B$613=$B$642)*(F$2:F$613),"")</f>
        <v/>
      </c>
    </row>
    <row r="643">
      <c r="B643" s="2" t="inlineStr">
        <is>
          <t>三元方壳锂电B品</t>
        </is>
      </c>
      <c r="C643" s="10">
        <f>IFERROR(AVERAGEIFS(C$2:C$613,A$2:A$613,"&gt;="&amp;DATE(YEAR(TODAY()),MONTH(TODAY()),1),A$2:A$613,"&lt;"&amp;DATE(YEAR(TODAY()),MONTH(TODAY())+1,1),B$2:B$613,$B$643),"")</f>
        <v/>
      </c>
      <c r="D643" s="10">
        <f>IFERROR(AVERAGEIFS(D$2:D$613,A$2:A$613,"&gt;="&amp;DATE(YEAR(TODAY()),MONTH(TODAY()),1),A$2:A$613,"&lt;"&amp;DATE(YEAR(TODAY()),MONTH(TODAY())+1,1),B$2:B$613,$B$643),"")</f>
        <v/>
      </c>
      <c r="E643" s="10">
        <f>IFERROR(AVERAGEIFS(E$2:E$613,A$2:A$613,"&gt;="&amp;DATE(YEAR(TODAY()),MONTH(TODAY()),1),A$2:A$613,"&lt;"&amp;DATE(YEAR(TODAY()),MONTH(TODAY())+1,1),B$2:B$613,$B$643),"")</f>
        <v/>
      </c>
      <c r="F643" s="11">
        <f>IFERROR(SUMPRODUCT((YEAR(A$2:A$613)=YEAR(TODAY()))*(MONTH(A$2:A$613)=MONTH(TODAY()))*(B$2:B$613=$B$643)*(F$2:F$613),"")</f>
        <v/>
      </c>
    </row>
    <row r="644">
      <c r="B644" s="2" t="inlineStr">
        <is>
          <t>六氟磷酸锂（国产）</t>
        </is>
      </c>
      <c r="C644" s="10">
        <f>IFERROR(AVERAGEIFS(C$2:C$613,A$2:A$613,"&gt;="&amp;DATE(YEAR(TODAY()),MONTH(TODAY()),1),A$2:A$613,"&lt;"&amp;DATE(YEAR(TODAY()),MONTH(TODAY())+1,1),B$2:B$613,$B$644),"")</f>
        <v/>
      </c>
      <c r="D644" s="10">
        <f>IFERROR(AVERAGEIFS(D$2:D$613,A$2:A$613,"&gt;="&amp;DATE(YEAR(TODAY()),MONTH(TODAY()),1),A$2:A$613,"&lt;"&amp;DATE(YEAR(TODAY()),MONTH(TODAY())+1,1),B$2:B$613,$B$644),"")</f>
        <v/>
      </c>
      <c r="E644" s="10">
        <f>IFERROR(AVERAGEIFS(E$2:E$613,A$2:A$613,"&gt;="&amp;DATE(YEAR(TODAY()),MONTH(TODAY()),1),A$2:A$613,"&lt;"&amp;DATE(YEAR(TODAY()),MONTH(TODAY())+1,1),B$2:B$613,$B$644),"")</f>
        <v/>
      </c>
      <c r="F644" s="11">
        <f>IFERROR(SUMPRODUCT((YEAR(A$2:A$613)=YEAR(TODAY()))*(MONTH(A$2:A$613)=MONTH(TODAY()))*(B$2:B$613=$B$644)*(F$2:F$613),"")</f>
        <v/>
      </c>
    </row>
    <row r="645">
      <c r="B645" s="2" t="inlineStr">
        <is>
          <t>四氧化三钴</t>
        </is>
      </c>
      <c r="C645" s="10">
        <f>IFERROR(AVERAGEIFS(C$2:C$613,A$2:A$613,"&gt;="&amp;DATE(YEAR(TODAY()),MONTH(TODAY()),1),A$2:A$613,"&lt;"&amp;DATE(YEAR(TODAY()),MONTH(TODAY())+1,1),B$2:B$613,$B$645),"")</f>
        <v/>
      </c>
      <c r="D645" s="10">
        <f>IFERROR(AVERAGEIFS(D$2:D$613,A$2:A$613,"&gt;="&amp;DATE(YEAR(TODAY()),MONTH(TODAY()),1),A$2:A$613,"&lt;"&amp;DATE(YEAR(TODAY()),MONTH(TODAY())+1,1),B$2:B$613,$B$645),"")</f>
        <v/>
      </c>
      <c r="E645" s="10">
        <f>IFERROR(AVERAGEIFS(E$2:E$613,A$2:A$613,"&gt;="&amp;DATE(YEAR(TODAY()),MONTH(TODAY()),1),A$2:A$613,"&lt;"&amp;DATE(YEAR(TODAY()),MONTH(TODAY())+1,1),B$2:B$613,$B$645),"")</f>
        <v/>
      </c>
      <c r="F645" s="11">
        <f>IFERROR(SUMPRODUCT((YEAR(A$2:A$613)=YEAR(TODAY()))*(MONTH(A$2:A$613)=MONTH(TODAY()))*(B$2:B$613=$B$645)*(F$2:F$613),"")</f>
        <v/>
      </c>
    </row>
    <row r="646">
      <c r="B646" s="2" t="inlineStr">
        <is>
          <t>四氧化三锰（电池级）</t>
        </is>
      </c>
      <c r="C646" s="10">
        <f>IFERROR(AVERAGEIFS(C$2:C$613,A$2:A$613,"&gt;="&amp;DATE(YEAR(TODAY()),MONTH(TODAY()),1),A$2:A$613,"&lt;"&amp;DATE(YEAR(TODAY()),MONTH(TODAY())+1,1),B$2:B$613,$B$646),"")</f>
        <v/>
      </c>
      <c r="D646" s="10">
        <f>IFERROR(AVERAGEIFS(D$2:D$613,A$2:A$613,"&gt;="&amp;DATE(YEAR(TODAY()),MONTH(TODAY()),1),A$2:A$613,"&lt;"&amp;DATE(YEAR(TODAY()),MONTH(TODAY())+1,1),B$2:B$613,$B$646),"")</f>
        <v/>
      </c>
      <c r="E646" s="10">
        <f>IFERROR(AVERAGEIFS(E$2:E$613,A$2:A$613,"&gt;="&amp;DATE(YEAR(TODAY()),MONTH(TODAY()),1),A$2:A$613,"&lt;"&amp;DATE(YEAR(TODAY()),MONTH(TODAY())+1,1),B$2:B$613,$B$646),"")</f>
        <v/>
      </c>
      <c r="F646" s="11">
        <f>IFERROR(SUMPRODUCT((YEAR(A$2:A$613)=YEAR(TODAY()))*(MONTH(A$2:A$613)=MONTH(TODAY()))*(B$2:B$613=$B$646)*(F$2:F$613),"")</f>
        <v/>
      </c>
    </row>
    <row r="647">
      <c r="B647" s="2" t="inlineStr">
        <is>
          <t>工业级氢氧化锂</t>
        </is>
      </c>
      <c r="C647" s="10">
        <f>IFERROR(AVERAGEIFS(C$2:C$613,A$2:A$613,"&gt;="&amp;DATE(YEAR(TODAY()),MONTH(TODAY()),1),A$2:A$613,"&lt;"&amp;DATE(YEAR(TODAY()),MONTH(TODAY())+1,1),B$2:B$613,$B$647),"")</f>
        <v/>
      </c>
      <c r="D647" s="10">
        <f>IFERROR(AVERAGEIFS(D$2:D$613,A$2:A$613,"&gt;="&amp;DATE(YEAR(TODAY()),MONTH(TODAY()),1),A$2:A$613,"&lt;"&amp;DATE(YEAR(TODAY()),MONTH(TODAY())+1,1),B$2:B$613,$B$647),"")</f>
        <v/>
      </c>
      <c r="E647" s="10">
        <f>IFERROR(AVERAGEIFS(E$2:E$613,A$2:A$613,"&gt;="&amp;DATE(YEAR(TODAY()),MONTH(TODAY()),1),A$2:A$613,"&lt;"&amp;DATE(YEAR(TODAY()),MONTH(TODAY())+1,1),B$2:B$613,$B$647),"")</f>
        <v/>
      </c>
      <c r="F647" s="11">
        <f>IFERROR(SUMPRODUCT((YEAR(A$2:A$613)=YEAR(TODAY()))*(MONTH(A$2:A$613)=MONTH(TODAY()))*(B$2:B$613=$B$647)*(F$2:F$613),"")</f>
        <v/>
      </c>
    </row>
    <row r="648">
      <c r="B648" s="2" t="inlineStr">
        <is>
          <t>工业级碳酸锂</t>
        </is>
      </c>
      <c r="C648" s="10">
        <f>IFERROR(AVERAGEIFS(C$2:C$613,A$2:A$613,"&gt;="&amp;DATE(YEAR(TODAY()),MONTH(TODAY()),1),A$2:A$613,"&lt;"&amp;DATE(YEAR(TODAY()),MONTH(TODAY())+1,1),B$2:B$613,$B$648),"")</f>
        <v/>
      </c>
      <c r="D648" s="10">
        <f>IFERROR(AVERAGEIFS(D$2:D$613,A$2:A$613,"&gt;="&amp;DATE(YEAR(TODAY()),MONTH(TODAY()),1),A$2:A$613,"&lt;"&amp;DATE(YEAR(TODAY()),MONTH(TODAY())+1,1),B$2:B$613,$B$648),"")</f>
        <v/>
      </c>
      <c r="E648" s="10">
        <f>IFERROR(AVERAGEIFS(E$2:E$613,A$2:A$613,"&gt;="&amp;DATE(YEAR(TODAY()),MONTH(TODAY()),1),A$2:A$613,"&lt;"&amp;DATE(YEAR(TODAY()),MONTH(TODAY())+1,1),B$2:B$613,$B$648),"")</f>
        <v/>
      </c>
      <c r="F648" s="11">
        <f>IFERROR(SUMPRODUCT((YEAR(A$2:A$613)=YEAR(TODAY()))*(MONTH(A$2:A$613)=MONTH(TODAY()))*(B$2:B$613=$B$648)*(F$2:F$613),"")</f>
        <v/>
      </c>
    </row>
    <row r="649">
      <c r="B649" s="2" t="inlineStr">
        <is>
          <t>工业级金属锂</t>
        </is>
      </c>
      <c r="C649" s="10">
        <f>IFERROR(AVERAGEIFS(C$2:C$613,A$2:A$613,"&gt;="&amp;DATE(YEAR(TODAY()),MONTH(TODAY()),1),A$2:A$613,"&lt;"&amp;DATE(YEAR(TODAY()),MONTH(TODAY())+1,1),B$2:B$613,$B$649),"")</f>
        <v/>
      </c>
      <c r="D649" s="10">
        <f>IFERROR(AVERAGEIFS(D$2:D$613,A$2:A$613,"&gt;="&amp;DATE(YEAR(TODAY()),MONTH(TODAY()),1),A$2:A$613,"&lt;"&amp;DATE(YEAR(TODAY()),MONTH(TODAY())+1,1),B$2:B$613,$B$649),"")</f>
        <v/>
      </c>
      <c r="E649" s="10">
        <f>IFERROR(AVERAGEIFS(E$2:E$613,A$2:A$613,"&gt;="&amp;DATE(YEAR(TODAY()),MONTH(TODAY()),1),A$2:A$613,"&lt;"&amp;DATE(YEAR(TODAY()),MONTH(TODAY())+1,1),B$2:B$613,$B$649),"")</f>
        <v/>
      </c>
      <c r="F649" s="11">
        <f>IFERROR(SUMPRODUCT((YEAR(A$2:A$613)=YEAR(TODAY()))*(MONTH(A$2:A$613)=MONTH(TODAY()))*(B$2:B$613=$B$649)*(F$2:F$613),"")</f>
        <v/>
      </c>
    </row>
    <row r="650">
      <c r="B650" s="2" t="inlineStr">
        <is>
          <t>巴西锂辉石精矿（CIF中国）现货</t>
        </is>
      </c>
      <c r="C650" s="10">
        <f>IFERROR(AVERAGEIFS(C$2:C$613,A$2:A$613,"&gt;="&amp;DATE(YEAR(TODAY()),MONTH(TODAY()),1),A$2:A$613,"&lt;"&amp;DATE(YEAR(TODAY()),MONTH(TODAY())+1,1),B$2:B$613,$B$650),"")</f>
        <v/>
      </c>
      <c r="D650" s="10">
        <f>IFERROR(AVERAGEIFS(D$2:D$613,A$2:A$613,"&gt;="&amp;DATE(YEAR(TODAY()),MONTH(TODAY()),1),A$2:A$613,"&lt;"&amp;DATE(YEAR(TODAY()),MONTH(TODAY())+1,1),B$2:B$613,$B$650),"")</f>
        <v/>
      </c>
      <c r="E650" s="10">
        <f>IFERROR(AVERAGEIFS(E$2:E$613,A$2:A$613,"&gt;="&amp;DATE(YEAR(TODAY()),MONTH(TODAY()),1),A$2:A$613,"&lt;"&amp;DATE(YEAR(TODAY()),MONTH(TODAY())+1,1),B$2:B$613,$B$650),"")</f>
        <v/>
      </c>
      <c r="F650" s="11">
        <f>IFERROR(SUMPRODUCT((YEAR(A$2:A$613)=YEAR(TODAY()))*(MONTH(A$2:A$613)=MONTH(TODAY()))*(B$2:B$613=$B$650)*(F$2:F$613),"")</f>
        <v/>
      </c>
    </row>
    <row r="651">
      <c r="B651" s="2" t="inlineStr">
        <is>
          <t>废旧磷酸铁锂储能正极片</t>
        </is>
      </c>
      <c r="C651" s="10">
        <f>IFERROR(AVERAGEIFS(C$2:C$613,A$2:A$613,"&gt;="&amp;DATE(YEAR(TODAY()),MONTH(TODAY()),1),A$2:A$613,"&lt;"&amp;DATE(YEAR(TODAY()),MONTH(TODAY())+1,1),B$2:B$613,$B$651),"")</f>
        <v/>
      </c>
      <c r="D651" s="10">
        <f>IFERROR(AVERAGEIFS(D$2:D$613,A$2:A$613,"&gt;="&amp;DATE(YEAR(TODAY()),MONTH(TODAY()),1),A$2:A$613,"&lt;"&amp;DATE(YEAR(TODAY()),MONTH(TODAY())+1,1),B$2:B$613,$B$651),"")</f>
        <v/>
      </c>
      <c r="E651" s="10">
        <f>IFERROR(AVERAGEIFS(E$2:E$613,A$2:A$613,"&gt;="&amp;DATE(YEAR(TODAY()),MONTH(TODAY()),1),A$2:A$613,"&lt;"&amp;DATE(YEAR(TODAY()),MONTH(TODAY())+1,1),B$2:B$613,$B$651),"")</f>
        <v/>
      </c>
      <c r="F651" s="11">
        <f>IFERROR(SUMPRODUCT((YEAR(A$2:A$613)=YEAR(TODAY()))*(MONTH(A$2:A$613)=MONTH(TODAY()))*(B$2:B$613=$B$651)*(F$2:F$613),"")</f>
        <v/>
      </c>
    </row>
    <row r="652">
      <c r="B652" s="2" t="inlineStr">
        <is>
          <t>废旧磷酸铁锂动力正极片</t>
        </is>
      </c>
      <c r="C652" s="10">
        <f>IFERROR(AVERAGEIFS(C$2:C$613,A$2:A$613,"&gt;="&amp;DATE(YEAR(TODAY()),MONTH(TODAY()),1),A$2:A$613,"&lt;"&amp;DATE(YEAR(TODAY()),MONTH(TODAY())+1,1),B$2:B$613,$B$652),"")</f>
        <v/>
      </c>
      <c r="D652" s="10">
        <f>IFERROR(AVERAGEIFS(D$2:D$613,A$2:A$613,"&gt;="&amp;DATE(YEAR(TODAY()),MONTH(TODAY()),1),A$2:A$613,"&lt;"&amp;DATE(YEAR(TODAY()),MONTH(TODAY())+1,1),B$2:B$613,$B$652),"")</f>
        <v/>
      </c>
      <c r="E652" s="10">
        <f>IFERROR(AVERAGEIFS(E$2:E$613,A$2:A$613,"&gt;="&amp;DATE(YEAR(TODAY()),MONTH(TODAY()),1),A$2:A$613,"&lt;"&amp;DATE(YEAR(TODAY()),MONTH(TODAY())+1,1),B$2:B$613,$B$652),"")</f>
        <v/>
      </c>
      <c r="F652" s="11">
        <f>IFERROR(SUMPRODUCT((YEAR(A$2:A$613)=YEAR(TODAY()))*(MONTH(A$2:A$613)=MONTH(TODAY()))*(B$2:B$613=$B$652)*(F$2:F$613),"")</f>
        <v/>
      </c>
    </row>
    <row r="653">
      <c r="B653" s="2" t="inlineStr">
        <is>
          <t>废旧磷酸铁锂软包电池</t>
        </is>
      </c>
      <c r="C653" s="10">
        <f>IFERROR(AVERAGEIFS(C$2:C$613,A$2:A$613,"&gt;="&amp;DATE(YEAR(TODAY()),MONTH(TODAY()),1),A$2:A$613,"&lt;"&amp;DATE(YEAR(TODAY()),MONTH(TODAY())+1,1),B$2:B$613,$B$653),"")</f>
        <v/>
      </c>
      <c r="D653" s="10">
        <f>IFERROR(AVERAGEIFS(D$2:D$613,A$2:A$613,"&gt;="&amp;DATE(YEAR(TODAY()),MONTH(TODAY()),1),A$2:A$613,"&lt;"&amp;DATE(YEAR(TODAY()),MONTH(TODAY())+1,1),B$2:B$613,$B$653),"")</f>
        <v/>
      </c>
      <c r="E653" s="10">
        <f>IFERROR(AVERAGEIFS(E$2:E$613,A$2:A$613,"&gt;="&amp;DATE(YEAR(TODAY()),MONTH(TODAY()),1),A$2:A$613,"&lt;"&amp;DATE(YEAR(TODAY()),MONTH(TODAY())+1,1),B$2:B$613,$B$653),"")</f>
        <v/>
      </c>
      <c r="F653" s="11">
        <f>IFERROR(SUMPRODUCT((YEAR(A$2:A$613)=YEAR(TODAY()))*(MONTH(A$2:A$613)=MONTH(TODAY()))*(B$2:B$613=$B$653)*(F$2:F$613),"")</f>
        <v/>
      </c>
    </row>
    <row r="654">
      <c r="B654" s="2" t="inlineStr">
        <is>
          <t>废旧磷酸铁锂钢壳电池</t>
        </is>
      </c>
      <c r="C654" s="10">
        <f>IFERROR(AVERAGEIFS(C$2:C$613,A$2:A$613,"&gt;="&amp;DATE(YEAR(TODAY()),MONTH(TODAY()),1),A$2:A$613,"&lt;"&amp;DATE(YEAR(TODAY()),MONTH(TODAY())+1,1),B$2:B$613,$B$654),"")</f>
        <v/>
      </c>
      <c r="D654" s="10">
        <f>IFERROR(AVERAGEIFS(D$2:D$613,A$2:A$613,"&gt;="&amp;DATE(YEAR(TODAY()),MONTH(TODAY()),1),A$2:A$613,"&lt;"&amp;DATE(YEAR(TODAY()),MONTH(TODAY())+1,1),B$2:B$613,$B$654),"")</f>
        <v/>
      </c>
      <c r="E654" s="10">
        <f>IFERROR(AVERAGEIFS(E$2:E$613,A$2:A$613,"&gt;="&amp;DATE(YEAR(TODAY()),MONTH(TODAY()),1),A$2:A$613,"&lt;"&amp;DATE(YEAR(TODAY()),MONTH(TODAY())+1,1),B$2:B$613,$B$654),"")</f>
        <v/>
      </c>
      <c r="F654" s="11">
        <f>IFERROR(SUMPRODUCT((YEAR(A$2:A$613)=YEAR(TODAY()))*(MONTH(A$2:A$613)=MONTH(TODAY()))*(B$2:B$613=$B$654)*(F$2:F$613),"")</f>
        <v/>
      </c>
    </row>
    <row r="655">
      <c r="B655" s="2" t="inlineStr">
        <is>
          <t>废旧磷酸铁锂铝壳电池</t>
        </is>
      </c>
      <c r="C655" s="10">
        <f>IFERROR(AVERAGEIFS(C$2:C$613,A$2:A$613,"&gt;="&amp;DATE(YEAR(TODAY()),MONTH(TODAY()),1),A$2:A$613,"&lt;"&amp;DATE(YEAR(TODAY()),MONTH(TODAY())+1,1),B$2:B$613,$B$655),"")</f>
        <v/>
      </c>
      <c r="D655" s="10">
        <f>IFERROR(AVERAGEIFS(D$2:D$613,A$2:A$613,"&gt;="&amp;DATE(YEAR(TODAY()),MONTH(TODAY()),1),A$2:A$613,"&lt;"&amp;DATE(YEAR(TODAY()),MONTH(TODAY())+1,1),B$2:B$613,$B$655),"")</f>
        <v/>
      </c>
      <c r="E655" s="10">
        <f>IFERROR(AVERAGEIFS(E$2:E$613,A$2:A$613,"&gt;="&amp;DATE(YEAR(TODAY()),MONTH(TODAY()),1),A$2:A$613,"&lt;"&amp;DATE(YEAR(TODAY()),MONTH(TODAY())+1,1),B$2:B$613,$B$655),"")</f>
        <v/>
      </c>
      <c r="F655" s="11">
        <f>IFERROR(SUMPRODUCT((YEAR(A$2:A$613)=YEAR(TODAY()))*(MONTH(A$2:A$613)=MONTH(TODAY()))*(B$2:B$613=$B$655)*(F$2:F$613),"")</f>
        <v/>
      </c>
    </row>
    <row r="656">
      <c r="B656" s="2" t="inlineStr">
        <is>
          <t>方形磷酸铁锂电池B品</t>
        </is>
      </c>
      <c r="C656" s="10">
        <f>IFERROR(AVERAGEIFS(C$2:C$613,A$2:A$613,"&gt;="&amp;DATE(YEAR(TODAY()),MONTH(TODAY()),1),A$2:A$613,"&lt;"&amp;DATE(YEAR(TODAY()),MONTH(TODAY())+1,1),B$2:B$613,$B$656),"")</f>
        <v/>
      </c>
      <c r="D656" s="10">
        <f>IFERROR(AVERAGEIFS(D$2:D$613,A$2:A$613,"&gt;="&amp;DATE(YEAR(TODAY()),MONTH(TODAY()),1),A$2:A$613,"&lt;"&amp;DATE(YEAR(TODAY()),MONTH(TODAY())+1,1),B$2:B$613,$B$656),"")</f>
        <v/>
      </c>
      <c r="E656" s="10">
        <f>IFERROR(AVERAGEIFS(E$2:E$613,A$2:A$613,"&gt;="&amp;DATE(YEAR(TODAY()),MONTH(TODAY()),1),A$2:A$613,"&lt;"&amp;DATE(YEAR(TODAY()),MONTH(TODAY())+1,1),B$2:B$613,$B$656),"")</f>
        <v/>
      </c>
      <c r="F656" s="11">
        <f>IFERROR(SUMPRODUCT((YEAR(A$2:A$613)=YEAR(TODAY()))*(MONTH(A$2:A$613)=MONTH(TODAY()))*(B$2:B$613=$B$656)*(F$2:F$613),"")</f>
        <v/>
      </c>
    </row>
    <row r="657">
      <c r="B657" s="2" t="inlineStr">
        <is>
          <t>氧化亚镍</t>
        </is>
      </c>
      <c r="C657" s="10">
        <f>IFERROR(AVERAGEIFS(C$2:C$613,A$2:A$613,"&gt;="&amp;DATE(YEAR(TODAY()),MONTH(TODAY()),1),A$2:A$613,"&lt;"&amp;DATE(YEAR(TODAY()),MONTH(TODAY())+1,1),B$2:B$613,$B$657),"")</f>
        <v/>
      </c>
      <c r="D657" s="10">
        <f>IFERROR(AVERAGEIFS(D$2:D$613,A$2:A$613,"&gt;="&amp;DATE(YEAR(TODAY()),MONTH(TODAY()),1),A$2:A$613,"&lt;"&amp;DATE(YEAR(TODAY()),MONTH(TODAY())+1,1),B$2:B$613,$B$657),"")</f>
        <v/>
      </c>
      <c r="E657" s="10">
        <f>IFERROR(AVERAGEIFS(E$2:E$613,A$2:A$613,"&gt;="&amp;DATE(YEAR(TODAY()),MONTH(TODAY()),1),A$2:A$613,"&lt;"&amp;DATE(YEAR(TODAY()),MONTH(TODAY())+1,1),B$2:B$613,$B$657),"")</f>
        <v/>
      </c>
      <c r="F657" s="11">
        <f>IFERROR(SUMPRODUCT((YEAR(A$2:A$613)=YEAR(TODAY()))*(MONTH(A$2:A$613)=MONTH(TODAY()))*(B$2:B$613=$B$657)*(F$2:F$613),"")</f>
        <v/>
      </c>
    </row>
    <row r="658">
      <c r="B658" s="2" t="inlineStr">
        <is>
          <t>氧化钴</t>
        </is>
      </c>
      <c r="C658" s="10">
        <f>IFERROR(AVERAGEIFS(C$2:C$613,A$2:A$613,"&gt;="&amp;DATE(YEAR(TODAY()),MONTH(TODAY()),1),A$2:A$613,"&lt;"&amp;DATE(YEAR(TODAY()),MONTH(TODAY())+1,1),B$2:B$613,$B$658),"")</f>
        <v/>
      </c>
      <c r="D658" s="10">
        <f>IFERROR(AVERAGEIFS(D$2:D$613,A$2:A$613,"&gt;="&amp;DATE(YEAR(TODAY()),MONTH(TODAY()),1),A$2:A$613,"&lt;"&amp;DATE(YEAR(TODAY()),MONTH(TODAY())+1,1),B$2:B$613,$B$658),"")</f>
        <v/>
      </c>
      <c r="E658" s="10">
        <f>IFERROR(AVERAGEIFS(E$2:E$613,A$2:A$613,"&gt;="&amp;DATE(YEAR(TODAY()),MONTH(TODAY()),1),A$2:A$613,"&lt;"&amp;DATE(YEAR(TODAY()),MONTH(TODAY())+1,1),B$2:B$613,$B$658),"")</f>
        <v/>
      </c>
      <c r="F658" s="11">
        <f>IFERROR(SUMPRODUCT((YEAR(A$2:A$613)=YEAR(TODAY()))*(MONTH(A$2:A$613)=MONTH(TODAY()))*(B$2:B$613=$B$658)*(F$2:F$613),"")</f>
        <v/>
      </c>
    </row>
    <row r="659">
      <c r="B659" s="2" t="inlineStr">
        <is>
          <t>氯化钴</t>
        </is>
      </c>
      <c r="C659" s="10">
        <f>IFERROR(AVERAGEIFS(C$2:C$613,A$2:A$613,"&gt;="&amp;DATE(YEAR(TODAY()),MONTH(TODAY()),1),A$2:A$613,"&lt;"&amp;DATE(YEAR(TODAY()),MONTH(TODAY())+1,1),B$2:B$613,$B$659),"")</f>
        <v/>
      </c>
      <c r="D659" s="10">
        <f>IFERROR(AVERAGEIFS(D$2:D$613,A$2:A$613,"&gt;="&amp;DATE(YEAR(TODAY()),MONTH(TODAY()),1),A$2:A$613,"&lt;"&amp;DATE(YEAR(TODAY()),MONTH(TODAY())+1,1),B$2:B$613,$B$659),"")</f>
        <v/>
      </c>
      <c r="E659" s="10">
        <f>IFERROR(AVERAGEIFS(E$2:E$613,A$2:A$613,"&gt;="&amp;DATE(YEAR(TODAY()),MONTH(TODAY()),1),A$2:A$613,"&lt;"&amp;DATE(YEAR(TODAY()),MONTH(TODAY())+1,1),B$2:B$613,$B$659),"")</f>
        <v/>
      </c>
      <c r="F659" s="11">
        <f>IFERROR(SUMPRODUCT((YEAR(A$2:A$613)=YEAR(TODAY()))*(MONTH(A$2:A$613)=MONTH(TODAY()))*(B$2:B$613=$B$659)*(F$2:F$613),"")</f>
        <v/>
      </c>
    </row>
    <row r="660">
      <c r="B660" s="2" t="inlineStr">
        <is>
          <t>氯化镍NiCl₂·6H₂O</t>
        </is>
      </c>
      <c r="C660" s="10">
        <f>IFERROR(AVERAGEIFS(C$2:C$613,A$2:A$613,"&gt;="&amp;DATE(YEAR(TODAY()),MONTH(TODAY()),1),A$2:A$613,"&lt;"&amp;DATE(YEAR(TODAY()),MONTH(TODAY())+1,1),B$2:B$613,$B$660),"")</f>
        <v/>
      </c>
      <c r="D660" s="10">
        <f>IFERROR(AVERAGEIFS(D$2:D$613,A$2:A$613,"&gt;="&amp;DATE(YEAR(TODAY()),MONTH(TODAY()),1),A$2:A$613,"&lt;"&amp;DATE(YEAR(TODAY()),MONTH(TODAY())+1,1),B$2:B$613,$B$660),"")</f>
        <v/>
      </c>
      <c r="E660" s="10">
        <f>IFERROR(AVERAGEIFS(E$2:E$613,A$2:A$613,"&gt;="&amp;DATE(YEAR(TODAY()),MONTH(TODAY()),1),A$2:A$613,"&lt;"&amp;DATE(YEAR(TODAY()),MONTH(TODAY())+1,1),B$2:B$613,$B$660),"")</f>
        <v/>
      </c>
      <c r="F660" s="11">
        <f>IFERROR(SUMPRODUCT((YEAR(A$2:A$613)=YEAR(TODAY()))*(MONTH(A$2:A$613)=MONTH(TODAY()))*(B$2:B$613=$B$660)*(F$2:F$613),"")</f>
        <v/>
      </c>
    </row>
    <row r="661">
      <c r="B661" s="2" t="inlineStr">
        <is>
          <t>津巴布韦锂辉石精矿（CIF中国）现货</t>
        </is>
      </c>
      <c r="C661" s="10">
        <f>IFERROR(AVERAGEIFS(C$2:C$613,A$2:A$613,"&gt;="&amp;DATE(YEAR(TODAY()),MONTH(TODAY()),1),A$2:A$613,"&lt;"&amp;DATE(YEAR(TODAY()),MONTH(TODAY())+1,1),B$2:B$613,$B$661),"")</f>
        <v/>
      </c>
      <c r="D661" s="10">
        <f>IFERROR(AVERAGEIFS(D$2:D$613,A$2:A$613,"&gt;="&amp;DATE(YEAR(TODAY()),MONTH(TODAY()),1),A$2:A$613,"&lt;"&amp;DATE(YEAR(TODAY()),MONTH(TODAY())+1,1),B$2:B$613,$B$661),"")</f>
        <v/>
      </c>
      <c r="E661" s="10">
        <f>IFERROR(AVERAGEIFS(E$2:E$613,A$2:A$613,"&gt;="&amp;DATE(YEAR(TODAY()),MONTH(TODAY()),1),A$2:A$613,"&lt;"&amp;DATE(YEAR(TODAY()),MONTH(TODAY())+1,1),B$2:B$613,$B$661),"")</f>
        <v/>
      </c>
      <c r="F661" s="11">
        <f>IFERROR(SUMPRODUCT((YEAR(A$2:A$613)=YEAR(TODAY()))*(MONTH(A$2:A$613)=MONTH(TODAY()))*(B$2:B$613=$B$661)*(F$2:F$613),"")</f>
        <v/>
      </c>
    </row>
    <row r="662">
      <c r="B662" s="2" t="inlineStr">
        <is>
          <t>澳大利亚锂辉石精矿（CIF中国）现货</t>
        </is>
      </c>
      <c r="C662" s="10">
        <f>IFERROR(AVERAGEIFS(C$2:C$613,A$2:A$613,"&gt;="&amp;DATE(YEAR(TODAY()),MONTH(TODAY()),1),A$2:A$613,"&lt;"&amp;DATE(YEAR(TODAY()),MONTH(TODAY())+1,1),B$2:B$613,$B$662),"")</f>
        <v/>
      </c>
      <c r="D662" s="10">
        <f>IFERROR(AVERAGEIFS(D$2:D$613,A$2:A$613,"&gt;="&amp;DATE(YEAR(TODAY()),MONTH(TODAY()),1),A$2:A$613,"&lt;"&amp;DATE(YEAR(TODAY()),MONTH(TODAY())+1,1),B$2:B$613,$B$662),"")</f>
        <v/>
      </c>
      <c r="E662" s="10">
        <f>IFERROR(AVERAGEIFS(E$2:E$613,A$2:A$613,"&gt;="&amp;DATE(YEAR(TODAY()),MONTH(TODAY()),1),A$2:A$613,"&lt;"&amp;DATE(YEAR(TODAY()),MONTH(TODAY())+1,1),B$2:B$613,$B$662),"")</f>
        <v/>
      </c>
      <c r="F662" s="11">
        <f>IFERROR(SUMPRODUCT((YEAR(A$2:A$613)=YEAR(TODAY()))*(MONTH(A$2:A$613)=MONTH(TODAY()))*(B$2:B$613=$B$662)*(F$2:F$613),"")</f>
        <v/>
      </c>
    </row>
    <row r="663">
      <c r="B663" s="2" t="inlineStr">
        <is>
          <t>电池级无水氯化锂</t>
        </is>
      </c>
      <c r="C663" s="10">
        <f>IFERROR(AVERAGEIFS(C$2:C$613,A$2:A$613,"&gt;="&amp;DATE(YEAR(TODAY()),MONTH(TODAY()),1),A$2:A$613,"&lt;"&amp;DATE(YEAR(TODAY()),MONTH(TODAY())+1,1),B$2:B$613,$B$663),"")</f>
        <v/>
      </c>
      <c r="D663" s="10">
        <f>IFERROR(AVERAGEIFS(D$2:D$613,A$2:A$613,"&gt;="&amp;DATE(YEAR(TODAY()),MONTH(TODAY()),1),A$2:A$613,"&lt;"&amp;DATE(YEAR(TODAY()),MONTH(TODAY())+1,1),B$2:B$613,$B$663),"")</f>
        <v/>
      </c>
      <c r="E663" s="10">
        <f>IFERROR(AVERAGEIFS(E$2:E$613,A$2:A$613,"&gt;="&amp;DATE(YEAR(TODAY()),MONTH(TODAY()),1),A$2:A$613,"&lt;"&amp;DATE(YEAR(TODAY()),MONTH(TODAY())+1,1),B$2:B$613,$B$663),"")</f>
        <v/>
      </c>
      <c r="F663" s="11">
        <f>IFERROR(SUMPRODUCT((YEAR(A$2:A$613)=YEAR(TODAY()))*(MONTH(A$2:A$613)=MONTH(TODAY()))*(B$2:B$613=$B$663)*(F$2:F$613),"")</f>
        <v/>
      </c>
    </row>
    <row r="664">
      <c r="B664" s="2" t="inlineStr">
        <is>
          <t>电池级氟化锂</t>
        </is>
      </c>
      <c r="C664" s="10">
        <f>IFERROR(AVERAGEIFS(C$2:C$613,A$2:A$613,"&gt;="&amp;DATE(YEAR(TODAY()),MONTH(TODAY()),1),A$2:A$613,"&lt;"&amp;DATE(YEAR(TODAY()),MONTH(TODAY())+1,1),B$2:B$613,$B$664),"")</f>
        <v/>
      </c>
      <c r="D664" s="10">
        <f>IFERROR(AVERAGEIFS(D$2:D$613,A$2:A$613,"&gt;="&amp;DATE(YEAR(TODAY()),MONTH(TODAY()),1),A$2:A$613,"&lt;"&amp;DATE(YEAR(TODAY()),MONTH(TODAY())+1,1),B$2:B$613,$B$664),"")</f>
        <v/>
      </c>
      <c r="E664" s="10">
        <f>IFERROR(AVERAGEIFS(E$2:E$613,A$2:A$613,"&gt;="&amp;DATE(YEAR(TODAY()),MONTH(TODAY()),1),A$2:A$613,"&lt;"&amp;DATE(YEAR(TODAY()),MONTH(TODAY())+1,1),B$2:B$613,$B$664),"")</f>
        <v/>
      </c>
      <c r="F664" s="11">
        <f>IFERROR(SUMPRODUCT((YEAR(A$2:A$613)=YEAR(TODAY()))*(MONTH(A$2:A$613)=MONTH(TODAY()))*(B$2:B$613=$B$664)*(F$2:F$613),"")</f>
        <v/>
      </c>
    </row>
    <row r="665">
      <c r="B665" s="2" t="inlineStr">
        <is>
          <t>电池级氢氧化锂(CIF中日韩)</t>
        </is>
      </c>
      <c r="C665" s="10">
        <f>IFERROR(AVERAGEIFS(C$2:C$613,A$2:A$613,"&gt;="&amp;DATE(YEAR(TODAY()),MONTH(TODAY()),1),A$2:A$613,"&lt;"&amp;DATE(YEAR(TODAY()),MONTH(TODAY())+1,1),B$2:B$613,$B$665),"")</f>
        <v/>
      </c>
      <c r="D665" s="10">
        <f>IFERROR(AVERAGEIFS(D$2:D$613,A$2:A$613,"&gt;="&amp;DATE(YEAR(TODAY()),MONTH(TODAY()),1),A$2:A$613,"&lt;"&amp;DATE(YEAR(TODAY()),MONTH(TODAY())+1,1),B$2:B$613,$B$665),"")</f>
        <v/>
      </c>
      <c r="E665" s="10">
        <f>IFERROR(AVERAGEIFS(E$2:E$613,A$2:A$613,"&gt;="&amp;DATE(YEAR(TODAY()),MONTH(TODAY()),1),A$2:A$613,"&lt;"&amp;DATE(YEAR(TODAY()),MONTH(TODAY())+1,1),B$2:B$613,$B$665),"")</f>
        <v/>
      </c>
      <c r="F665" s="11">
        <f>IFERROR(SUMPRODUCT((YEAR(A$2:A$613)=YEAR(TODAY()))*(MONTH(A$2:A$613)=MONTH(TODAY()))*(B$2:B$613=$B$665)*(F$2:F$613),"")</f>
        <v/>
      </c>
    </row>
    <row r="666">
      <c r="B666" s="2" t="inlineStr">
        <is>
          <t>电池级氢氧化锂(CIF韩国)</t>
        </is>
      </c>
      <c r="C666" s="10">
        <f>IFERROR(AVERAGEIFS(C$2:C$613,A$2:A$613,"&gt;="&amp;DATE(YEAR(TODAY()),MONTH(TODAY()),1),A$2:A$613,"&lt;"&amp;DATE(YEAR(TODAY()),MONTH(TODAY())+1,1),B$2:B$613,$B$666),"")</f>
        <v/>
      </c>
      <c r="D666" s="10">
        <f>IFERROR(AVERAGEIFS(D$2:D$613,A$2:A$613,"&gt;="&amp;DATE(YEAR(TODAY()),MONTH(TODAY()),1),A$2:A$613,"&lt;"&amp;DATE(YEAR(TODAY()),MONTH(TODAY())+1,1),B$2:B$613,$B$666),"")</f>
        <v/>
      </c>
      <c r="E666" s="10">
        <f>IFERROR(AVERAGEIFS(E$2:E$613,A$2:A$613,"&gt;="&amp;DATE(YEAR(TODAY()),MONTH(TODAY()),1),A$2:A$613,"&lt;"&amp;DATE(YEAR(TODAY()),MONTH(TODAY())+1,1),B$2:B$613,$B$666),"")</f>
        <v/>
      </c>
      <c r="F666" s="11">
        <f>IFERROR(SUMPRODUCT((YEAR(A$2:A$613)=YEAR(TODAY()))*(MONTH(A$2:A$613)=MONTH(TODAY()))*(B$2:B$613=$B$666)*(F$2:F$613),"")</f>
        <v/>
      </c>
    </row>
    <row r="667">
      <c r="B667" s="2" t="inlineStr">
        <is>
          <t>电池级氢氧化锂(微粉）</t>
        </is>
      </c>
      <c r="C667" s="10">
        <f>IFERROR(AVERAGEIFS(C$2:C$613,A$2:A$613,"&gt;="&amp;DATE(YEAR(TODAY()),MONTH(TODAY()),1),A$2:A$613,"&lt;"&amp;DATE(YEAR(TODAY()),MONTH(TODAY())+1,1),B$2:B$613,$B$667),"")</f>
        <v/>
      </c>
      <c r="D667" s="10">
        <f>IFERROR(AVERAGEIFS(D$2:D$613,A$2:A$613,"&gt;="&amp;DATE(YEAR(TODAY()),MONTH(TODAY()),1),A$2:A$613,"&lt;"&amp;DATE(YEAR(TODAY()),MONTH(TODAY())+1,1),B$2:B$613,$B$667),"")</f>
        <v/>
      </c>
      <c r="E667" s="10">
        <f>IFERROR(AVERAGEIFS(E$2:E$613,A$2:A$613,"&gt;="&amp;DATE(YEAR(TODAY()),MONTH(TODAY()),1),A$2:A$613,"&lt;"&amp;DATE(YEAR(TODAY()),MONTH(TODAY())+1,1),B$2:B$613,$B$667),"")</f>
        <v/>
      </c>
      <c r="F667" s="11">
        <f>IFERROR(SUMPRODUCT((YEAR(A$2:A$613)=YEAR(TODAY()))*(MONTH(A$2:A$613)=MONTH(TODAY()))*(B$2:B$613=$B$667)*(F$2:F$613),"")</f>
        <v/>
      </c>
    </row>
    <row r="668">
      <c r="B668" s="2" t="inlineStr">
        <is>
          <t>电池级氢氧化锂（粗颗粒）</t>
        </is>
      </c>
      <c r="C668" s="10">
        <f>IFERROR(AVERAGEIFS(C$2:C$613,A$2:A$613,"&gt;="&amp;DATE(YEAR(TODAY()),MONTH(TODAY()),1),A$2:A$613,"&lt;"&amp;DATE(YEAR(TODAY()),MONTH(TODAY())+1,1),B$2:B$613,$B$668),"")</f>
        <v/>
      </c>
      <c r="D668" s="10">
        <f>IFERROR(AVERAGEIFS(D$2:D$613,A$2:A$613,"&gt;="&amp;DATE(YEAR(TODAY()),MONTH(TODAY()),1),A$2:A$613,"&lt;"&amp;DATE(YEAR(TODAY()),MONTH(TODAY())+1,1),B$2:B$613,$B$668),"")</f>
        <v/>
      </c>
      <c r="E668" s="10">
        <f>IFERROR(AVERAGEIFS(E$2:E$613,A$2:A$613,"&gt;="&amp;DATE(YEAR(TODAY()),MONTH(TODAY()),1),A$2:A$613,"&lt;"&amp;DATE(YEAR(TODAY()),MONTH(TODAY())+1,1),B$2:B$613,$B$668),"")</f>
        <v/>
      </c>
      <c r="F668" s="11">
        <f>IFERROR(SUMPRODUCT((YEAR(A$2:A$613)=YEAR(TODAY()))*(MONTH(A$2:A$613)=MONTH(TODAY()))*(B$2:B$613=$B$668)*(F$2:F$613),"")</f>
        <v/>
      </c>
    </row>
    <row r="669">
      <c r="B669" s="2" t="inlineStr">
        <is>
          <t>电池级硫酸锰（出厂价）</t>
        </is>
      </c>
      <c r="C669" s="10">
        <f>IFERROR(AVERAGEIFS(C$2:C$613,A$2:A$613,"&gt;="&amp;DATE(YEAR(TODAY()),MONTH(TODAY()),1),A$2:A$613,"&lt;"&amp;DATE(YEAR(TODAY()),MONTH(TODAY())+1,1),B$2:B$613,$B$669),"")</f>
        <v/>
      </c>
      <c r="D669" s="10">
        <f>IFERROR(AVERAGEIFS(D$2:D$613,A$2:A$613,"&gt;="&amp;DATE(YEAR(TODAY()),MONTH(TODAY()),1),A$2:A$613,"&lt;"&amp;DATE(YEAR(TODAY()),MONTH(TODAY())+1,1),B$2:B$613,$B$669),"")</f>
        <v/>
      </c>
      <c r="E669" s="10">
        <f>IFERROR(AVERAGEIFS(E$2:E$613,A$2:A$613,"&gt;="&amp;DATE(YEAR(TODAY()),MONTH(TODAY()),1),A$2:A$613,"&lt;"&amp;DATE(YEAR(TODAY()),MONTH(TODAY())+1,1),B$2:B$613,$B$669),"")</f>
        <v/>
      </c>
      <c r="F669" s="11">
        <f>IFERROR(SUMPRODUCT((YEAR(A$2:A$613)=YEAR(TODAY()))*(MONTH(A$2:A$613)=MONTH(TODAY()))*(B$2:B$613=$B$669)*(F$2:F$613),"")</f>
        <v/>
      </c>
    </row>
    <row r="670">
      <c r="B670" s="2" t="inlineStr">
        <is>
          <t>电池级硫酸镍</t>
        </is>
      </c>
      <c r="C670" s="10">
        <f>IFERROR(AVERAGEIFS(C$2:C$613,A$2:A$613,"&gt;="&amp;DATE(YEAR(TODAY()),MONTH(TODAY()),1),A$2:A$613,"&lt;"&amp;DATE(YEAR(TODAY()),MONTH(TODAY())+1,1),B$2:B$613,$B$670),"")</f>
        <v/>
      </c>
      <c r="D670" s="10">
        <f>IFERROR(AVERAGEIFS(D$2:D$613,A$2:A$613,"&gt;="&amp;DATE(YEAR(TODAY()),MONTH(TODAY()),1),A$2:A$613,"&lt;"&amp;DATE(YEAR(TODAY()),MONTH(TODAY())+1,1),B$2:B$613,$B$670),"")</f>
        <v/>
      </c>
      <c r="E670" s="10">
        <f>IFERROR(AVERAGEIFS(E$2:E$613,A$2:A$613,"&gt;="&amp;DATE(YEAR(TODAY()),MONTH(TODAY()),1),A$2:A$613,"&lt;"&amp;DATE(YEAR(TODAY()),MONTH(TODAY())+1,1),B$2:B$613,$B$670),"")</f>
        <v/>
      </c>
      <c r="F670" s="11">
        <f>IFERROR(SUMPRODUCT((YEAR(A$2:A$613)=YEAR(TODAY()))*(MONTH(A$2:A$613)=MONTH(TODAY()))*(B$2:B$613=$B$670)*(F$2:F$613),"")</f>
        <v/>
      </c>
    </row>
    <row r="671">
      <c r="B671" s="2" t="inlineStr">
        <is>
          <t>电池级碳酸锂</t>
        </is>
      </c>
      <c r="C671" s="10">
        <f>IFERROR(AVERAGEIFS(C$2:C$613,A$2:A$613,"&gt;="&amp;DATE(YEAR(TODAY()),MONTH(TODAY()),1),A$2:A$613,"&lt;"&amp;DATE(YEAR(TODAY()),MONTH(TODAY())+1,1),B$2:B$613,$B$671),"")</f>
        <v/>
      </c>
      <c r="D671" s="10">
        <f>IFERROR(AVERAGEIFS(D$2:D$613,A$2:A$613,"&gt;="&amp;DATE(YEAR(TODAY()),MONTH(TODAY()),1),A$2:A$613,"&lt;"&amp;DATE(YEAR(TODAY()),MONTH(TODAY())+1,1),B$2:B$613,$B$671),"")</f>
        <v/>
      </c>
      <c r="E671" s="10">
        <f>IFERROR(AVERAGEIFS(E$2:E$613,A$2:A$613,"&gt;="&amp;DATE(YEAR(TODAY()),MONTH(TODAY()),1),A$2:A$613,"&lt;"&amp;DATE(YEAR(TODAY()),MONTH(TODAY())+1,1),B$2:B$613,$B$671),"")</f>
        <v/>
      </c>
      <c r="F671" s="11">
        <f>IFERROR(SUMPRODUCT((YEAR(A$2:A$613)=YEAR(TODAY()))*(MONTH(A$2:A$613)=MONTH(TODAY()))*(B$2:B$613=$B$671)*(F$2:F$613),"")</f>
        <v/>
      </c>
    </row>
    <row r="672">
      <c r="B672" s="2" t="inlineStr">
        <is>
          <t>电池级碳酸锂(CIF韩国)</t>
        </is>
      </c>
      <c r="C672" s="10">
        <f>IFERROR(AVERAGEIFS(C$2:C$613,A$2:A$613,"&gt;="&amp;DATE(YEAR(TODAY()),MONTH(TODAY()),1),A$2:A$613,"&lt;"&amp;DATE(YEAR(TODAY()),MONTH(TODAY())+1,1),B$2:B$613,$B$672),"")</f>
        <v/>
      </c>
      <c r="D672" s="10">
        <f>IFERROR(AVERAGEIFS(D$2:D$613,A$2:A$613,"&gt;="&amp;DATE(YEAR(TODAY()),MONTH(TODAY()),1),A$2:A$613,"&lt;"&amp;DATE(YEAR(TODAY()),MONTH(TODAY())+1,1),B$2:B$613,$B$672),"")</f>
        <v/>
      </c>
      <c r="E672" s="10">
        <f>IFERROR(AVERAGEIFS(E$2:E$613,A$2:A$613,"&gt;="&amp;DATE(YEAR(TODAY()),MONTH(TODAY()),1),A$2:A$613,"&lt;"&amp;DATE(YEAR(TODAY()),MONTH(TODAY())+1,1),B$2:B$613,$B$672),"")</f>
        <v/>
      </c>
      <c r="F672" s="11">
        <f>IFERROR(SUMPRODUCT((YEAR(A$2:A$613)=YEAR(TODAY()))*(MONTH(A$2:A$613)=MONTH(TODAY()))*(B$2:B$613=$B$672)*(F$2:F$613),"")</f>
        <v/>
      </c>
    </row>
    <row r="673">
      <c r="B673" s="2" t="inlineStr">
        <is>
          <t>电池级碳酸锂（CIF中日韩）</t>
        </is>
      </c>
      <c r="C673" s="10">
        <f>IFERROR(AVERAGEIFS(C$2:C$613,A$2:A$613,"&gt;="&amp;DATE(YEAR(TODAY()),MONTH(TODAY()),1),A$2:A$613,"&lt;"&amp;DATE(YEAR(TODAY()),MONTH(TODAY())+1,1),B$2:B$613,$B$673),"")</f>
        <v/>
      </c>
      <c r="D673" s="10">
        <f>IFERROR(AVERAGEIFS(D$2:D$613,A$2:A$613,"&gt;="&amp;DATE(YEAR(TODAY()),MONTH(TODAY()),1),A$2:A$613,"&lt;"&amp;DATE(YEAR(TODAY()),MONTH(TODAY())+1,1),B$2:B$613,$B$673),"")</f>
        <v/>
      </c>
      <c r="E673" s="10">
        <f>IFERROR(AVERAGEIFS(E$2:E$613,A$2:A$613,"&gt;="&amp;DATE(YEAR(TODAY()),MONTH(TODAY()),1),A$2:A$613,"&lt;"&amp;DATE(YEAR(TODAY()),MONTH(TODAY())+1,1),B$2:B$613,$B$673),"")</f>
        <v/>
      </c>
      <c r="F673" s="11">
        <f>IFERROR(SUMPRODUCT((YEAR(A$2:A$613)=YEAR(TODAY()))*(MONTH(A$2:A$613)=MONTH(TODAY()))*(B$2:B$613=$B$673)*(F$2:F$613),"")</f>
        <v/>
      </c>
    </row>
    <row r="674">
      <c r="B674" s="2" t="inlineStr">
        <is>
          <t>电池级金属锂</t>
        </is>
      </c>
      <c r="C674" s="10">
        <f>IFERROR(AVERAGEIFS(C$2:C$613,A$2:A$613,"&gt;="&amp;DATE(YEAR(TODAY()),MONTH(TODAY()),1),A$2:A$613,"&lt;"&amp;DATE(YEAR(TODAY()),MONTH(TODAY())+1,1),B$2:B$613,$B$674),"")</f>
        <v/>
      </c>
      <c r="D674" s="10">
        <f>IFERROR(AVERAGEIFS(D$2:D$613,A$2:A$613,"&gt;="&amp;DATE(YEAR(TODAY()),MONTH(TODAY()),1),A$2:A$613,"&lt;"&amp;DATE(YEAR(TODAY()),MONTH(TODAY())+1,1),B$2:B$613,$B$674),"")</f>
        <v/>
      </c>
      <c r="E674" s="10">
        <f>IFERROR(AVERAGEIFS(E$2:E$613,A$2:A$613,"&gt;="&amp;DATE(YEAR(TODAY()),MONTH(TODAY()),1),A$2:A$613,"&lt;"&amp;DATE(YEAR(TODAY()),MONTH(TODAY())+1,1),B$2:B$613,$B$674),"")</f>
        <v/>
      </c>
      <c r="F674" s="11">
        <f>IFERROR(SUMPRODUCT((YEAR(A$2:A$613)=YEAR(TODAY()))*(MONTH(A$2:A$613)=MONTH(TODAY()))*(B$2:B$613=$B$674)*(F$2:F$613),"")</f>
        <v/>
      </c>
    </row>
    <row r="675">
      <c r="B675" s="2" t="inlineStr">
        <is>
          <t>电解钴</t>
        </is>
      </c>
      <c r="C675" s="10">
        <f>IFERROR(AVERAGEIFS(C$2:C$613,A$2:A$613,"&gt;="&amp;DATE(YEAR(TODAY()),MONTH(TODAY()),1),A$2:A$613,"&lt;"&amp;DATE(YEAR(TODAY()),MONTH(TODAY())+1,1),B$2:B$613,$B$675),"")</f>
        <v/>
      </c>
      <c r="D675" s="10">
        <f>IFERROR(AVERAGEIFS(D$2:D$613,A$2:A$613,"&gt;="&amp;DATE(YEAR(TODAY()),MONTH(TODAY()),1),A$2:A$613,"&lt;"&amp;DATE(YEAR(TODAY()),MONTH(TODAY())+1,1),B$2:B$613,$B$675),"")</f>
        <v/>
      </c>
      <c r="E675" s="10">
        <f>IFERROR(AVERAGEIFS(E$2:E$613,A$2:A$613,"&gt;="&amp;DATE(YEAR(TODAY()),MONTH(TODAY()),1),A$2:A$613,"&lt;"&amp;DATE(YEAR(TODAY()),MONTH(TODAY())+1,1),B$2:B$613,$B$675),"")</f>
        <v/>
      </c>
      <c r="F675" s="11">
        <f>IFERROR(SUMPRODUCT((YEAR(A$2:A$613)=YEAR(TODAY()))*(MONTH(A$2:A$613)=MONTH(TODAY()))*(B$2:B$613=$B$675)*(F$2:F$613),"")</f>
        <v/>
      </c>
    </row>
    <row r="676">
      <c r="B676" s="2" t="inlineStr">
        <is>
          <t>电解钴（鹿特丹仓库）</t>
        </is>
      </c>
      <c r="C676" s="10">
        <f>IFERROR(AVERAGEIFS(C$2:C$613,A$2:A$613,"&gt;="&amp;DATE(YEAR(TODAY()),MONTH(TODAY()),1),A$2:A$613,"&lt;"&amp;DATE(YEAR(TODAY()),MONTH(TODAY())+1,1),B$2:B$613,$B$676),"")</f>
        <v/>
      </c>
      <c r="D676" s="10">
        <f>IFERROR(AVERAGEIFS(D$2:D$613,A$2:A$613,"&gt;="&amp;DATE(YEAR(TODAY()),MONTH(TODAY()),1),A$2:A$613,"&lt;"&amp;DATE(YEAR(TODAY()),MONTH(TODAY())+1,1),B$2:B$613,$B$676),"")</f>
        <v/>
      </c>
      <c r="E676" s="10">
        <f>IFERROR(AVERAGEIFS(E$2:E$613,A$2:A$613,"&gt;="&amp;DATE(YEAR(TODAY()),MONTH(TODAY()),1),A$2:A$613,"&lt;"&amp;DATE(YEAR(TODAY()),MONTH(TODAY())+1,1),B$2:B$613,$B$676),"")</f>
        <v/>
      </c>
      <c r="F676" s="11">
        <f>IFERROR(SUMPRODUCT((YEAR(A$2:A$613)=YEAR(TODAY()))*(MONTH(A$2:A$613)=MONTH(TODAY()))*(B$2:B$613=$B$676)*(F$2:F$613),"")</f>
        <v/>
      </c>
    </row>
    <row r="677">
      <c r="B677" s="2" t="inlineStr">
        <is>
          <t>电镀级硫酸镍</t>
        </is>
      </c>
      <c r="C677" s="10">
        <f>IFERROR(AVERAGEIFS(C$2:C$613,A$2:A$613,"&gt;="&amp;DATE(YEAR(TODAY()),MONTH(TODAY()),1),A$2:A$613,"&lt;"&amp;DATE(YEAR(TODAY()),MONTH(TODAY())+1,1),B$2:B$613,$B$677),"")</f>
        <v/>
      </c>
      <c r="D677" s="10">
        <f>IFERROR(AVERAGEIFS(D$2:D$613,A$2:A$613,"&gt;="&amp;DATE(YEAR(TODAY()),MONTH(TODAY()),1),A$2:A$613,"&lt;"&amp;DATE(YEAR(TODAY()),MONTH(TODAY())+1,1),B$2:B$613,$B$677),"")</f>
        <v/>
      </c>
      <c r="E677" s="10">
        <f>IFERROR(AVERAGEIFS(E$2:E$613,A$2:A$613,"&gt;="&amp;DATE(YEAR(TODAY()),MONTH(TODAY()),1),A$2:A$613,"&lt;"&amp;DATE(YEAR(TODAY()),MONTH(TODAY())+1,1),B$2:B$613,$B$677),"")</f>
        <v/>
      </c>
      <c r="F677" s="11">
        <f>IFERROR(SUMPRODUCT((YEAR(A$2:A$613)=YEAR(TODAY()))*(MONTH(A$2:A$613)=MONTH(TODAY()))*(B$2:B$613=$B$677)*(F$2:F$613),"")</f>
        <v/>
      </c>
    </row>
    <row r="678">
      <c r="B678" s="2" t="inlineStr">
        <is>
          <t>硫酸钴</t>
        </is>
      </c>
      <c r="C678" s="10">
        <f>IFERROR(AVERAGEIFS(C$2:C$613,A$2:A$613,"&gt;="&amp;DATE(YEAR(TODAY()),MONTH(TODAY()),1),A$2:A$613,"&lt;"&amp;DATE(YEAR(TODAY()),MONTH(TODAY())+1,1),B$2:B$613,$B$678),"")</f>
        <v/>
      </c>
      <c r="D678" s="10">
        <f>IFERROR(AVERAGEIFS(D$2:D$613,A$2:A$613,"&gt;="&amp;DATE(YEAR(TODAY()),MONTH(TODAY()),1),A$2:A$613,"&lt;"&amp;DATE(YEAR(TODAY()),MONTH(TODAY())+1,1),B$2:B$613,$B$678),"")</f>
        <v/>
      </c>
      <c r="E678" s="10">
        <f>IFERROR(AVERAGEIFS(E$2:E$613,A$2:A$613,"&gt;="&amp;DATE(YEAR(TODAY()),MONTH(TODAY()),1),A$2:A$613,"&lt;"&amp;DATE(YEAR(TODAY()),MONTH(TODAY())+1,1),B$2:B$613,$B$678),"")</f>
        <v/>
      </c>
      <c r="F678" s="11">
        <f>IFERROR(SUMPRODUCT((YEAR(A$2:A$613)=YEAR(TODAY()))*(MONTH(A$2:A$613)=MONTH(TODAY()))*(B$2:B$613=$B$678)*(F$2:F$613),"")</f>
        <v/>
      </c>
    </row>
    <row r="679">
      <c r="B679" s="2" t="inlineStr">
        <is>
          <t>碳酸钴</t>
        </is>
      </c>
      <c r="C679" s="10">
        <f>IFERROR(AVERAGEIFS(C$2:C$613,A$2:A$613,"&gt;="&amp;DATE(YEAR(TODAY()),MONTH(TODAY()),1),A$2:A$613,"&lt;"&amp;DATE(YEAR(TODAY()),MONTH(TODAY())+1,1),B$2:B$613,$B$679),"")</f>
        <v/>
      </c>
      <c r="D679" s="10">
        <f>IFERROR(AVERAGEIFS(D$2:D$613,A$2:A$613,"&gt;="&amp;DATE(YEAR(TODAY()),MONTH(TODAY()),1),A$2:A$613,"&lt;"&amp;DATE(YEAR(TODAY()),MONTH(TODAY())+1,1),B$2:B$613,$B$679),"")</f>
        <v/>
      </c>
      <c r="E679" s="10">
        <f>IFERROR(AVERAGEIFS(E$2:E$613,A$2:A$613,"&gt;="&amp;DATE(YEAR(TODAY()),MONTH(TODAY()),1),A$2:A$613,"&lt;"&amp;DATE(YEAR(TODAY()),MONTH(TODAY())+1,1),B$2:B$613,$B$679),"")</f>
        <v/>
      </c>
      <c r="F679" s="11">
        <f>IFERROR(SUMPRODUCT((YEAR(A$2:A$613)=YEAR(TODAY()))*(MONTH(A$2:A$613)=MONTH(TODAY()))*(B$2:B$613=$B$679)*(F$2:F$613),"")</f>
        <v/>
      </c>
    </row>
    <row r="680">
      <c r="B680" s="2" t="inlineStr">
        <is>
          <t>磷酸铁锂</t>
        </is>
      </c>
      <c r="C680" s="10">
        <f>IFERROR(AVERAGEIFS(C$2:C$613,A$2:A$613,"&gt;="&amp;DATE(YEAR(TODAY()),MONTH(TODAY()),1),A$2:A$613,"&lt;"&amp;DATE(YEAR(TODAY()),MONTH(TODAY())+1,1),B$2:B$613,$B$680),"")</f>
        <v/>
      </c>
      <c r="D680" s="10">
        <f>IFERROR(AVERAGEIFS(D$2:D$613,A$2:A$613,"&gt;="&amp;DATE(YEAR(TODAY()),MONTH(TODAY()),1),A$2:A$613,"&lt;"&amp;DATE(YEAR(TODAY()),MONTH(TODAY())+1,1),B$2:B$613,$B$680),"")</f>
        <v/>
      </c>
      <c r="E680" s="10">
        <f>IFERROR(AVERAGEIFS(E$2:E$613,A$2:A$613,"&gt;="&amp;DATE(YEAR(TODAY()),MONTH(TODAY()),1),A$2:A$613,"&lt;"&amp;DATE(YEAR(TODAY()),MONTH(TODAY())+1,1),B$2:B$613,$B$680),"")</f>
        <v/>
      </c>
      <c r="F680" s="11">
        <f>IFERROR(SUMPRODUCT((YEAR(A$2:A$613)=YEAR(TODAY()))*(MONTH(A$2:A$613)=MONTH(TODAY()))*(B$2:B$613=$B$680)*(F$2:F$613),"")</f>
        <v/>
      </c>
    </row>
    <row r="681">
      <c r="B681" s="2" t="inlineStr">
        <is>
          <t>磷酸锰铁锂</t>
        </is>
      </c>
      <c r="C681" s="10">
        <f>IFERROR(AVERAGEIFS(C$2:C$613,A$2:A$613,"&gt;="&amp;DATE(YEAR(TODAY()),MONTH(TODAY()),1),A$2:A$613,"&lt;"&amp;DATE(YEAR(TODAY()),MONTH(TODAY())+1,1),B$2:B$613,$B$681),"")</f>
        <v/>
      </c>
      <c r="D681" s="10">
        <f>IFERROR(AVERAGEIFS(D$2:D$613,A$2:A$613,"&gt;="&amp;DATE(YEAR(TODAY()),MONTH(TODAY()),1),A$2:A$613,"&lt;"&amp;DATE(YEAR(TODAY()),MONTH(TODAY())+1,1),B$2:B$613,$B$681),"")</f>
        <v/>
      </c>
      <c r="E681" s="10">
        <f>IFERROR(AVERAGEIFS(E$2:E$613,A$2:A$613,"&gt;="&amp;DATE(YEAR(TODAY()),MONTH(TODAY()),1),A$2:A$613,"&lt;"&amp;DATE(YEAR(TODAY()),MONTH(TODAY())+1,1),B$2:B$613,$B$681),"")</f>
        <v/>
      </c>
      <c r="F681" s="11">
        <f>IFERROR(SUMPRODUCT((YEAR(A$2:A$613)=YEAR(TODAY()))*(MONTH(A$2:A$613)=MONTH(TODAY()))*(B$2:B$613=$B$681)*(F$2:F$613),"")</f>
        <v/>
      </c>
    </row>
    <row r="682">
      <c r="B682" s="2" t="inlineStr">
        <is>
          <t>金属钴FOB</t>
        </is>
      </c>
      <c r="C682" s="10">
        <f>IFERROR(AVERAGEIFS(C$2:C$613,A$2:A$613,"&gt;="&amp;DATE(YEAR(TODAY()),MONTH(TODAY()),1),A$2:A$613,"&lt;"&amp;DATE(YEAR(TODAY()),MONTH(TODAY())+1,1),B$2:B$613,$B$682),"")</f>
        <v/>
      </c>
      <c r="D682" s="10">
        <f>IFERROR(AVERAGEIFS(D$2:D$613,A$2:A$613,"&gt;="&amp;DATE(YEAR(TODAY()),MONTH(TODAY()),1),A$2:A$613,"&lt;"&amp;DATE(YEAR(TODAY()),MONTH(TODAY())+1,1),B$2:B$613,$B$682),"")</f>
        <v/>
      </c>
      <c r="E682" s="10">
        <f>IFERROR(AVERAGEIFS(E$2:E$613,A$2:A$613,"&gt;="&amp;DATE(YEAR(TODAY()),MONTH(TODAY()),1),A$2:A$613,"&lt;"&amp;DATE(YEAR(TODAY()),MONTH(TODAY())+1,1),B$2:B$613,$B$682),"")</f>
        <v/>
      </c>
      <c r="F682" s="11">
        <f>IFERROR(SUMPRODUCT((YEAR(A$2:A$613)=YEAR(TODAY()))*(MONTH(A$2:A$613)=MONTH(TODAY()))*(B$2:B$613=$B$682)*(F$2:F$613),"")</f>
        <v/>
      </c>
    </row>
    <row r="683">
      <c r="B683" s="2" t="inlineStr">
        <is>
          <t>钴中间品中钴含量≥30%</t>
        </is>
      </c>
      <c r="C683" s="10">
        <f>IFERROR(AVERAGEIFS(C$2:C$613,A$2:A$613,"&gt;="&amp;DATE(YEAR(TODAY()),MONTH(TODAY()),1),A$2:A$613,"&lt;"&amp;DATE(YEAR(TODAY()),MONTH(TODAY())+1,1),B$2:B$613,$B$683),"")</f>
        <v/>
      </c>
      <c r="D683" s="10">
        <f>IFERROR(AVERAGEIFS(D$2:D$613,A$2:A$613,"&gt;="&amp;DATE(YEAR(TODAY()),MONTH(TODAY()),1),A$2:A$613,"&lt;"&amp;DATE(YEAR(TODAY()),MONTH(TODAY())+1,1),B$2:B$613,$B$683),"")</f>
        <v/>
      </c>
      <c r="E683" s="10">
        <f>IFERROR(AVERAGEIFS(E$2:E$613,A$2:A$613,"&gt;="&amp;DATE(YEAR(TODAY()),MONTH(TODAY()),1),A$2:A$613,"&lt;"&amp;DATE(YEAR(TODAY()),MONTH(TODAY())+1,1),B$2:B$613,$B$683),"")</f>
        <v/>
      </c>
      <c r="F683" s="11">
        <f>IFERROR(SUMPRODUCT((YEAR(A$2:A$613)=YEAR(TODAY()))*(MONTH(A$2:A$613)=MONTH(TODAY()))*(B$2:B$613=$B$683)*(F$2:F$613),"")</f>
        <v/>
      </c>
    </row>
    <row r="684">
      <c r="B684" s="2" t="inlineStr">
        <is>
          <t>钴中间品原料计价系数（对SMM硫酸钴均价）</t>
        </is>
      </c>
      <c r="C684" s="10">
        <f>IFERROR(AVERAGEIFS(C$2:C$613,A$2:A$613,"&gt;="&amp;DATE(YEAR(TODAY()),MONTH(TODAY()),1),A$2:A$613,"&lt;"&amp;DATE(YEAR(TODAY()),MONTH(TODAY())+1,1),B$2:B$613,$B$684),"")</f>
        <v/>
      </c>
      <c r="D684" s="10">
        <f>IFERROR(AVERAGEIFS(D$2:D$613,A$2:A$613,"&gt;="&amp;DATE(YEAR(TODAY()),MONTH(TODAY()),1),A$2:A$613,"&lt;"&amp;DATE(YEAR(TODAY()),MONTH(TODAY())+1,1),B$2:B$613,$B$684),"")</f>
        <v/>
      </c>
      <c r="E684" s="10">
        <f>IFERROR(AVERAGEIFS(E$2:E$613,A$2:A$613,"&gt;="&amp;DATE(YEAR(TODAY()),MONTH(TODAY()),1),A$2:A$613,"&lt;"&amp;DATE(YEAR(TODAY()),MONTH(TODAY())+1,1),B$2:B$613,$B$684),"")</f>
        <v/>
      </c>
      <c r="F684" s="11">
        <f>IFERROR(SUMPRODUCT((YEAR(A$2:A$613)=YEAR(TODAY()))*(MONTH(A$2:A$613)=MONTH(TODAY()))*(B$2:B$613=$B$684)*(F$2:F$613),"")</f>
        <v/>
      </c>
    </row>
    <row r="685">
      <c r="B685" s="2" t="inlineStr">
        <is>
          <t>钴酸锂</t>
        </is>
      </c>
      <c r="C685" s="10">
        <f>IFERROR(AVERAGEIFS(C$2:C$613,A$2:A$613,"&gt;="&amp;DATE(YEAR(TODAY()),MONTH(TODAY()),1),A$2:A$613,"&lt;"&amp;DATE(YEAR(TODAY()),MONTH(TODAY())+1,1),B$2:B$613,$B$685),"")</f>
        <v/>
      </c>
      <c r="D685" s="10">
        <f>IFERROR(AVERAGEIFS(D$2:D$613,A$2:A$613,"&gt;="&amp;DATE(YEAR(TODAY()),MONTH(TODAY()),1),A$2:A$613,"&lt;"&amp;DATE(YEAR(TODAY()),MONTH(TODAY())+1,1),B$2:B$613,$B$685),"")</f>
        <v/>
      </c>
      <c r="E685" s="10">
        <f>IFERROR(AVERAGEIFS(E$2:E$613,A$2:A$613,"&gt;="&amp;DATE(YEAR(TODAY()),MONTH(TODAY()),1),A$2:A$613,"&lt;"&amp;DATE(YEAR(TODAY()),MONTH(TODAY())+1,1),B$2:B$613,$B$685),"")</f>
        <v/>
      </c>
      <c r="F685" s="11">
        <f>IFERROR(SUMPRODUCT((YEAR(A$2:A$613)=YEAR(TODAY()))*(MONTH(A$2:A$613)=MONTH(TODAY()))*(B$2:B$613=$B$685)*(F$2:F$613),"")</f>
        <v/>
      </c>
    </row>
    <row r="686">
      <c r="B686" s="2" t="inlineStr">
        <is>
          <t>钴酸锂聚合物软包</t>
        </is>
      </c>
      <c r="C686" s="10">
        <f>IFERROR(AVERAGEIFS(C$2:C$613,A$2:A$613,"&gt;="&amp;DATE(YEAR(TODAY()),MONTH(TODAY()),1),A$2:A$613,"&lt;"&amp;DATE(YEAR(TODAY()),MONTH(TODAY())+1,1),B$2:B$613,$B$686),"")</f>
        <v/>
      </c>
      <c r="D686" s="10">
        <f>IFERROR(AVERAGEIFS(D$2:D$613,A$2:A$613,"&gt;="&amp;DATE(YEAR(TODAY()),MONTH(TODAY()),1),A$2:A$613,"&lt;"&amp;DATE(YEAR(TODAY()),MONTH(TODAY())+1,1),B$2:B$613,$B$686),"")</f>
        <v/>
      </c>
      <c r="E686" s="10">
        <f>IFERROR(AVERAGEIFS(E$2:E$613,A$2:A$613,"&gt;="&amp;DATE(YEAR(TODAY()),MONTH(TODAY()),1),A$2:A$613,"&lt;"&amp;DATE(YEAR(TODAY()),MONTH(TODAY())+1,1),B$2:B$613,$B$686),"")</f>
        <v/>
      </c>
      <c r="F686" s="11">
        <f>IFERROR(SUMPRODUCT((YEAR(A$2:A$613)=YEAR(TODAY()))*(MONTH(A$2:A$613)=MONTH(TODAY()))*(B$2:B$613=$B$686)*(F$2:F$613),"")</f>
        <v/>
      </c>
    </row>
    <row r="687">
      <c r="B687" s="2" t="inlineStr">
        <is>
          <t>钴酸锂铝壳</t>
        </is>
      </c>
      <c r="C687" s="10">
        <f>IFERROR(AVERAGEIFS(C$2:C$613,A$2:A$613,"&gt;="&amp;DATE(YEAR(TODAY()),MONTH(TODAY()),1),A$2:A$613,"&lt;"&amp;DATE(YEAR(TODAY()),MONTH(TODAY())+1,1),B$2:B$613,$B$687),"")</f>
        <v/>
      </c>
      <c r="D687" s="10">
        <f>IFERROR(AVERAGEIFS(D$2:D$613,A$2:A$613,"&gt;="&amp;DATE(YEAR(TODAY()),MONTH(TODAY()),1),A$2:A$613,"&lt;"&amp;DATE(YEAR(TODAY()),MONTH(TODAY())+1,1),B$2:B$613,$B$687),"")</f>
        <v/>
      </c>
      <c r="E687" s="10">
        <f>IFERROR(AVERAGEIFS(E$2:E$613,A$2:A$613,"&gt;="&amp;DATE(YEAR(TODAY()),MONTH(TODAY()),1),A$2:A$613,"&lt;"&amp;DATE(YEAR(TODAY()),MONTH(TODAY())+1,1),B$2:B$613,$B$687),"")</f>
        <v/>
      </c>
      <c r="F687" s="11">
        <f>IFERROR(SUMPRODUCT((YEAR(A$2:A$613)=YEAR(TODAY()))*(MONTH(A$2:A$613)=MONTH(TODAY()))*(B$2:B$613=$B$687)*(F$2:F$613),"")</f>
        <v/>
      </c>
    </row>
    <row r="688">
      <c r="B688" s="2" t="inlineStr">
        <is>
          <t>锰酸锂圆柱钢壳</t>
        </is>
      </c>
      <c r="C688" s="10">
        <f>IFERROR(AVERAGEIFS(C$2:C$613,A$2:A$613,"&gt;="&amp;DATE(YEAR(TODAY()),MONTH(TODAY()),1),A$2:A$613,"&lt;"&amp;DATE(YEAR(TODAY()),MONTH(TODAY())+1,1),B$2:B$613,$B$688),"")</f>
        <v/>
      </c>
      <c r="D688" s="10">
        <f>IFERROR(AVERAGEIFS(D$2:D$613,A$2:A$613,"&gt;="&amp;DATE(YEAR(TODAY()),MONTH(TODAY()),1),A$2:A$613,"&lt;"&amp;DATE(YEAR(TODAY()),MONTH(TODAY())+1,1),B$2:B$613,$B$688),"")</f>
        <v/>
      </c>
      <c r="E688" s="10">
        <f>IFERROR(AVERAGEIFS(E$2:E$613,A$2:A$613,"&gt;="&amp;DATE(YEAR(TODAY()),MONTH(TODAY()),1),A$2:A$613,"&lt;"&amp;DATE(YEAR(TODAY()),MONTH(TODAY())+1,1),B$2:B$613,$B$688),"")</f>
        <v/>
      </c>
      <c r="F688" s="11">
        <f>IFERROR(SUMPRODUCT((YEAR(A$2:A$613)=YEAR(TODAY()))*(MONTH(A$2:A$613)=MONTH(TODAY()))*(B$2:B$613=$B$688)*(F$2:F$613),"")</f>
        <v/>
      </c>
    </row>
    <row r="689">
      <c r="B689" s="2" t="inlineStr">
        <is>
          <t>非洲硫酸锂(CIF中国)</t>
        </is>
      </c>
      <c r="C689" s="10">
        <f>IFERROR(AVERAGEIFS(C$2:C$613,A$2:A$613,"&gt;="&amp;DATE(YEAR(TODAY()),MONTH(TODAY()),1),A$2:A$613,"&lt;"&amp;DATE(YEAR(TODAY()),MONTH(TODAY())+1,1),B$2:B$613,$B$689),"")</f>
        <v/>
      </c>
      <c r="D689" s="10">
        <f>IFERROR(AVERAGEIFS(D$2:D$613,A$2:A$613,"&gt;="&amp;DATE(YEAR(TODAY()),MONTH(TODAY()),1),A$2:A$613,"&lt;"&amp;DATE(YEAR(TODAY()),MONTH(TODAY())+1,1),B$2:B$613,$B$689),"")</f>
        <v/>
      </c>
      <c r="E689" s="10">
        <f>IFERROR(AVERAGEIFS(E$2:E$613,A$2:A$613,"&gt;="&amp;DATE(YEAR(TODAY()),MONTH(TODAY()),1),A$2:A$613,"&lt;"&amp;DATE(YEAR(TODAY()),MONTH(TODAY())+1,1),B$2:B$613,$B$689),"")</f>
        <v/>
      </c>
      <c r="F689" s="11">
        <f>IFERROR(SUMPRODUCT((YEAR(A$2:A$613)=YEAR(TODAY()))*(MONTH(A$2:A$613)=MONTH(TODAY()))*(B$2:B$613=$B$689)*(F$2:F$613),"")</f>
        <v/>
      </c>
    </row>
    <row r="690">
      <c r="B690" s="2" t="inlineStr">
        <is>
          <t>非洲锂辉石精矿（CIF中国）指数</t>
        </is>
      </c>
      <c r="C690" s="10">
        <f>IFERROR(AVERAGEIFS(C$2:C$613,A$2:A$613,"&gt;="&amp;DATE(YEAR(TODAY()),MONTH(TODAY()),1),A$2:A$613,"&lt;"&amp;DATE(YEAR(TODAY()),MONTH(TODAY())+1,1),B$2:B$613,$B$690),"")</f>
        <v/>
      </c>
      <c r="D690" s="10">
        <f>IFERROR(AVERAGEIFS(D$2:D$613,A$2:A$613,"&gt;="&amp;DATE(YEAR(TODAY()),MONTH(TODAY()),1),A$2:A$613,"&lt;"&amp;DATE(YEAR(TODAY()),MONTH(TODAY())+1,1),B$2:B$613,$B$690),"")</f>
        <v/>
      </c>
      <c r="E690" s="10">
        <f>IFERROR(AVERAGEIFS(E$2:E$613,A$2:A$613,"&gt;="&amp;DATE(YEAR(TODAY()),MONTH(TODAY()),1),A$2:A$613,"&lt;"&amp;DATE(YEAR(TODAY()),MONTH(TODAY())+1,1),B$2:B$613,$B$690),"")</f>
        <v/>
      </c>
      <c r="F690" s="11">
        <f>IFERROR(SUMPRODUCT((YEAR(A$2:A$613)=YEAR(TODAY()))*(MONTH(A$2:A$613)=MONTH(TODAY()))*(B$2:B$613=$B$690)*(F$2:F$613),"")</f>
        <v/>
      </c>
    </row>
  </sheetData>
  <autoFilter ref="A1:H613"/>
  <mergeCells count="1">
    <mergeCell ref="A615:H6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0" customWidth="1" min="9" max="9"/>
    <col width="14" customWidth="1" min="10" max="10"/>
  </cols>
  <sheetData>
    <row r="1">
      <c r="A1" s="1" t="inlineStr">
        <is>
          <t>日期</t>
        </is>
      </c>
      <c r="B1" s="1" t="inlineStr">
        <is>
          <t>分类</t>
        </is>
      </c>
      <c r="C1" s="1" t="inlineStr">
        <is>
          <t>产品</t>
        </is>
      </c>
      <c r="D1" s="1" t="inlineStr">
        <is>
          <t>收盘价</t>
        </is>
      </c>
      <c r="E1" s="1" t="inlineStr">
        <is>
          <t>结算价</t>
        </is>
      </c>
      <c r="F1" s="1" t="inlineStr">
        <is>
          <t>最高</t>
        </is>
      </c>
      <c r="G1" s="1" t="inlineStr">
        <is>
          <t>最低</t>
        </is>
      </c>
      <c r="H1" s="1" t="inlineStr">
        <is>
          <t>涨跌</t>
        </is>
      </c>
      <c r="I1" s="1" t="inlineStr">
        <is>
          <t>单位</t>
        </is>
      </c>
      <c r="J1" s="1" t="inlineStr">
        <is>
          <t>数据来源</t>
        </is>
      </c>
    </row>
    <row r="2">
      <c r="A2" s="2" t="inlineStr">
        <is>
          <t>2026/06/14</t>
        </is>
      </c>
      <c r="B2" s="2" t="inlineStr">
        <is>
          <t>国内期货</t>
        </is>
      </c>
      <c r="C2" s="2" t="inlineStr">
        <is>
          <t>沪镍(NI)连续</t>
        </is>
      </c>
      <c r="D2" s="4" t="n">
        <v>131640</v>
      </c>
      <c r="E2" s="4" t="n">
        <v>133550</v>
      </c>
      <c r="F2" s="4" t="n">
        <v>133980</v>
      </c>
      <c r="G2" s="4" t="n">
        <v>131780</v>
      </c>
      <c r="H2" s="4" t="n">
        <v>-1850</v>
      </c>
      <c r="I2" s="5" t="inlineStr">
        <is>
          <t>元/吨</t>
        </is>
      </c>
      <c r="J2" s="5" t="inlineStr">
        <is>
          <t>上期所</t>
        </is>
      </c>
    </row>
    <row r="3">
      <c r="A3" s="2" t="inlineStr">
        <is>
          <t>2026/06/14</t>
        </is>
      </c>
      <c r="B3" s="2" t="inlineStr">
        <is>
          <t>国内期货</t>
        </is>
      </c>
      <c r="C3" s="2" t="inlineStr">
        <is>
          <t>美元/人民币(USDCNY)</t>
        </is>
      </c>
      <c r="D3" s="6" t="n">
        <v>6.7641</v>
      </c>
      <c r="E3" s="5" t="n"/>
      <c r="F3" s="6" t="n">
        <v>6.7783</v>
      </c>
      <c r="G3" s="6" t="n">
        <v>6.76</v>
      </c>
      <c r="H3" s="5" t="n"/>
      <c r="I3" s="5" t="inlineStr">
        <is>
          <t>人民币</t>
        </is>
      </c>
      <c r="J3" s="5" t="inlineStr">
        <is>
          <t>新浪财经</t>
        </is>
      </c>
    </row>
    <row r="4">
      <c r="A4" s="2" t="inlineStr">
        <is>
          <t>2026/06/14</t>
        </is>
      </c>
      <c r="B4" s="2" t="inlineStr">
        <is>
          <t>国际期货</t>
        </is>
      </c>
      <c r="C4" s="2" t="inlineStr">
        <is>
          <t>CME氢氧化锂</t>
        </is>
      </c>
      <c r="D4" s="6" t="n">
        <v>21.96</v>
      </c>
      <c r="E4" s="5" t="n"/>
      <c r="F4" s="5" t="n"/>
      <c r="G4" s="5" t="n"/>
      <c r="H4" s="6" t="n">
        <v>-0.29</v>
      </c>
      <c r="I4" s="5" t="inlineStr">
        <is>
          <t>USD</t>
        </is>
      </c>
      <c r="J4" s="5" t="inlineStr">
        <is>
          <t>Yahoo Finance</t>
        </is>
      </c>
    </row>
    <row r="5">
      <c r="A5" s="2" t="inlineStr">
        <is>
          <t>2026/06/14</t>
        </is>
      </c>
      <c r="B5" s="2" t="inlineStr">
        <is>
          <t>国际期货</t>
        </is>
      </c>
      <c r="C5" s="2" t="inlineStr">
        <is>
          <t>CME钴</t>
        </is>
      </c>
      <c r="D5" s="6" t="n">
        <v>25.1</v>
      </c>
      <c r="E5" s="5" t="n"/>
      <c r="F5" s="5" t="n"/>
      <c r="G5" s="5" t="n"/>
      <c r="H5" s="4" t="n">
        <v>0</v>
      </c>
      <c r="I5" s="5" t="inlineStr">
        <is>
          <t>USD</t>
        </is>
      </c>
      <c r="J5" s="5" t="inlineStr">
        <is>
          <t>Yahoo Finance</t>
        </is>
      </c>
    </row>
    <row r="6">
      <c r="A6" s="2" t="inlineStr">
        <is>
          <t>2026/06/15</t>
        </is>
      </c>
      <c r="B6" s="2" t="inlineStr">
        <is>
          <t>国内期货</t>
        </is>
      </c>
      <c r="C6" s="2" t="inlineStr">
        <is>
          <t>沪镍(NI)连续</t>
        </is>
      </c>
      <c r="D6" s="4" t="n">
        <v>131640</v>
      </c>
      <c r="E6" s="4" t="n">
        <v>133550</v>
      </c>
      <c r="F6" s="4" t="n">
        <v>133980</v>
      </c>
      <c r="G6" s="4" t="n">
        <v>131780</v>
      </c>
      <c r="H6" s="4" t="n">
        <v>-1850</v>
      </c>
      <c r="I6" s="5" t="inlineStr">
        <is>
          <t>元/吨</t>
        </is>
      </c>
      <c r="J6" s="5" t="inlineStr">
        <is>
          <t>上期所</t>
        </is>
      </c>
    </row>
    <row r="7">
      <c r="A7" s="2" t="inlineStr">
        <is>
          <t>2026/06/15</t>
        </is>
      </c>
      <c r="B7" s="2" t="inlineStr">
        <is>
          <t>国内期货</t>
        </is>
      </c>
      <c r="C7" s="2" t="inlineStr">
        <is>
          <t>美元/人民币(USDCNY)</t>
        </is>
      </c>
      <c r="D7" s="6" t="n">
        <v>6.7571</v>
      </c>
      <c r="E7" s="5" t="n"/>
      <c r="F7" s="6" t="n">
        <v>6.7621</v>
      </c>
      <c r="G7" s="6" t="n">
        <v>6.756</v>
      </c>
      <c r="H7" s="5" t="n"/>
      <c r="I7" s="5" t="inlineStr">
        <is>
          <t>人民币</t>
        </is>
      </c>
      <c r="J7" s="5" t="inlineStr">
        <is>
          <t>新浪财经</t>
        </is>
      </c>
    </row>
    <row r="8">
      <c r="A8" s="2" t="inlineStr">
        <is>
          <t>2026/06/15</t>
        </is>
      </c>
      <c r="B8" s="2" t="inlineStr">
        <is>
          <t>国际期货</t>
        </is>
      </c>
      <c r="C8" s="2" t="inlineStr">
        <is>
          <t>CME氢氧化锂</t>
        </is>
      </c>
      <c r="D8" s="6" t="n">
        <v>22.27</v>
      </c>
      <c r="E8" s="5" t="n"/>
      <c r="F8" s="5" t="n"/>
      <c r="G8" s="5" t="n"/>
      <c r="H8" s="6" t="n">
        <v>0.31</v>
      </c>
      <c r="I8" s="5" t="inlineStr">
        <is>
          <t>USD</t>
        </is>
      </c>
      <c r="J8" s="5" t="inlineStr">
        <is>
          <t>Yahoo Finance</t>
        </is>
      </c>
    </row>
    <row r="9">
      <c r="A9" s="2" t="inlineStr">
        <is>
          <t>2026/06/15</t>
        </is>
      </c>
      <c r="B9" s="2" t="inlineStr">
        <is>
          <t>国际期货</t>
        </is>
      </c>
      <c r="C9" s="2" t="inlineStr">
        <is>
          <t>CME钴</t>
        </is>
      </c>
      <c r="D9" s="6" t="n">
        <v>25.1</v>
      </c>
      <c r="E9" s="5" t="n"/>
      <c r="F9" s="5" t="n"/>
      <c r="G9" s="5" t="n"/>
      <c r="H9" s="4" t="n">
        <v>0</v>
      </c>
      <c r="I9" s="5" t="inlineStr">
        <is>
          <t>USD</t>
        </is>
      </c>
      <c r="J9" s="5" t="inlineStr">
        <is>
          <t>Yahoo Finance</t>
        </is>
      </c>
    </row>
    <row r="10">
      <c r="A10" s="2" t="inlineStr">
        <is>
          <t>2026/06/16</t>
        </is>
      </c>
      <c r="B10" s="2" t="inlineStr">
        <is>
          <t>国内期货</t>
        </is>
      </c>
      <c r="C10" s="2" t="inlineStr">
        <is>
          <t>沪镍(NI)连续</t>
        </is>
      </c>
      <c r="D10" s="4" t="n">
        <v>131640</v>
      </c>
      <c r="E10" s="4" t="n">
        <v>133550</v>
      </c>
      <c r="F10" s="4" t="n">
        <v>133980</v>
      </c>
      <c r="G10" s="4" t="n">
        <v>131780</v>
      </c>
      <c r="H10" s="4" t="n">
        <v>-1850</v>
      </c>
      <c r="I10" s="5" t="inlineStr">
        <is>
          <t>元/吨</t>
        </is>
      </c>
      <c r="J10" s="5" t="inlineStr">
        <is>
          <t>上期所</t>
        </is>
      </c>
    </row>
    <row r="11">
      <c r="A11" s="2" t="inlineStr">
        <is>
          <t>2026/06/16</t>
        </is>
      </c>
      <c r="B11" s="2" t="inlineStr">
        <is>
          <t>国内期货</t>
        </is>
      </c>
      <c r="C11" s="2" t="inlineStr">
        <is>
          <t>碳酸锂(LC)连续</t>
        </is>
      </c>
      <c r="D11" s="4" t="n">
        <v>168420</v>
      </c>
      <c r="E11" s="4" t="n">
        <v>175200</v>
      </c>
      <c r="F11" s="4" t="n">
        <v>169980</v>
      </c>
      <c r="G11" s="4" t="n">
        <v>169980</v>
      </c>
      <c r="H11" s="4" t="n">
        <v>-5780</v>
      </c>
      <c r="I11" s="5" t="inlineStr">
        <is>
          <t>元/吨</t>
        </is>
      </c>
      <c r="J11" s="5" t="inlineStr">
        <is>
          <t>广期所</t>
        </is>
      </c>
    </row>
    <row r="12">
      <c r="A12" s="2" t="inlineStr">
        <is>
          <t>2026/06/16</t>
        </is>
      </c>
      <c r="B12" s="2" t="inlineStr">
        <is>
          <t>国内期货</t>
        </is>
      </c>
      <c r="C12" s="2" t="inlineStr">
        <is>
          <t>美元/人民币(USDCNY)</t>
        </is>
      </c>
      <c r="D12" s="6" t="n">
        <v>6.757</v>
      </c>
      <c r="E12" s="5" t="n"/>
      <c r="F12" s="6" t="n">
        <v>6.7565</v>
      </c>
      <c r="G12" s="6" t="n">
        <v>6.7564</v>
      </c>
      <c r="H12" s="5" t="n"/>
      <c r="I12" s="5" t="inlineStr">
        <is>
          <t>人民币</t>
        </is>
      </c>
      <c r="J12" s="5" t="inlineStr">
        <is>
          <t>新浪财经</t>
        </is>
      </c>
    </row>
    <row r="13">
      <c r="A13" s="2" t="inlineStr">
        <is>
          <t>2026/06/16</t>
        </is>
      </c>
      <c r="B13" s="2" t="inlineStr">
        <is>
          <t>国际期货</t>
        </is>
      </c>
      <c r="C13" s="2" t="inlineStr">
        <is>
          <t>CME氢氧化锂</t>
        </is>
      </c>
      <c r="D13" s="6" t="n">
        <v>21.1</v>
      </c>
      <c r="E13" s="5" t="n"/>
      <c r="F13" s="5" t="n"/>
      <c r="G13" s="5" t="n"/>
      <c r="H13" s="6" t="n">
        <v>-0.22</v>
      </c>
      <c r="I13" s="5" t="inlineStr">
        <is>
          <t>USD</t>
        </is>
      </c>
      <c r="J13" s="5" t="inlineStr">
        <is>
          <t>Yahoo Finance</t>
        </is>
      </c>
    </row>
    <row r="14">
      <c r="A14" s="2" t="inlineStr">
        <is>
          <t>2026/06/16</t>
        </is>
      </c>
      <c r="B14" s="2" t="inlineStr">
        <is>
          <t>国际期货</t>
        </is>
      </c>
      <c r="C14" s="2" t="inlineStr">
        <is>
          <t>CME钴</t>
        </is>
      </c>
      <c r="D14" s="6" t="n">
        <v>25.1</v>
      </c>
      <c r="E14" s="5" t="n"/>
      <c r="F14" s="5" t="n"/>
      <c r="G14" s="5" t="n"/>
      <c r="H14" s="4" t="n">
        <v>0</v>
      </c>
      <c r="I14" s="5" t="inlineStr">
        <is>
          <t>USD</t>
        </is>
      </c>
      <c r="J14" s="5" t="inlineStr">
        <is>
          <t>Yahoo Finance</t>
        </is>
      </c>
    </row>
    <row r="15">
      <c r="A15" s="2" t="inlineStr">
        <is>
          <t>2026/06/18</t>
        </is>
      </c>
      <c r="B15" s="2" t="inlineStr">
        <is>
          <t>国内期货</t>
        </is>
      </c>
      <c r="C15" s="2" t="inlineStr">
        <is>
          <t>沪镍(NI)连续</t>
        </is>
      </c>
      <c r="D15" s="4" t="n">
        <v>131640</v>
      </c>
      <c r="E15" s="4" t="n">
        <v>133550</v>
      </c>
      <c r="F15" s="4" t="n">
        <v>133980</v>
      </c>
      <c r="G15" s="4" t="n">
        <v>131780</v>
      </c>
      <c r="H15" s="4" t="n">
        <v>-1850</v>
      </c>
      <c r="I15" s="5" t="inlineStr">
        <is>
          <t>元/吨</t>
        </is>
      </c>
      <c r="J15" s="5" t="inlineStr">
        <is>
          <t>上期所</t>
        </is>
      </c>
    </row>
    <row r="16">
      <c r="A16" s="2" t="inlineStr">
        <is>
          <t>2026/06/18</t>
        </is>
      </c>
      <c r="B16" s="2" t="inlineStr">
        <is>
          <t>国内期货</t>
        </is>
      </c>
      <c r="C16" s="2" t="inlineStr">
        <is>
          <t>碳酸锂(LC)连续</t>
        </is>
      </c>
      <c r="D16" s="4" t="n">
        <v>160100</v>
      </c>
      <c r="E16" s="4" t="n">
        <v>171800</v>
      </c>
      <c r="F16" s="4" t="n">
        <v>160500</v>
      </c>
      <c r="G16" s="4" t="n">
        <v>160560</v>
      </c>
      <c r="H16" s="4" t="n">
        <v>-12400</v>
      </c>
      <c r="I16" s="5" t="inlineStr">
        <is>
          <t>元/吨</t>
        </is>
      </c>
      <c r="J16" s="5" t="inlineStr">
        <is>
          <t>广期所</t>
        </is>
      </c>
    </row>
    <row r="17">
      <c r="A17" s="2" t="inlineStr">
        <is>
          <t>2026/06/18</t>
        </is>
      </c>
      <c r="B17" s="2" t="inlineStr">
        <is>
          <t>国内期货</t>
        </is>
      </c>
      <c r="C17" s="2" t="inlineStr">
        <is>
          <t>美元/人民币(USDCNY)</t>
        </is>
      </c>
      <c r="D17" s="6" t="n">
        <v>6.7609</v>
      </c>
      <c r="E17" s="5" t="n"/>
      <c r="F17" s="6" t="n">
        <v>6.7572</v>
      </c>
      <c r="G17" s="6" t="n">
        <v>6.7564</v>
      </c>
      <c r="H17" s="5" t="n"/>
      <c r="I17" s="5" t="inlineStr">
        <is>
          <t>人民币</t>
        </is>
      </c>
      <c r="J17" s="5" t="inlineStr">
        <is>
          <t>新浪财经</t>
        </is>
      </c>
    </row>
    <row r="18">
      <c r="A18" s="2" t="inlineStr">
        <is>
          <t>2026/06/18</t>
        </is>
      </c>
      <c r="B18" s="2" t="inlineStr">
        <is>
          <t>国际期货</t>
        </is>
      </c>
      <c r="C18" s="2" t="inlineStr">
        <is>
          <t>CME氢氧化锂</t>
        </is>
      </c>
      <c r="D18" s="6" t="n">
        <v>21.1</v>
      </c>
      <c r="E18" s="5" t="n"/>
      <c r="F18" s="5" t="n"/>
      <c r="G18" s="5" t="n"/>
      <c r="H18" s="6" t="n">
        <v>0.38</v>
      </c>
      <c r="I18" s="5" t="inlineStr">
        <is>
          <t>USD</t>
        </is>
      </c>
      <c r="J18" s="5" t="inlineStr">
        <is>
          <t>Yahoo Finance</t>
        </is>
      </c>
    </row>
    <row r="19">
      <c r="A19" s="2" t="inlineStr">
        <is>
          <t>2026/06/18</t>
        </is>
      </c>
      <c r="B19" s="2" t="inlineStr">
        <is>
          <t>国际期货</t>
        </is>
      </c>
      <c r="C19" s="2" t="inlineStr">
        <is>
          <t>CME钴</t>
        </is>
      </c>
      <c r="D19" s="6" t="n">
        <v>25.1</v>
      </c>
      <c r="E19" s="5" t="n"/>
      <c r="F19" s="5" t="n"/>
      <c r="G19" s="5" t="n"/>
      <c r="H19" s="4" t="n">
        <v>0</v>
      </c>
      <c r="I19" s="5" t="inlineStr">
        <is>
          <t>USD</t>
        </is>
      </c>
      <c r="J19" s="5" t="inlineStr">
        <is>
          <t>Yahoo Finance</t>
        </is>
      </c>
    </row>
    <row r="20">
      <c r="A20" s="2" t="inlineStr">
        <is>
          <t>2026/06/19</t>
        </is>
      </c>
      <c r="B20" s="2" t="inlineStr">
        <is>
          <t>国内期货</t>
        </is>
      </c>
      <c r="C20" s="2" t="inlineStr">
        <is>
          <t>沪镍(NI)连续</t>
        </is>
      </c>
      <c r="D20" s="4" t="n">
        <v>131640</v>
      </c>
      <c r="E20" s="4" t="n">
        <v>133550</v>
      </c>
      <c r="F20" s="4" t="n">
        <v>133980</v>
      </c>
      <c r="G20" s="4" t="n">
        <v>131780</v>
      </c>
      <c r="H20" s="4" t="n">
        <v>-1850</v>
      </c>
      <c r="I20" s="5" t="inlineStr">
        <is>
          <t>元/吨</t>
        </is>
      </c>
      <c r="J20" s="5" t="inlineStr">
        <is>
          <t>上期所</t>
        </is>
      </c>
    </row>
    <row r="21">
      <c r="A21" s="2" t="inlineStr">
        <is>
          <t>2026/06/19</t>
        </is>
      </c>
      <c r="B21" s="2" t="inlineStr">
        <is>
          <t>国内期货</t>
        </is>
      </c>
      <c r="C21" s="2" t="inlineStr">
        <is>
          <t>碳酸锂(LC)连续</t>
        </is>
      </c>
      <c r="D21" s="4" t="n">
        <v>160100</v>
      </c>
      <c r="E21" s="4" t="n">
        <v>171800</v>
      </c>
      <c r="F21" s="4" t="n">
        <v>160500</v>
      </c>
      <c r="G21" s="4" t="n">
        <v>160560</v>
      </c>
      <c r="H21" s="4" t="n">
        <v>-12400</v>
      </c>
      <c r="I21" s="5" t="inlineStr">
        <is>
          <t>元/吨</t>
        </is>
      </c>
      <c r="J21" s="5" t="inlineStr">
        <is>
          <t>广期所</t>
        </is>
      </c>
    </row>
    <row r="22">
      <c r="A22" s="2" t="inlineStr">
        <is>
          <t>2026/06/19</t>
        </is>
      </c>
      <c r="B22" s="2" t="inlineStr">
        <is>
          <t>国内期货</t>
        </is>
      </c>
      <c r="C22" s="2" t="inlineStr">
        <is>
          <t>美元/人民币(USDCNY)</t>
        </is>
      </c>
      <c r="D22" s="6" t="n">
        <v>6.7682</v>
      </c>
      <c r="E22" s="5" t="n"/>
      <c r="F22" s="6" t="n">
        <v>6.7681</v>
      </c>
      <c r="G22" s="6" t="n">
        <v>6.7598</v>
      </c>
      <c r="H22" s="5" t="n"/>
      <c r="I22" s="5" t="inlineStr">
        <is>
          <t>人民币</t>
        </is>
      </c>
      <c r="J22" s="5" t="inlineStr">
        <is>
          <t>新浪财经</t>
        </is>
      </c>
    </row>
    <row r="23">
      <c r="A23" s="2" t="inlineStr">
        <is>
          <t>2026/06/19</t>
        </is>
      </c>
      <c r="B23" s="2" t="inlineStr">
        <is>
          <t>国际期货</t>
        </is>
      </c>
      <c r="C23" s="2" t="inlineStr">
        <is>
          <t>CME氢氧化锂</t>
        </is>
      </c>
      <c r="D23" s="6" t="n">
        <v>21.1</v>
      </c>
      <c r="E23" s="5" t="n"/>
      <c r="F23" s="5" t="n"/>
      <c r="G23" s="5" t="n"/>
      <c r="H23" s="6" t="n">
        <v>1.03</v>
      </c>
      <c r="I23" s="5" t="inlineStr">
        <is>
          <t>USD</t>
        </is>
      </c>
      <c r="J23" s="5" t="inlineStr">
        <is>
          <t>Yahoo Finance</t>
        </is>
      </c>
    </row>
    <row r="24">
      <c r="A24" s="2" t="inlineStr">
        <is>
          <t>2026/06/19</t>
        </is>
      </c>
      <c r="B24" s="2" t="inlineStr">
        <is>
          <t>国际期货</t>
        </is>
      </c>
      <c r="C24" s="2" t="inlineStr">
        <is>
          <t>CME钴</t>
        </is>
      </c>
      <c r="D24" s="6" t="n">
        <v>25.1</v>
      </c>
      <c r="E24" s="5" t="n"/>
      <c r="F24" s="5" t="n"/>
      <c r="G24" s="5" t="n"/>
      <c r="H24" s="4" t="n">
        <v>0</v>
      </c>
      <c r="I24" s="5" t="inlineStr">
        <is>
          <t>USD</t>
        </is>
      </c>
      <c r="J24" s="5" t="inlineStr">
        <is>
          <t>Yahoo Finance</t>
        </is>
      </c>
    </row>
    <row r="25">
      <c r="A25" s="2" t="inlineStr">
        <is>
          <t>2026/06/22</t>
        </is>
      </c>
      <c r="B25" s="2" t="inlineStr">
        <is>
          <t>国内期货</t>
        </is>
      </c>
      <c r="C25" s="2" t="inlineStr">
        <is>
          <t>沪镍(NI)连续</t>
        </is>
      </c>
      <c r="D25" s="4" t="n">
        <v>131640</v>
      </c>
      <c r="E25" s="4" t="n">
        <v>133550</v>
      </c>
      <c r="F25" s="4" t="n">
        <v>133980</v>
      </c>
      <c r="G25" s="4" t="n">
        <v>131780</v>
      </c>
      <c r="H25" s="4" t="n">
        <v>-1850</v>
      </c>
      <c r="I25" s="5" t="inlineStr">
        <is>
          <t>元/吨</t>
        </is>
      </c>
      <c r="J25" s="5" t="inlineStr">
        <is>
          <t>上期所</t>
        </is>
      </c>
    </row>
    <row r="26">
      <c r="A26" s="2" t="inlineStr">
        <is>
          <t>2026/06/22</t>
        </is>
      </c>
      <c r="B26" s="2" t="inlineStr">
        <is>
          <t>国内期货</t>
        </is>
      </c>
      <c r="C26" s="2" t="inlineStr">
        <is>
          <t>碳酸锂(LC)连续</t>
        </is>
      </c>
      <c r="D26" s="4" t="n">
        <v>150860</v>
      </c>
      <c r="E26" s="4" t="n">
        <v>165680</v>
      </c>
      <c r="F26" s="4" t="n">
        <v>161740</v>
      </c>
      <c r="G26" s="4" t="n">
        <v>161700</v>
      </c>
      <c r="H26" s="4" t="n">
        <v>-10940</v>
      </c>
      <c r="I26" s="5" t="inlineStr">
        <is>
          <t>元/吨</t>
        </is>
      </c>
      <c r="J26" s="5" t="inlineStr">
        <is>
          <t>广期所</t>
        </is>
      </c>
    </row>
    <row r="27">
      <c r="A27" s="2" t="inlineStr">
        <is>
          <t>2026/06/22</t>
        </is>
      </c>
      <c r="B27" s="2" t="inlineStr">
        <is>
          <t>国内期货</t>
        </is>
      </c>
      <c r="C27" s="2" t="inlineStr">
        <is>
          <t>美元/人民币(USDCNY)</t>
        </is>
      </c>
      <c r="D27" s="6" t="n">
        <v>6.7743</v>
      </c>
      <c r="E27" s="5" t="n"/>
      <c r="F27" s="6" t="n">
        <v>6.7681</v>
      </c>
      <c r="G27" s="6" t="n">
        <v>6.759</v>
      </c>
      <c r="H27" s="5" t="n"/>
      <c r="I27" s="5" t="inlineStr">
        <is>
          <t>人民币</t>
        </is>
      </c>
      <c r="J27" s="5" t="inlineStr">
        <is>
          <t>新浪财经</t>
        </is>
      </c>
    </row>
    <row r="28">
      <c r="A28" s="2" t="inlineStr">
        <is>
          <t>2026/06/22</t>
        </is>
      </c>
      <c r="B28" s="2" t="inlineStr">
        <is>
          <t>国际期货</t>
        </is>
      </c>
      <c r="C28" s="2" t="inlineStr">
        <is>
          <t>CME氢氧化锂</t>
        </is>
      </c>
      <c r="D28" s="6" t="n">
        <v>21.1</v>
      </c>
      <c r="E28" s="5" t="n"/>
      <c r="F28" s="5" t="n"/>
      <c r="G28" s="5" t="n"/>
      <c r="H28" s="6" t="n">
        <v>1.03</v>
      </c>
      <c r="I28" s="5" t="inlineStr">
        <is>
          <t>USD</t>
        </is>
      </c>
      <c r="J28" s="5" t="inlineStr">
        <is>
          <t>Yahoo Finance</t>
        </is>
      </c>
    </row>
    <row r="29">
      <c r="A29" s="2" t="inlineStr">
        <is>
          <t>2026/06/22</t>
        </is>
      </c>
      <c r="B29" s="2" t="inlineStr">
        <is>
          <t>国际期货</t>
        </is>
      </c>
      <c r="C29" s="2" t="inlineStr">
        <is>
          <t>CME钴</t>
        </is>
      </c>
      <c r="D29" s="6" t="n">
        <v>25.1</v>
      </c>
      <c r="E29" s="5" t="n"/>
      <c r="F29" s="5" t="n"/>
      <c r="G29" s="5" t="n"/>
      <c r="H29" s="4" t="n">
        <v>0</v>
      </c>
      <c r="I29" s="5" t="inlineStr">
        <is>
          <t>USD</t>
        </is>
      </c>
      <c r="J29" s="5" t="inlineStr">
        <is>
          <t>Yahoo Finance</t>
        </is>
      </c>
    </row>
    <row r="30">
      <c r="A30" s="2" t="inlineStr">
        <is>
          <t>2026/06/24</t>
        </is>
      </c>
      <c r="B30" s="2" t="inlineStr">
        <is>
          <t>国内期货</t>
        </is>
      </c>
      <c r="C30" s="2" t="inlineStr">
        <is>
          <t>沪镍(NI)连续</t>
        </is>
      </c>
      <c r="D30" s="4" t="n">
        <v>130690</v>
      </c>
      <c r="E30" s="4" t="n">
        <v>134980</v>
      </c>
      <c r="F30" s="4" t="n">
        <v>130700</v>
      </c>
      <c r="G30" s="4" t="n">
        <v>130670</v>
      </c>
      <c r="H30" s="4" t="n">
        <v>-1420</v>
      </c>
      <c r="I30" s="5" t="inlineStr">
        <is>
          <t>元/吨</t>
        </is>
      </c>
      <c r="J30" s="5" t="inlineStr">
        <is>
          <t>上期所</t>
        </is>
      </c>
    </row>
    <row r="31">
      <c r="A31" s="2" t="inlineStr">
        <is>
          <t>2026/06/24</t>
        </is>
      </c>
      <c r="B31" s="2" t="inlineStr">
        <is>
          <t>国内期货</t>
        </is>
      </c>
      <c r="C31" s="2" t="inlineStr">
        <is>
          <t>碳酸锂(LC)连续</t>
        </is>
      </c>
      <c r="D31" s="4" t="n">
        <v>162740</v>
      </c>
      <c r="E31" s="4" t="n">
        <v>156580</v>
      </c>
      <c r="F31" s="4" t="n">
        <v>162740</v>
      </c>
      <c r="G31" s="4" t="n">
        <v>154600</v>
      </c>
      <c r="H31" s="4" t="n">
        <v>6740</v>
      </c>
      <c r="I31" s="5" t="inlineStr">
        <is>
          <t>元/吨</t>
        </is>
      </c>
      <c r="J31" s="5" t="inlineStr">
        <is>
          <t>广期所</t>
        </is>
      </c>
    </row>
    <row r="32">
      <c r="A32" s="2" t="inlineStr">
        <is>
          <t>2026/06/24</t>
        </is>
      </c>
      <c r="B32" s="2" t="inlineStr">
        <is>
          <t>国内期货</t>
        </is>
      </c>
      <c r="C32" s="2" t="inlineStr">
        <is>
          <t>美元/人民币(USDCNY)</t>
        </is>
      </c>
      <c r="D32" s="6" t="n">
        <v>6.8004</v>
      </c>
      <c r="E32" s="5" t="n"/>
      <c r="F32" s="6" t="n">
        <v>6.7844</v>
      </c>
      <c r="G32" s="6" t="n">
        <v>6.7757</v>
      </c>
      <c r="H32" s="5" t="n"/>
      <c r="I32" s="5" t="inlineStr">
        <is>
          <t>人民币</t>
        </is>
      </c>
      <c r="J32" s="5" t="inlineStr">
        <is>
          <t>新浪财经</t>
        </is>
      </c>
    </row>
    <row r="33">
      <c r="A33" s="2" t="inlineStr">
        <is>
          <t>2026/06/24</t>
        </is>
      </c>
      <c r="B33" s="2" t="inlineStr">
        <is>
          <t>国际期货</t>
        </is>
      </c>
      <c r="C33" s="2" t="inlineStr">
        <is>
          <t>CME氢氧化锂</t>
        </is>
      </c>
      <c r="D33" s="6" t="n">
        <v>21.1</v>
      </c>
      <c r="E33" s="5" t="n"/>
      <c r="F33" s="5" t="n"/>
      <c r="G33" s="5" t="n"/>
      <c r="H33" s="6" t="n">
        <v>1.48</v>
      </c>
      <c r="I33" s="5" t="inlineStr">
        <is>
          <t>USD</t>
        </is>
      </c>
      <c r="J33" s="5" t="inlineStr">
        <is>
          <t>Yahoo Finance</t>
        </is>
      </c>
    </row>
    <row r="34">
      <c r="A34" s="2" t="inlineStr">
        <is>
          <t>2026/06/24</t>
        </is>
      </c>
      <c r="B34" s="2" t="inlineStr">
        <is>
          <t>国际期货</t>
        </is>
      </c>
      <c r="C34" s="2" t="inlineStr">
        <is>
          <t>CME钴</t>
        </is>
      </c>
      <c r="D34" s="6" t="n">
        <v>25.1</v>
      </c>
      <c r="E34" s="5" t="n"/>
      <c r="F34" s="5" t="n"/>
      <c r="G34" s="5" t="n"/>
      <c r="H34" s="4" t="n">
        <v>0</v>
      </c>
      <c r="I34" s="5" t="inlineStr">
        <is>
          <t>USD</t>
        </is>
      </c>
      <c r="J34" s="5" t="inlineStr">
        <is>
          <t>Yahoo Finance</t>
        </is>
      </c>
    </row>
    <row r="35">
      <c r="A35" s="2" t="inlineStr">
        <is>
          <t>2026/06/25</t>
        </is>
      </c>
      <c r="B35" s="2" t="inlineStr">
        <is>
          <t>国内期货</t>
        </is>
      </c>
      <c r="C35" s="2" t="inlineStr">
        <is>
          <t>沪镍(NI)连续</t>
        </is>
      </c>
      <c r="D35" s="4" t="n">
        <v>130840</v>
      </c>
      <c r="E35" s="4" t="n">
        <v>132020</v>
      </c>
      <c r="F35" s="4" t="n">
        <v>130860</v>
      </c>
      <c r="G35" s="4" t="n">
        <v>127960</v>
      </c>
      <c r="H35" s="4" t="n">
        <v>1090</v>
      </c>
      <c r="I35" s="5" t="inlineStr">
        <is>
          <t>元/吨</t>
        </is>
      </c>
      <c r="J35" s="5" t="inlineStr">
        <is>
          <t>上期所</t>
        </is>
      </c>
    </row>
    <row r="36">
      <c r="A36" s="2" t="inlineStr">
        <is>
          <t>2026/06/25</t>
        </is>
      </c>
      <c r="B36" s="2" t="inlineStr">
        <is>
          <t>国内期货</t>
        </is>
      </c>
      <c r="C36" s="2" t="inlineStr">
        <is>
          <t>碳酸锂(LC)连续</t>
        </is>
      </c>
      <c r="D36" s="4" t="n">
        <v>150820</v>
      </c>
      <c r="E36" s="4" t="n">
        <v>159680</v>
      </c>
      <c r="F36" s="4" t="n">
        <v>150840</v>
      </c>
      <c r="G36" s="4" t="n">
        <v>150320</v>
      </c>
      <c r="H36" s="4" t="n">
        <v>-9180</v>
      </c>
      <c r="I36" s="5" t="inlineStr">
        <is>
          <t>元/吨</t>
        </is>
      </c>
      <c r="J36" s="5" t="inlineStr">
        <is>
          <t>广期所</t>
        </is>
      </c>
    </row>
    <row r="37">
      <c r="A37" s="2" t="inlineStr">
        <is>
          <t>2026/06/25</t>
        </is>
      </c>
      <c r="B37" s="2" t="inlineStr">
        <is>
          <t>国内期货</t>
        </is>
      </c>
      <c r="C37" s="2" t="inlineStr">
        <is>
          <t>美元/人民币(USDCNY)</t>
        </is>
      </c>
      <c r="D37" s="6" t="n">
        <v>6.7973</v>
      </c>
      <c r="E37" s="5" t="n"/>
      <c r="F37" s="6" t="n">
        <v>6.8101</v>
      </c>
      <c r="G37" s="6" t="n">
        <v>6.7878</v>
      </c>
      <c r="H37" s="5" t="n"/>
      <c r="I37" s="5" t="inlineStr">
        <is>
          <t>人民币</t>
        </is>
      </c>
      <c r="J37" s="5" t="inlineStr">
        <is>
          <t>新浪财经</t>
        </is>
      </c>
    </row>
    <row r="38">
      <c r="A38" s="2" t="inlineStr">
        <is>
          <t>2026/06/25</t>
        </is>
      </c>
      <c r="B38" s="2" t="inlineStr">
        <is>
          <t>国际期货</t>
        </is>
      </c>
      <c r="C38" s="2" t="inlineStr">
        <is>
          <t>CME氢氧化锂</t>
        </is>
      </c>
      <c r="D38" s="6" t="n">
        <v>21.1</v>
      </c>
      <c r="E38" s="5" t="n"/>
      <c r="F38" s="5" t="n"/>
      <c r="G38" s="5" t="n"/>
      <c r="H38" s="6" t="n">
        <v>1.28</v>
      </c>
      <c r="I38" s="5" t="inlineStr">
        <is>
          <t>USD</t>
        </is>
      </c>
      <c r="J38" s="5" t="inlineStr">
        <is>
          <t>Yahoo Finance</t>
        </is>
      </c>
    </row>
    <row r="39">
      <c r="A39" s="2" t="inlineStr">
        <is>
          <t>2026/06/25</t>
        </is>
      </c>
      <c r="B39" s="2" t="inlineStr">
        <is>
          <t>国际期货</t>
        </is>
      </c>
      <c r="C39" s="2" t="inlineStr">
        <is>
          <t>CME钴</t>
        </is>
      </c>
      <c r="D39" s="6" t="n">
        <v>25.1</v>
      </c>
      <c r="E39" s="5" t="n"/>
      <c r="F39" s="5" t="n"/>
      <c r="G39" s="5" t="n"/>
      <c r="H39" s="4" t="n">
        <v>0</v>
      </c>
      <c r="I39" s="5" t="inlineStr">
        <is>
          <t>USD</t>
        </is>
      </c>
      <c r="J39" s="5" t="inlineStr">
        <is>
          <t>Yahoo Finance</t>
        </is>
      </c>
    </row>
    <row r="40">
      <c r="A40" s="2" t="inlineStr">
        <is>
          <t>2026/06/26</t>
        </is>
      </c>
      <c r="B40" s="2" t="inlineStr">
        <is>
          <t>国内期货</t>
        </is>
      </c>
      <c r="C40" s="2" t="inlineStr">
        <is>
          <t>沪镍(NI)连续</t>
        </is>
      </c>
      <c r="D40" s="4" t="n">
        <v>129060</v>
      </c>
      <c r="E40" s="4" t="n">
        <v>129720</v>
      </c>
      <c r="F40" s="4" t="n">
        <v>129060</v>
      </c>
      <c r="G40" s="4" t="n">
        <v>127050</v>
      </c>
      <c r="H40" s="4" t="n">
        <v>-1800</v>
      </c>
      <c r="I40" s="5" t="inlineStr">
        <is>
          <t>元/吨</t>
        </is>
      </c>
      <c r="J40" s="5" t="inlineStr">
        <is>
          <t>上期所</t>
        </is>
      </c>
    </row>
    <row r="41">
      <c r="A41" s="2" t="inlineStr">
        <is>
          <t>2026/06/26</t>
        </is>
      </c>
      <c r="B41" s="2" t="inlineStr">
        <is>
          <t>国内期货</t>
        </is>
      </c>
      <c r="C41" s="2" t="inlineStr">
        <is>
          <t>碳酸锂(LC)连续</t>
        </is>
      </c>
      <c r="D41" s="4" t="n">
        <v>150200</v>
      </c>
      <c r="E41" s="4" t="n">
        <v>155240</v>
      </c>
      <c r="F41" s="4" t="n">
        <v>150220</v>
      </c>
      <c r="G41" s="4" t="n">
        <v>145000</v>
      </c>
      <c r="H41" s="4" t="n">
        <v>1200</v>
      </c>
      <c r="I41" s="5" t="inlineStr">
        <is>
          <t>元/吨</t>
        </is>
      </c>
      <c r="J41" s="5" t="inlineStr">
        <is>
          <t>广期所</t>
        </is>
      </c>
    </row>
    <row r="42">
      <c r="A42" s="2" t="inlineStr">
        <is>
          <t>2026/06/26</t>
        </is>
      </c>
      <c r="B42" s="2" t="inlineStr">
        <is>
          <t>国内期货</t>
        </is>
      </c>
      <c r="C42" s="2" t="inlineStr">
        <is>
          <t>美元/人民币(USDCNY)</t>
        </is>
      </c>
      <c r="D42" s="6" t="n">
        <v>6.8001</v>
      </c>
      <c r="E42" s="5" t="n"/>
      <c r="F42" s="6" t="n">
        <v>6.7892</v>
      </c>
      <c r="G42" s="6" t="n">
        <v>6.7851</v>
      </c>
      <c r="H42" s="5" t="n"/>
      <c r="I42" s="5" t="inlineStr">
        <is>
          <t>人民币</t>
        </is>
      </c>
      <c r="J42" s="5" t="inlineStr">
        <is>
          <t>新浪财经</t>
        </is>
      </c>
    </row>
    <row r="43">
      <c r="A43" s="2" t="inlineStr">
        <is>
          <t>2026/06/26</t>
        </is>
      </c>
      <c r="B43" s="2" t="inlineStr">
        <is>
          <t>国际期货</t>
        </is>
      </c>
      <c r="C43" s="2" t="inlineStr">
        <is>
          <t>CME氢氧化锂</t>
        </is>
      </c>
      <c r="D43" s="6" t="n">
        <v>21.1</v>
      </c>
      <c r="E43" s="5" t="n"/>
      <c r="F43" s="5" t="n"/>
      <c r="G43" s="5" t="n"/>
      <c r="H43" s="6" t="n">
        <v>2.13</v>
      </c>
      <c r="I43" s="5" t="inlineStr">
        <is>
          <t>USD</t>
        </is>
      </c>
      <c r="J43" s="5" t="inlineStr">
        <is>
          <t>Yahoo Finance</t>
        </is>
      </c>
    </row>
    <row r="44">
      <c r="A44" s="2" t="inlineStr">
        <is>
          <t>2026/06/26</t>
        </is>
      </c>
      <c r="B44" s="2" t="inlineStr">
        <is>
          <t>国际期货</t>
        </is>
      </c>
      <c r="C44" s="2" t="inlineStr">
        <is>
          <t>CME钴</t>
        </is>
      </c>
      <c r="D44" s="6" t="n">
        <v>25.1</v>
      </c>
      <c r="E44" s="5" t="n"/>
      <c r="F44" s="5" t="n"/>
      <c r="G44" s="5" t="n"/>
      <c r="H44" s="4" t="n">
        <v>0</v>
      </c>
      <c r="I44" s="5" t="inlineStr">
        <is>
          <t>USD</t>
        </is>
      </c>
      <c r="J44" s="5" t="inlineStr">
        <is>
          <t>Yahoo Finance</t>
        </is>
      </c>
    </row>
    <row r="46">
      <c r="A46" s="8" t="inlineStr">
        <is>
          <t>当月均价</t>
        </is>
      </c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</row>
    <row r="47">
      <c r="C47" s="2" t="inlineStr">
        <is>
          <t>CME氢氧化锂</t>
        </is>
      </c>
      <c r="D47" s="10">
        <f>IFERROR(AVERAGEIFS(D$2:D$44,A$2:A$44,"&gt;="&amp;DATE(YEAR(TODAY()),MONTH(TODAY()),1),A$2:A$44,"&lt;"&amp;DATE(YEAR(TODAY()),MONTH(TODAY())+1,1),C$2:C$44,$C$47),"")</f>
        <v/>
      </c>
      <c r="E47" s="10">
        <f>IFERROR(AVERAGEIFS(E$2:E$44,A$2:A$44,"&gt;="&amp;DATE(YEAR(TODAY()),MONTH(TODAY()),1),A$2:A$44,"&lt;"&amp;DATE(YEAR(TODAY()),MONTH(TODAY())+1,1),C$2:C$44,$C$47),"")</f>
        <v/>
      </c>
      <c r="F47" s="10">
        <f>IFERROR(AVERAGEIFS(F$2:F$44,A$2:A$44,"&gt;="&amp;DATE(YEAR(TODAY()),MONTH(TODAY()),1),A$2:A$44,"&lt;"&amp;DATE(YEAR(TODAY()),MONTH(TODAY())+1,1),C$2:C$44,$C$47),"")</f>
        <v/>
      </c>
      <c r="G47" s="10">
        <f>IFERROR(AVERAGEIFS(G$2:G$44,A$2:A$44,"&gt;="&amp;DATE(YEAR(TODAY()),MONTH(TODAY()),1),A$2:A$44,"&lt;"&amp;DATE(YEAR(TODAY()),MONTH(TODAY())+1,1),C$2:C$44,$C$47),"")</f>
        <v/>
      </c>
      <c r="H47" s="11">
        <f>IFERROR(SUMPRODUCT((YEAR(A$2:A$44)=YEAR(TODAY()))*(MONTH(A$2:A$44)=MONTH(TODAY()))*(C$2:C$44=$C$47)*(H$2:H$44),"")</f>
        <v/>
      </c>
    </row>
    <row r="48">
      <c r="C48" s="2" t="inlineStr">
        <is>
          <t>CME钴</t>
        </is>
      </c>
      <c r="D48" s="10">
        <f>IFERROR(AVERAGEIFS(D$2:D$44,A$2:A$44,"&gt;="&amp;DATE(YEAR(TODAY()),MONTH(TODAY()),1),A$2:A$44,"&lt;"&amp;DATE(YEAR(TODAY()),MONTH(TODAY())+1,1),C$2:C$44,$C$48),"")</f>
        <v/>
      </c>
      <c r="E48" s="10">
        <f>IFERROR(AVERAGEIFS(E$2:E$44,A$2:A$44,"&gt;="&amp;DATE(YEAR(TODAY()),MONTH(TODAY()),1),A$2:A$44,"&lt;"&amp;DATE(YEAR(TODAY()),MONTH(TODAY())+1,1),C$2:C$44,$C$48),"")</f>
        <v/>
      </c>
      <c r="F48" s="10">
        <f>IFERROR(AVERAGEIFS(F$2:F$44,A$2:A$44,"&gt;="&amp;DATE(YEAR(TODAY()),MONTH(TODAY()),1),A$2:A$44,"&lt;"&amp;DATE(YEAR(TODAY()),MONTH(TODAY())+1,1),C$2:C$44,$C$48),"")</f>
        <v/>
      </c>
      <c r="G48" s="10">
        <f>IFERROR(AVERAGEIFS(G$2:G$44,A$2:A$44,"&gt;="&amp;DATE(YEAR(TODAY()),MONTH(TODAY()),1),A$2:A$44,"&lt;"&amp;DATE(YEAR(TODAY()),MONTH(TODAY())+1,1),C$2:C$44,$C$48),"")</f>
        <v/>
      </c>
      <c r="H48" s="11">
        <f>IFERROR(SUMPRODUCT((YEAR(A$2:A$44)=YEAR(TODAY()))*(MONTH(A$2:A$44)=MONTH(TODAY()))*(C$2:C$44=$C$48)*(H$2:H$44),"")</f>
        <v/>
      </c>
    </row>
    <row r="49">
      <c r="C49" s="2" t="inlineStr">
        <is>
          <t>沪镍(NI)连续</t>
        </is>
      </c>
      <c r="D49" s="10">
        <f>IFERROR(AVERAGEIFS(D$2:D$44,A$2:A$44,"&gt;="&amp;DATE(YEAR(TODAY()),MONTH(TODAY()),1),A$2:A$44,"&lt;"&amp;DATE(YEAR(TODAY()),MONTH(TODAY())+1,1),C$2:C$44,$C$49),"")</f>
        <v/>
      </c>
      <c r="E49" s="10">
        <f>IFERROR(AVERAGEIFS(E$2:E$44,A$2:A$44,"&gt;="&amp;DATE(YEAR(TODAY()),MONTH(TODAY()),1),A$2:A$44,"&lt;"&amp;DATE(YEAR(TODAY()),MONTH(TODAY())+1,1),C$2:C$44,$C$49),"")</f>
        <v/>
      </c>
      <c r="F49" s="10">
        <f>IFERROR(AVERAGEIFS(F$2:F$44,A$2:A$44,"&gt;="&amp;DATE(YEAR(TODAY()),MONTH(TODAY()),1),A$2:A$44,"&lt;"&amp;DATE(YEAR(TODAY()),MONTH(TODAY())+1,1),C$2:C$44,$C$49),"")</f>
        <v/>
      </c>
      <c r="G49" s="10">
        <f>IFERROR(AVERAGEIFS(G$2:G$44,A$2:A$44,"&gt;="&amp;DATE(YEAR(TODAY()),MONTH(TODAY()),1),A$2:A$44,"&lt;"&amp;DATE(YEAR(TODAY()),MONTH(TODAY())+1,1),C$2:C$44,$C$49),"")</f>
        <v/>
      </c>
      <c r="H49" s="11">
        <f>IFERROR(SUMPRODUCT((YEAR(A$2:A$44)=YEAR(TODAY()))*(MONTH(A$2:A$44)=MONTH(TODAY()))*(C$2:C$44=$C$49)*(H$2:H$44),"")</f>
        <v/>
      </c>
    </row>
    <row r="50">
      <c r="C50" s="2" t="inlineStr">
        <is>
          <t>碳酸锂(LC)连续</t>
        </is>
      </c>
      <c r="D50" s="10">
        <f>IFERROR(AVERAGEIFS(D$2:D$44,A$2:A$44,"&gt;="&amp;DATE(YEAR(TODAY()),MONTH(TODAY()),1),A$2:A$44,"&lt;"&amp;DATE(YEAR(TODAY()),MONTH(TODAY())+1,1),C$2:C$44,$C$50),"")</f>
        <v/>
      </c>
      <c r="E50" s="10">
        <f>IFERROR(AVERAGEIFS(E$2:E$44,A$2:A$44,"&gt;="&amp;DATE(YEAR(TODAY()),MONTH(TODAY()),1),A$2:A$44,"&lt;"&amp;DATE(YEAR(TODAY()),MONTH(TODAY())+1,1),C$2:C$44,$C$50),"")</f>
        <v/>
      </c>
      <c r="F50" s="10">
        <f>IFERROR(AVERAGEIFS(F$2:F$44,A$2:A$44,"&gt;="&amp;DATE(YEAR(TODAY()),MONTH(TODAY()),1),A$2:A$44,"&lt;"&amp;DATE(YEAR(TODAY()),MONTH(TODAY())+1,1),C$2:C$44,$C$50),"")</f>
        <v/>
      </c>
      <c r="G50" s="10">
        <f>IFERROR(AVERAGEIFS(G$2:G$44,A$2:A$44,"&gt;="&amp;DATE(YEAR(TODAY()),MONTH(TODAY()),1),A$2:A$44,"&lt;"&amp;DATE(YEAR(TODAY()),MONTH(TODAY())+1,1),C$2:C$44,$C$50),"")</f>
        <v/>
      </c>
      <c r="H50" s="11">
        <f>IFERROR(SUMPRODUCT((YEAR(A$2:A$44)=YEAR(TODAY()))*(MONTH(A$2:A$44)=MONTH(TODAY()))*(C$2:C$44=$C$50)*(H$2:H$44),"")</f>
        <v/>
      </c>
    </row>
    <row r="51">
      <c r="C51" s="2" t="inlineStr">
        <is>
          <t>美元/人民币(USDCNY)</t>
        </is>
      </c>
      <c r="D51" s="10">
        <f>IFERROR(AVERAGEIFS(D$2:D$44,A$2:A$44,"&gt;="&amp;DATE(YEAR(TODAY()),MONTH(TODAY()),1),A$2:A$44,"&lt;"&amp;DATE(YEAR(TODAY()),MONTH(TODAY())+1,1),C$2:C$44,$C$51),"")</f>
        <v/>
      </c>
      <c r="E51" s="10">
        <f>IFERROR(AVERAGEIFS(E$2:E$44,A$2:A$44,"&gt;="&amp;DATE(YEAR(TODAY()),MONTH(TODAY()),1),A$2:A$44,"&lt;"&amp;DATE(YEAR(TODAY()),MONTH(TODAY())+1,1),C$2:C$44,$C$51),"")</f>
        <v/>
      </c>
      <c r="F51" s="10">
        <f>IFERROR(AVERAGEIFS(F$2:F$44,A$2:A$44,"&gt;="&amp;DATE(YEAR(TODAY()),MONTH(TODAY()),1),A$2:A$44,"&lt;"&amp;DATE(YEAR(TODAY()),MONTH(TODAY())+1,1),C$2:C$44,$C$51),"")</f>
        <v/>
      </c>
      <c r="G51" s="10">
        <f>IFERROR(AVERAGEIFS(G$2:G$44,A$2:A$44,"&gt;="&amp;DATE(YEAR(TODAY()),MONTH(TODAY()),1),A$2:A$44,"&lt;"&amp;DATE(YEAR(TODAY()),MONTH(TODAY())+1,1),C$2:C$44,$C$51),"")</f>
        <v/>
      </c>
      <c r="H51" s="11">
        <f>IFERROR(SUMPRODUCT((YEAR(A$2:A$44)=YEAR(TODAY()))*(MONTH(A$2:A$44)=MONTH(TODAY()))*(C$2:C$44=$C$51)*(H$2:H$44),"")</f>
        <v/>
      </c>
    </row>
  </sheetData>
  <autoFilter ref="A1:J44"/>
  <mergeCells count="1">
    <mergeCell ref="A46:J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  <col width="20" customWidth="1" min="5" max="5"/>
    <col width="18" customWidth="1" min="6" max="6"/>
    <col width="20" customWidth="1" min="7" max="7"/>
    <col width="20" customWidth="1" min="8" max="8"/>
    <col width="16" customWidth="1" min="9" max="9"/>
    <col width="16" customWidth="1" min="10" max="10"/>
  </cols>
  <sheetData>
    <row r="1">
      <c r="A1" s="12" t="inlineStr">
        <is>
          <t>♻️ 锂电黑粉回收计价计算器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3">
      <c r="A3" s="14" t="inlineStr">
        <is>
          <t>📊 当前市场参考价 (自动引用现货Sheet)</t>
        </is>
      </c>
      <c r="B3" s="15" t="n"/>
      <c r="C3" s="15" t="n"/>
      <c r="D3" s="15" t="n"/>
      <c r="E3" s="15" t="n"/>
      <c r="F3" s="15" t="n"/>
      <c r="G3" s="15" t="n"/>
      <c r="H3" s="15" t="n"/>
      <c r="I3" s="15" t="n"/>
      <c r="J3" s="15" t="n"/>
    </row>
    <row r="4">
      <c r="A4" s="16" t="inlineStr">
        <is>
          <t>品种</t>
        </is>
      </c>
      <c r="B4" s="16" t="inlineStr">
        <is>
          <t>对应现货产品</t>
        </is>
      </c>
      <c r="C4" s="16" t="inlineStr">
        <is>
          <t>计价单位</t>
        </is>
      </c>
      <c r="D4" s="16" t="inlineStr">
        <is>
          <t>当前均价</t>
        </is>
      </c>
      <c r="E4" s="16" t="inlineStr">
        <is>
          <t>计价扣减说明</t>
        </is>
      </c>
    </row>
    <row r="5">
      <c r="A5" s="2" t="inlineStr">
        <is>
          <t>镍(Ni)</t>
        </is>
      </c>
      <c r="B5" s="2" t="inlineStr">
        <is>
          <t>电池级硫酸镍</t>
        </is>
      </c>
      <c r="C5" s="2" t="inlineStr">
        <is>
          <t>元/吨</t>
        </is>
      </c>
      <c r="D5" s="4">
        <f>IFERROR(LOOKUP(2,1/('现货'!B$2:B$200="电池级硫酸镍"),'现货'!E$2:E$200),"")</f>
        <v/>
      </c>
      <c r="E5" s="17" t="inlineStr">
        <is>
          <t>按Ni品位折算, 扣Ni≤0.5%杂质</t>
        </is>
      </c>
    </row>
    <row r="6">
      <c r="A6" s="2" t="inlineStr">
        <is>
          <t>钴(Co)</t>
        </is>
      </c>
      <c r="B6" s="2" t="inlineStr">
        <is>
          <t>硫酸钴</t>
        </is>
      </c>
      <c r="C6" s="2" t="inlineStr">
        <is>
          <t>元/吨</t>
        </is>
      </c>
      <c r="D6" s="4">
        <f>IFERROR(LOOKUP(2,1/('现货'!B$2:B$200="硫酸钴"),'现货'!E$2:E$200),"")</f>
        <v/>
      </c>
      <c r="E6" s="17" t="inlineStr">
        <is>
          <t>按Co品位折算, 扣Co≤0.3%杂质</t>
        </is>
      </c>
    </row>
    <row r="7">
      <c r="A7" s="2" t="inlineStr">
        <is>
          <t>锂(Li)</t>
        </is>
      </c>
      <c r="B7" s="2" t="inlineStr">
        <is>
          <t>电池级碳酸锂</t>
        </is>
      </c>
      <c r="C7" s="2" t="inlineStr">
        <is>
          <t>元/吨</t>
        </is>
      </c>
      <c r="D7" s="4">
        <f>IFERROR(LOOKUP(2,1/('现货'!B$2:B$200="电池级碳酸锂"),'现货'!E$2:E$200),"")</f>
        <v/>
      </c>
      <c r="E7" s="17" t="inlineStr">
        <is>
          <t>按Li品位折算至Li₂CO₃当量</t>
        </is>
      </c>
    </row>
    <row r="10">
      <c r="A10" s="14" t="inlineStr">
        <is>
          <t>🧮 黑粉计价计算器 — 输入橙色单元格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8" t="inlineStr">
        <is>
          <t>1. 黑粉重量(吨)</t>
        </is>
      </c>
      <c r="B11" s="19" t="inlineStr">
        <is>
          <t>1</t>
        </is>
      </c>
    </row>
    <row r="12">
      <c r="A12" s="18" t="inlineStr">
        <is>
          <t>2. Ni品位(%)</t>
        </is>
      </c>
      <c r="B12" s="20" t="inlineStr">
        <is>
          <t>15</t>
        </is>
      </c>
    </row>
    <row r="13">
      <c r="A13" s="18" t="inlineStr">
        <is>
          <t>3. Co品位(%)</t>
        </is>
      </c>
      <c r="B13" s="20" t="inlineStr">
        <is>
          <t>5</t>
        </is>
      </c>
    </row>
    <row r="14">
      <c r="A14" s="18" t="inlineStr">
        <is>
          <t>4. Li品位(%)</t>
        </is>
      </c>
      <c r="B14" s="20" t="inlineStr">
        <is>
          <t>3.5</t>
        </is>
      </c>
    </row>
    <row r="15">
      <c r="A15" s="18" t="inlineStr">
        <is>
          <t>5. 计价系数</t>
        </is>
      </c>
      <c r="B15" s="21" t="inlineStr">
        <is>
          <t>0.65</t>
        </is>
      </c>
    </row>
    <row r="16">
      <c r="A16" s="18" t="inlineStr">
        <is>
          <t>6. 加工成本(元/吨黑粉)</t>
        </is>
      </c>
      <c r="B16" s="19" t="inlineStr">
        <is>
          <t>28000</t>
        </is>
      </c>
    </row>
    <row r="17">
      <c r="A17" s="18" t="inlineStr">
        <is>
          <t>7. 水分扣减(%)</t>
        </is>
      </c>
      <c r="B17" s="20" t="inlineStr">
        <is>
          <t>3</t>
        </is>
      </c>
    </row>
    <row r="18">
      <c r="A18" s="18" t="inlineStr">
        <is>
          <t>8. 杂质扣减(元/吨)</t>
        </is>
      </c>
      <c r="B18" s="19" t="inlineStr">
        <is>
          <t>500</t>
        </is>
      </c>
    </row>
    <row r="20">
      <c r="A20" s="22" t="inlineStr">
        <is>
          <t>📈 计价结果</t>
        </is>
      </c>
      <c r="B20" s="23" t="n"/>
      <c r="C20" s="23" t="n"/>
      <c r="D20" s="23" t="n"/>
      <c r="E20" s="23" t="n"/>
      <c r="F20" s="23" t="n"/>
      <c r="G20" s="23" t="n"/>
      <c r="H20" s="23" t="n"/>
      <c r="I20" s="23" t="n"/>
      <c r="J20" s="23" t="n"/>
    </row>
    <row r="21">
      <c r="A21" s="24" t="inlineStr">
        <is>
          <t>黑粉干重(吨)</t>
        </is>
      </c>
      <c r="B21" s="6">
        <f>$B$11*(1-$B$17/100)</f>
        <v/>
      </c>
    </row>
    <row r="22">
      <c r="A22" s="24" t="inlineStr">
        <is>
          <t>Ni金属回收价值(元)</t>
        </is>
      </c>
      <c r="B22" s="4">
        <f>$B$11*$B$12/100*$B$15*$B$5</f>
        <v/>
      </c>
      <c r="C22" s="25">
        <f>B22/$B$11</f>
        <v/>
      </c>
      <c r="D22" s="26">
        <f>B22/10000</f>
        <v/>
      </c>
    </row>
    <row r="23">
      <c r="A23" s="24" t="inlineStr">
        <is>
          <t>Co金属回收价值(元)</t>
        </is>
      </c>
      <c r="B23" s="4">
        <f>$B$11*$B$13/100*$B$15*$B$6</f>
        <v/>
      </c>
      <c r="C23" s="25">
        <f>B23/$B$11</f>
        <v/>
      </c>
      <c r="D23" s="26">
        <f>B23/10000</f>
        <v/>
      </c>
    </row>
    <row r="24">
      <c r="A24" s="24" t="inlineStr">
        <is>
          <t>Li金属回收价值(元)</t>
        </is>
      </c>
      <c r="B24" s="4">
        <f>$B$11*$B$14/100*$B$15*$B$7</f>
        <v/>
      </c>
      <c r="C24" s="25">
        <f>B24/$B$11</f>
        <v/>
      </c>
      <c r="D24" s="26">
        <f>B24/10000</f>
        <v/>
      </c>
    </row>
    <row r="25">
      <c r="A25" s="27" t="inlineStr">
        <is>
          <t>金属回收价值小计(元)</t>
        </is>
      </c>
      <c r="B25" s="28">
        <f>SUM(B22:B24)</f>
        <v/>
      </c>
    </row>
    <row r="26">
      <c r="A26" s="24" t="inlineStr">
        <is>
          <t>杂质扣减(元)</t>
        </is>
      </c>
      <c r="B26" s="4">
        <f>$B$11*$B$18</f>
        <v/>
      </c>
    </row>
    <row r="27">
      <c r="A27" s="24" t="inlineStr">
        <is>
          <t>加工总成本(元)</t>
        </is>
      </c>
      <c r="B27" s="4">
        <f>$B$11*$B$16</f>
        <v/>
      </c>
    </row>
    <row r="29">
      <c r="A29" s="29" t="inlineStr">
        <is>
          <t>黑粉采购参考价(元/吨)</t>
        </is>
      </c>
      <c r="B29" s="30">
        <f>(B25-B26-B27)/$B$11</f>
        <v/>
      </c>
    </row>
    <row r="30">
      <c r="A30" s="29" t="inlineStr">
        <is>
          <t>加工净利润(元)</t>
        </is>
      </c>
      <c r="B30" s="30">
        <f>B25-B26-B27</f>
        <v/>
      </c>
      <c r="C30" s="31">
        <f>IF(B30&gt;0,"✅ 盈利","❌ 亏损")</f>
        <v/>
      </c>
    </row>
    <row r="33">
      <c r="A33" s="14" t="inlineStr">
        <is>
          <t>📋 典型黑粉品位参考范围</t>
        </is>
      </c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</row>
    <row r="34">
      <c r="A34" s="16" t="inlineStr">
        <is>
          <t>类型</t>
        </is>
      </c>
      <c r="B34" s="16" t="inlineStr">
        <is>
          <t>Ni(%)</t>
        </is>
      </c>
      <c r="C34" s="16" t="inlineStr">
        <is>
          <t>Co(%)</t>
        </is>
      </c>
      <c r="D34" s="16" t="inlineStr">
        <is>
          <t>Li(%)</t>
        </is>
      </c>
      <c r="E34" s="16" t="inlineStr">
        <is>
          <t>备注</t>
        </is>
      </c>
      <c r="F34" s="16" t="inlineStr">
        <is>
          <t>适用场景</t>
        </is>
      </c>
    </row>
    <row r="35">
      <c r="A35" s="2" t="inlineStr">
        <is>
          <t>三元黑粉(NCM523)</t>
        </is>
      </c>
      <c r="B35" s="2" t="inlineStr">
        <is>
          <t>8-20</t>
        </is>
      </c>
      <c r="C35" s="2" t="inlineStr">
        <is>
          <t>4-8</t>
        </is>
      </c>
      <c r="D35" s="2" t="inlineStr">
        <is>
          <t>3-5</t>
        </is>
      </c>
      <c r="E35" s="17" t="inlineStr">
        <is>
          <t>含水&lt;5%, 铜&lt;3%, 铝&lt;2%</t>
        </is>
      </c>
      <c r="F35" s="2" t="inlineStr">
        <is>
          <t>主流型</t>
        </is>
      </c>
    </row>
    <row r="36">
      <c r="A36" s="2" t="inlineStr">
        <is>
          <t>三元黑粉(NCM622)</t>
        </is>
      </c>
      <c r="B36" s="2" t="inlineStr">
        <is>
          <t>12-25</t>
        </is>
      </c>
      <c r="C36" s="2" t="inlineStr">
        <is>
          <t>4-8</t>
        </is>
      </c>
      <c r="D36" s="2" t="inlineStr">
        <is>
          <t>3-5</t>
        </is>
      </c>
      <c r="E36" s="17" t="inlineStr">
        <is>
          <t>含水&lt;5%, 铜&lt;3%, 铝&lt;2%</t>
        </is>
      </c>
      <c r="F36" s="2" t="inlineStr">
        <is>
          <t>高镍型</t>
        </is>
      </c>
    </row>
    <row r="37">
      <c r="A37" s="2" t="inlineStr">
        <is>
          <t>三元黑粉(NCM811)</t>
        </is>
      </c>
      <c r="B37" s="2" t="inlineStr">
        <is>
          <t>18-30</t>
        </is>
      </c>
      <c r="C37" s="2" t="inlineStr">
        <is>
          <t>2-5</t>
        </is>
      </c>
      <c r="D37" s="2" t="inlineStr">
        <is>
          <t>3-5</t>
        </is>
      </c>
      <c r="E37" s="17" t="inlineStr">
        <is>
          <t>含水&lt;5%, 铜&lt;3%, 铝&lt;2%</t>
        </is>
      </c>
      <c r="F37" s="2" t="inlineStr">
        <is>
          <t>超高镍</t>
        </is>
      </c>
    </row>
    <row r="38">
      <c r="A38" s="2" t="inlineStr">
        <is>
          <t>钴酸锂黑粉</t>
        </is>
      </c>
      <c r="B38" s="2" t="inlineStr">
        <is>
          <t>1-3</t>
        </is>
      </c>
      <c r="C38" s="2" t="inlineStr">
        <is>
          <t>35-50</t>
        </is>
      </c>
      <c r="D38" s="2" t="inlineStr">
        <is>
          <t>3-5</t>
        </is>
      </c>
      <c r="E38" s="17" t="inlineStr">
        <is>
          <t>含水&lt;5%</t>
        </is>
      </c>
      <c r="F38" s="2" t="inlineStr">
        <is>
          <t>高钴价值</t>
        </is>
      </c>
    </row>
    <row r="39">
      <c r="A39" s="2" t="inlineStr">
        <is>
          <t>磷酸铁锂黑粉</t>
        </is>
      </c>
      <c r="B39" s="2" t="inlineStr">
        <is>
          <t>&lt;0.5</t>
        </is>
      </c>
      <c r="C39" s="2" t="inlineStr">
        <is>
          <t>&lt;0.3</t>
        </is>
      </c>
      <c r="D39" s="2" t="inlineStr">
        <is>
          <t>2-3</t>
        </is>
      </c>
      <c r="E39" s="17" t="inlineStr">
        <is>
          <t>含水&lt;5%</t>
        </is>
      </c>
      <c r="F39" s="2" t="inlineStr">
        <is>
          <t>低价值</t>
        </is>
      </c>
    </row>
    <row r="40">
      <c r="A40" s="2" t="inlineStr">
        <is>
          <t>混合黑粉</t>
        </is>
      </c>
      <c r="B40" s="2" t="inlineStr">
        <is>
          <t>5-15</t>
        </is>
      </c>
      <c r="C40" s="2" t="inlineStr">
        <is>
          <t>2-10</t>
        </is>
      </c>
      <c r="D40" s="2" t="inlineStr">
        <is>
          <t>2-4</t>
        </is>
      </c>
      <c r="E40" s="17" t="inlineStr">
        <is>
          <t>杂料混合</t>
        </is>
      </c>
      <c r="F40" s="2" t="inlineStr">
        <is>
          <t>折价计算</t>
        </is>
      </c>
    </row>
    <row r="43">
      <c r="A43" s="14" t="inlineStr">
        <is>
          <t>📊 黑粉计价系数参考 (按品位分档)</t>
        </is>
      </c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</row>
    <row r="44">
      <c r="A44" s="16" t="inlineStr">
        <is>
          <t>条件</t>
        </is>
      </c>
      <c r="B44" s="16" t="inlineStr">
        <is>
          <t>计价系数</t>
        </is>
      </c>
      <c r="C44" s="16" t="inlineStr">
        <is>
          <t>说明</t>
        </is>
      </c>
    </row>
    <row r="45">
      <c r="A45" s="2" t="inlineStr">
        <is>
          <t>Ni≥20%, Co≥8%</t>
        </is>
      </c>
      <c r="B45" s="2" t="inlineStr">
        <is>
          <t>0.75-0.80</t>
        </is>
      </c>
      <c r="C45" s="2" t="inlineStr">
        <is>
          <t>高品位</t>
        </is>
      </c>
    </row>
    <row r="46">
      <c r="A46" s="2" t="inlineStr">
        <is>
          <t>Ni≥15%, Co≥5%</t>
        </is>
      </c>
      <c r="B46" s="2" t="inlineStr">
        <is>
          <t>0.65-0.75</t>
        </is>
      </c>
      <c r="C46" s="2" t="inlineStr">
        <is>
          <t>中等品位</t>
        </is>
      </c>
    </row>
    <row r="47">
      <c r="A47" s="2" t="inlineStr">
        <is>
          <t>Ni≥10%, Co≥3%</t>
        </is>
      </c>
      <c r="B47" s="2" t="inlineStr">
        <is>
          <t>0.55-0.65</t>
        </is>
      </c>
      <c r="C47" s="2" t="inlineStr">
        <is>
          <t>低品位</t>
        </is>
      </c>
    </row>
    <row r="48">
      <c r="A48" s="2" t="inlineStr">
        <is>
          <t>Ni&lt;10%, Co&lt;3%</t>
        </is>
      </c>
      <c r="B48" s="2" t="inlineStr">
        <is>
          <t>0.40-0.55</t>
        </is>
      </c>
      <c r="C48" s="2" t="inlineStr">
        <is>
          <t>贫料</t>
        </is>
      </c>
    </row>
    <row r="49">
      <c r="A49" s="2" t="inlineStr">
        <is>
          <t>Li品位≥3.5%</t>
        </is>
      </c>
      <c r="B49" s="2" t="inlineStr">
        <is>
          <t>单独计价+0.05</t>
        </is>
      </c>
      <c r="C49" s="2" t="inlineStr">
        <is>
          <t>Li溢价</t>
        </is>
      </c>
    </row>
    <row r="50">
      <c r="A50" s="2" t="inlineStr">
        <is>
          <t>Li品位&lt;2%</t>
        </is>
      </c>
      <c r="B50" s="2" t="inlineStr">
        <is>
          <t>通常不计价</t>
        </is>
      </c>
      <c r="C50" s="2" t="inlineStr">
        <is>
          <t>Li太低</t>
        </is>
      </c>
    </row>
    <row r="51">
      <c r="A51" s="2" t="inlineStr">
        <is>
          <t>含水率&gt;5%</t>
        </is>
      </c>
      <c r="B51" s="2" t="inlineStr">
        <is>
          <t>扣减超出部分</t>
        </is>
      </c>
      <c r="C51" s="2" t="inlineStr">
        <is>
          <t>水分扣减</t>
        </is>
      </c>
    </row>
    <row r="52">
      <c r="A52" s="2" t="inlineStr">
        <is>
          <t>铜铝超标</t>
        </is>
      </c>
      <c r="B52" s="2" t="inlineStr">
        <is>
          <t>扣500-2000元/吨</t>
        </is>
      </c>
      <c r="C52" s="2" t="inlineStr">
        <is>
          <t>杂质罚扣</t>
        </is>
      </c>
    </row>
    <row r="55">
      <c r="A55" s="14" t="inlineStr">
        <is>
          <t>💰 加工成本参考 (元/吨黑粉)</t>
        </is>
      </c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</row>
    <row r="56">
      <c r="A56" s="16" t="inlineStr">
        <is>
          <t>环节</t>
        </is>
      </c>
      <c r="B56" s="16" t="inlineStr">
        <is>
          <t>费用(元/吨)</t>
        </is>
      </c>
      <c r="C56" s="16" t="inlineStr">
        <is>
          <t>说明</t>
        </is>
      </c>
    </row>
    <row r="57">
      <c r="A57" s="2" t="inlineStr">
        <is>
          <t>破碎分选</t>
        </is>
      </c>
      <c r="B57" s="2" t="inlineStr">
        <is>
          <t>3,000-5,000</t>
        </is>
      </c>
      <c r="C57" s="17" t="inlineStr">
        <is>
          <t>拆解→破碎→筛分→磁选</t>
        </is>
      </c>
    </row>
    <row r="58">
      <c r="A58" s="2" t="inlineStr">
        <is>
          <t>湿法浸出</t>
        </is>
      </c>
      <c r="B58" s="2" t="inlineStr">
        <is>
          <t>12,000-18,000</t>
        </is>
      </c>
      <c r="C58" s="17" t="inlineStr">
        <is>
          <t>酸浸或碱浸</t>
        </is>
      </c>
    </row>
    <row r="59">
      <c r="A59" s="2" t="inlineStr">
        <is>
          <t>萃取分离</t>
        </is>
      </c>
      <c r="B59" s="2" t="inlineStr">
        <is>
          <t>5,000-8,000</t>
        </is>
      </c>
      <c r="C59" s="17" t="inlineStr">
        <is>
          <t>Ni/Co/Mn/Li分离</t>
        </is>
      </c>
    </row>
    <row r="60">
      <c r="A60" s="2" t="inlineStr">
        <is>
          <t>产品精制</t>
        </is>
      </c>
      <c r="B60" s="2" t="inlineStr">
        <is>
          <t>3,000-5,000</t>
        </is>
      </c>
      <c r="C60" s="17" t="inlineStr">
        <is>
          <t>结晶/干燥/包装</t>
        </is>
      </c>
    </row>
    <row r="61">
      <c r="A61" s="32" t="inlineStr">
        <is>
          <t>合计</t>
        </is>
      </c>
      <c r="B61" s="32" t="inlineStr">
        <is>
          <t>23,000-36,000</t>
        </is>
      </c>
      <c r="C61" s="17" t="inlineStr"/>
    </row>
  </sheetData>
  <mergeCells count="7">
    <mergeCell ref="A1:J1"/>
    <mergeCell ref="A3:J3"/>
    <mergeCell ref="A55:J55"/>
    <mergeCell ref="A20:J20"/>
    <mergeCell ref="A43:J43"/>
    <mergeCell ref="A10:J10"/>
    <mergeCell ref="A33:J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2026-06-26T08:30:19Z</dcterms:created>
  <dcterms:modified xmlns:dcterms="http://purl.org/dc/terms/" xmlns:xsi="http://www.w3.org/2001/XMLSchema-instance" xsi:type="dcterms:W3CDTF">2026-06-26T08:30:20Z</dcterms:modified>
</cp:coreProperties>
</file>