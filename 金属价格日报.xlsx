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现货" sheetId="1" state="visible" r:id="rId1"/>
    <sheet xmlns:r="http://schemas.openxmlformats.org/officeDocument/2006/relationships" name="期货" sheetId="2" state="visible" r:id="rId2"/>
    <sheet xmlns:r="http://schemas.openxmlformats.org/officeDocument/2006/relationships" name="黑粉计价" sheetId="3" state="visible" r:id="rId3"/>
  </sheets>
  <definedNames>
    <definedName name="_xlnm._FilterDatabase" localSheetId="0" hidden="1">'现货'!$A$1:$H$88</definedName>
    <definedName name="_xlnm._FilterDatabase" localSheetId="1" hidden="1">'期货'!$A$1:$J$9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+#,##0;-#,##0;0"/>
    <numFmt numFmtId="166" formatCode="#,##0.0"/>
    <numFmt numFmtId="167" formatCode="0.0"/>
  </numFmts>
  <fonts count="1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color rgb="002F5496"/>
      <sz val="11"/>
    </font>
    <font>
      <name val="Microsoft YaHei"/>
      <b val="1"/>
      <color rgb="00806000"/>
      <sz val="10"/>
    </font>
    <font>
      <name val="Microsoft YaHei"/>
      <b val="1"/>
      <color rgb="00FFFFFF"/>
      <sz val="14"/>
    </font>
    <font>
      <name val="Microsoft YaHei"/>
      <color rgb="00808080"/>
      <sz val="9"/>
    </font>
    <font>
      <name val="Microsoft YaHei"/>
      <color rgb="00666666"/>
      <sz val="10"/>
    </font>
    <font>
      <name val="Microsoft YaHei"/>
      <b val="1"/>
      <color rgb="00C65911"/>
      <sz val="10"/>
    </font>
    <font>
      <name val="Microsoft YaHei"/>
      <b val="1"/>
      <color rgb="00375623"/>
      <sz val="10"/>
    </font>
    <font>
      <name val="Microsoft YaHei"/>
      <b val="1"/>
      <color rgb="00006100"/>
      <sz val="12"/>
    </font>
    <font>
      <name val="Microsoft YaHei"/>
      <b val="1"/>
      <sz val="10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ED7D31"/>
      </left>
      <right style="medium">
        <color rgb="00ED7D31"/>
      </right>
      <top style="medium">
        <color rgb="00ED7D31"/>
      </top>
      <bottom style="medium">
        <color rgb="00ED7D3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3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5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166" fontId="8" fillId="6" borderId="2" applyAlignment="1" pivotButton="0" quotePrefix="0" xfId="0">
      <alignment horizontal="center" vertical="center"/>
    </xf>
    <xf numFmtId="167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2" fillId="0" borderId="1" applyAlignment="1" pivotButton="0" quotePrefix="0" xfId="0">
      <alignment horizontal="left" vertical="center"/>
    </xf>
    <xf numFmtId="167" fontId="6" fillId="0" borderId="1" pivotButton="0" quotePrefix="0" xfId="0"/>
    <xf numFmtId="4" fontId="6" fillId="0" borderId="1" pivotButton="0" quotePrefix="0" xfId="0"/>
    <xf numFmtId="0" fontId="9" fillId="7" borderId="1" applyAlignment="1" pivotButton="0" quotePrefix="0" xfId="0">
      <alignment horizontal="left" vertical="center"/>
    </xf>
    <xf numFmtId="3" fontId="9" fillId="7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left" vertical="center"/>
    </xf>
    <xf numFmtId="3" fontId="10" fillId="8" borderId="1" applyAlignment="1" pivotButton="0" quotePrefix="0" xfId="0">
      <alignment horizontal="right" vertical="center"/>
    </xf>
    <xf numFmtId="0" fontId="10" fillId="8" borderId="1" pivotButton="0" quotePrefix="0" xfId="0"/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14" customWidth="1" min="8" max="8"/>
  </cols>
  <sheetData>
    <row r="1">
      <c r="A1" s="1" t="inlineStr">
        <is>
          <t>日期</t>
        </is>
      </c>
      <c r="B1" s="1" t="inlineStr">
        <is>
          <t>产品</t>
        </is>
      </c>
      <c r="C1" s="1" t="inlineStr">
        <is>
          <t>最低价</t>
        </is>
      </c>
      <c r="D1" s="1" t="inlineStr">
        <is>
          <t>最高价</t>
        </is>
      </c>
      <c r="E1" s="1" t="inlineStr">
        <is>
          <t>均价</t>
        </is>
      </c>
      <c r="F1" s="1" t="inlineStr">
        <is>
          <t>涨跌</t>
        </is>
      </c>
      <c r="G1" s="1" t="inlineStr">
        <is>
          <t>单位</t>
        </is>
      </c>
      <c r="H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SMM电池级氢氧化锂指数</t>
        </is>
      </c>
      <c r="C2" s="3" t="n">
        <v>157638</v>
      </c>
      <c r="D2" s="4" t="n">
        <v>157638</v>
      </c>
      <c r="E2" s="4" t="n">
        <v>157638</v>
      </c>
      <c r="F2" s="4" t="n">
        <v>2899</v>
      </c>
      <c r="G2" s="5" t="inlineStr">
        <is>
          <t>元/吨</t>
        </is>
      </c>
      <c r="H2" s="5" t="inlineStr">
        <is>
          <t>SMM</t>
        </is>
      </c>
    </row>
    <row r="3">
      <c r="A3" s="2" t="inlineStr">
        <is>
          <t>2026/06/14</t>
        </is>
      </c>
      <c r="B3" s="2" t="inlineStr">
        <is>
          <t>SMM电池级硫酸镍指数</t>
        </is>
      </c>
      <c r="C3" s="3" t="n">
        <v>33038</v>
      </c>
      <c r="D3" s="4" t="n">
        <v>33038</v>
      </c>
      <c r="E3" s="4" t="n">
        <v>33038</v>
      </c>
      <c r="F3" s="4" t="n">
        <v>-135</v>
      </c>
      <c r="G3" s="5" t="inlineStr">
        <is>
          <t>元/吨</t>
        </is>
      </c>
      <c r="H3" s="5" t="inlineStr">
        <is>
          <t>SMM</t>
        </is>
      </c>
    </row>
    <row r="4">
      <c r="A4" s="2" t="inlineStr">
        <is>
          <t>2026/06/14</t>
        </is>
      </c>
      <c r="B4" s="2" t="inlineStr">
        <is>
          <t>SMM电池级碳酸锂指数</t>
        </is>
      </c>
      <c r="C4" s="3" t="n">
        <v>170621</v>
      </c>
      <c r="D4" s="4" t="n">
        <v>170621</v>
      </c>
      <c r="E4" s="4" t="n">
        <v>170621</v>
      </c>
      <c r="F4" s="4" t="n">
        <v>3941</v>
      </c>
      <c r="G4" s="5" t="inlineStr">
        <is>
          <t>元/吨</t>
        </is>
      </c>
      <c r="H4" s="5" t="inlineStr">
        <is>
          <t>SMM</t>
        </is>
      </c>
    </row>
    <row r="5">
      <c r="A5" s="2" t="inlineStr">
        <is>
          <t>2026/06/14</t>
        </is>
      </c>
      <c r="B5" s="2" t="inlineStr">
        <is>
          <t>SMM硫酸钴指数</t>
        </is>
      </c>
      <c r="C5" s="3" t="n">
        <v>89724</v>
      </c>
      <c r="D5" s="4" t="n">
        <v>89724</v>
      </c>
      <c r="E5" s="4" t="n">
        <v>89724</v>
      </c>
      <c r="F5" s="6" t="n">
        <v>-16</v>
      </c>
      <c r="G5" s="5" t="inlineStr">
        <is>
          <t>元/吨</t>
        </is>
      </c>
      <c r="H5" s="5" t="inlineStr">
        <is>
          <t>SMM</t>
        </is>
      </c>
    </row>
    <row r="6">
      <c r="A6" s="2" t="inlineStr">
        <is>
          <t>2026/06/14</t>
        </is>
      </c>
      <c r="B6" s="2" t="inlineStr">
        <is>
          <t>四氧化三钴</t>
        </is>
      </c>
      <c r="C6" s="3" t="n">
        <v>341000</v>
      </c>
      <c r="D6" s="4" t="n">
        <v>350000</v>
      </c>
      <c r="E6" s="4" t="n">
        <v>345500</v>
      </c>
      <c r="F6" s="4" t="n">
        <v>-1500</v>
      </c>
      <c r="G6" s="5" t="inlineStr">
        <is>
          <t>元/吨</t>
        </is>
      </c>
      <c r="H6" s="5" t="inlineStr">
        <is>
          <t>SMM</t>
        </is>
      </c>
    </row>
    <row r="7">
      <c r="A7" s="2" t="inlineStr">
        <is>
          <t>2026/06/14</t>
        </is>
      </c>
      <c r="B7" s="2" t="inlineStr">
        <is>
          <t>工业级碳酸锂</t>
        </is>
      </c>
      <c r="C7" s="3" t="n">
        <v>162000</v>
      </c>
      <c r="D7" s="4" t="n">
        <v>171000</v>
      </c>
      <c r="E7" s="4" t="n">
        <v>166500</v>
      </c>
      <c r="F7" s="4" t="n">
        <v>4000</v>
      </c>
      <c r="G7" s="5" t="inlineStr">
        <is>
          <t>元/吨</t>
        </is>
      </c>
      <c r="H7" s="5" t="inlineStr">
        <is>
          <t>SMM</t>
        </is>
      </c>
    </row>
    <row r="8">
      <c r="A8" s="2" t="inlineStr">
        <is>
          <t>2026/06/14</t>
        </is>
      </c>
      <c r="B8" s="2" t="inlineStr">
        <is>
          <t>氯化钴</t>
        </is>
      </c>
      <c r="C8" s="3" t="n">
        <v>110000</v>
      </c>
      <c r="D8" s="4" t="n">
        <v>115000</v>
      </c>
      <c r="E8" s="4" t="n">
        <v>112500</v>
      </c>
      <c r="F8" s="4" t="n">
        <v>0</v>
      </c>
      <c r="G8" s="5" t="inlineStr">
        <is>
          <t>元/吨</t>
        </is>
      </c>
      <c r="H8" s="5" t="inlineStr">
        <is>
          <t>SMM</t>
        </is>
      </c>
    </row>
    <row r="9">
      <c r="A9" s="2" t="inlineStr">
        <is>
          <t>2026/06/14</t>
        </is>
      </c>
      <c r="B9" s="2" t="inlineStr">
        <is>
          <t>电池级氢氧化锂（粗颗粒）</t>
        </is>
      </c>
      <c r="C9" s="3" t="n">
        <v>149000</v>
      </c>
      <c r="D9" s="4" t="n">
        <v>164000</v>
      </c>
      <c r="E9" s="4" t="n">
        <v>156500</v>
      </c>
      <c r="F9" s="4" t="n">
        <v>4000</v>
      </c>
      <c r="G9" s="5" t="inlineStr">
        <is>
          <t>元/吨</t>
        </is>
      </c>
      <c r="H9" s="5" t="inlineStr">
        <is>
          <t>SMM</t>
        </is>
      </c>
    </row>
    <row r="10">
      <c r="A10" s="2" t="inlineStr">
        <is>
          <t>2026/06/14</t>
        </is>
      </c>
      <c r="B10" s="2" t="inlineStr">
        <is>
          <t>电池级硫酸镍</t>
        </is>
      </c>
      <c r="C10" s="3" t="n">
        <v>33400</v>
      </c>
      <c r="D10" s="4" t="n">
        <v>33800</v>
      </c>
      <c r="E10" s="4" t="n">
        <v>33600</v>
      </c>
      <c r="F10" s="4" t="n">
        <v>-100</v>
      </c>
      <c r="G10" s="5" t="inlineStr">
        <is>
          <t>元/吨</t>
        </is>
      </c>
      <c r="H10" s="5" t="inlineStr">
        <is>
          <t>SMM</t>
        </is>
      </c>
    </row>
    <row r="11">
      <c r="A11" s="2" t="inlineStr">
        <is>
          <t>2026/06/14</t>
        </is>
      </c>
      <c r="B11" s="2" t="inlineStr">
        <is>
          <t>电池级碳酸锂</t>
        </is>
      </c>
      <c r="C11" s="3" t="n">
        <v>166000</v>
      </c>
      <c r="D11" s="4" t="n">
        <v>175000</v>
      </c>
      <c r="E11" s="4" t="n">
        <v>170500</v>
      </c>
      <c r="F11" s="4" t="n">
        <v>4000</v>
      </c>
      <c r="G11" s="5" t="inlineStr">
        <is>
          <t>元/吨</t>
        </is>
      </c>
      <c r="H11" s="5" t="inlineStr">
        <is>
          <t>SMM</t>
        </is>
      </c>
    </row>
    <row r="12">
      <c r="A12" s="2" t="inlineStr">
        <is>
          <t>2026/06/14</t>
        </is>
      </c>
      <c r="B12" s="2" t="inlineStr">
        <is>
          <t>电解钴</t>
        </is>
      </c>
      <c r="C12" s="3" t="n">
        <v>385000</v>
      </c>
      <c r="D12" s="4" t="n">
        <v>412000</v>
      </c>
      <c r="E12" s="4" t="n">
        <v>398500</v>
      </c>
      <c r="F12" s="4" t="n">
        <v>-4000</v>
      </c>
      <c r="G12" s="5" t="inlineStr">
        <is>
          <t>元/吨</t>
        </is>
      </c>
      <c r="H12" s="5" t="inlineStr">
        <is>
          <t>SMM</t>
        </is>
      </c>
    </row>
    <row r="13">
      <c r="A13" s="2" t="inlineStr">
        <is>
          <t>2026/06/14</t>
        </is>
      </c>
      <c r="B13" s="2" t="inlineStr">
        <is>
          <t>硫酸钴</t>
        </is>
      </c>
      <c r="C13" s="3" t="n">
        <v>88500</v>
      </c>
      <c r="D13" s="4" t="n">
        <v>91500</v>
      </c>
      <c r="E13" s="4" t="n">
        <v>90000</v>
      </c>
      <c r="F13" s="4" t="n">
        <v>0</v>
      </c>
      <c r="G13" s="5" t="inlineStr">
        <is>
          <t>元/吨</t>
        </is>
      </c>
      <c r="H13" s="5" t="inlineStr">
        <is>
          <t>SMM</t>
        </is>
      </c>
    </row>
    <row r="14">
      <c r="A14" s="2" t="inlineStr">
        <is>
          <t>2026/06/15</t>
        </is>
      </c>
      <c r="B14" s="2" t="inlineStr">
        <is>
          <t>5系三元前驱体</t>
        </is>
      </c>
      <c r="C14" s="3" t="n">
        <v>101450</v>
      </c>
      <c r="D14" s="4" t="n">
        <v>106650</v>
      </c>
      <c r="E14" s="4" t="n">
        <v>104050</v>
      </c>
      <c r="F14" s="4" t="n">
        <v>-200</v>
      </c>
      <c r="G14" s="5" t="inlineStr">
        <is>
          <t>元/吨</t>
        </is>
      </c>
      <c r="H14" s="5" t="inlineStr">
        <is>
          <t>SMM</t>
        </is>
      </c>
    </row>
    <row r="15">
      <c r="A15" s="2" t="inlineStr">
        <is>
          <t>2026/06/15</t>
        </is>
      </c>
      <c r="B15" s="2" t="inlineStr">
        <is>
          <t>5系三元材料</t>
        </is>
      </c>
      <c r="C15" s="3" t="n">
        <v>186900</v>
      </c>
      <c r="D15" s="4" t="n">
        <v>195800</v>
      </c>
      <c r="E15" s="4" t="n">
        <v>191350</v>
      </c>
      <c r="F15" s="4" t="n">
        <v>-400</v>
      </c>
      <c r="G15" s="5" t="inlineStr">
        <is>
          <t>元/吨</t>
        </is>
      </c>
      <c r="H15" s="5" t="inlineStr">
        <is>
          <t>SMM</t>
        </is>
      </c>
    </row>
    <row r="16">
      <c r="A16" s="2" t="inlineStr">
        <is>
          <t>2026/06/15</t>
        </is>
      </c>
      <c r="B16" s="2" t="inlineStr">
        <is>
          <t>6系三元前驱体（单晶/动力型）</t>
        </is>
      </c>
      <c r="C16" s="3" t="n">
        <v>94200</v>
      </c>
      <c r="D16" s="4" t="n">
        <v>98900</v>
      </c>
      <c r="E16" s="4" t="n">
        <v>96550</v>
      </c>
      <c r="F16" s="4" t="n">
        <v>-100</v>
      </c>
      <c r="G16" s="5" t="inlineStr">
        <is>
          <t>元/吨</t>
        </is>
      </c>
      <c r="H16" s="5" t="inlineStr">
        <is>
          <t>SMM</t>
        </is>
      </c>
    </row>
    <row r="17">
      <c r="A17" s="2" t="inlineStr">
        <is>
          <t>2026/06/15</t>
        </is>
      </c>
      <c r="B17" s="2" t="inlineStr">
        <is>
          <t>6系三元材料（单晶/动力型）</t>
        </is>
      </c>
      <c r="C17" s="3" t="n">
        <v>191000</v>
      </c>
      <c r="D17" s="4" t="n">
        <v>200500</v>
      </c>
      <c r="E17" s="4" t="n">
        <v>195750</v>
      </c>
      <c r="F17" s="4" t="n">
        <v>-300</v>
      </c>
      <c r="G17" s="5" t="inlineStr">
        <is>
          <t>元/吨</t>
        </is>
      </c>
      <c r="H17" s="5" t="inlineStr">
        <is>
          <t>SMM</t>
        </is>
      </c>
    </row>
    <row r="18">
      <c r="A18" s="2" t="inlineStr">
        <is>
          <t>2026/06/15</t>
        </is>
      </c>
      <c r="B18" s="2" t="inlineStr">
        <is>
          <t>8系三元前驱体（多晶/动力型）</t>
        </is>
      </c>
      <c r="C18" s="3" t="n">
        <v>116650</v>
      </c>
      <c r="D18" s="4" t="n">
        <v>122450</v>
      </c>
      <c r="E18" s="4" t="n">
        <v>119550</v>
      </c>
      <c r="F18" s="4" t="n">
        <v>-150</v>
      </c>
      <c r="G18" s="5" t="inlineStr">
        <is>
          <t>元/吨</t>
        </is>
      </c>
      <c r="H18" s="5" t="inlineStr">
        <is>
          <t>SMM</t>
        </is>
      </c>
    </row>
    <row r="19">
      <c r="A19" s="2" t="inlineStr">
        <is>
          <t>2026/06/15</t>
        </is>
      </c>
      <c r="B19" s="2" t="inlineStr">
        <is>
          <t>8系三元材料</t>
        </is>
      </c>
      <c r="C19" s="3" t="n">
        <v>214300</v>
      </c>
      <c r="D19" s="4" t="n">
        <v>223900</v>
      </c>
      <c r="E19" s="4" t="n">
        <v>219100</v>
      </c>
      <c r="F19" s="4" t="n">
        <v>-400</v>
      </c>
      <c r="G19" s="5" t="inlineStr">
        <is>
          <t>元/吨</t>
        </is>
      </c>
      <c r="H19" s="5" t="inlineStr">
        <is>
          <t>SMM</t>
        </is>
      </c>
    </row>
    <row r="20">
      <c r="A20" s="2" t="inlineStr">
        <is>
          <t>2026/06/15</t>
        </is>
      </c>
      <c r="B20" s="2" t="inlineStr">
        <is>
          <t>MHP系数（对SMM电池级硫酸镍指数）</t>
        </is>
      </c>
      <c r="C20" s="7" t="n">
        <v>85</v>
      </c>
      <c r="D20" s="6" t="n">
        <v>86</v>
      </c>
      <c r="E20" s="6" t="n">
        <v>85.5</v>
      </c>
      <c r="F20" s="6" t="n">
        <v>0.5</v>
      </c>
      <c r="G20" s="5" t="inlineStr">
        <is>
          <t>%</t>
        </is>
      </c>
      <c r="H20" s="5" t="inlineStr">
        <is>
          <t>SMM</t>
        </is>
      </c>
    </row>
    <row r="21">
      <c r="A21" s="2" t="inlineStr">
        <is>
          <t>2026/06/15</t>
        </is>
      </c>
      <c r="B21" s="2" t="inlineStr">
        <is>
          <t>MHP钴元素计价系数（对SMM硫酸钴均价）</t>
        </is>
      </c>
      <c r="C21" s="7" t="n">
        <v>92</v>
      </c>
      <c r="D21" s="6" t="n">
        <v>93</v>
      </c>
      <c r="E21" s="6" t="n">
        <v>92.5</v>
      </c>
      <c r="F21" s="4" t="n">
        <v>0</v>
      </c>
      <c r="G21" s="5" t="inlineStr">
        <is>
          <t>%</t>
        </is>
      </c>
      <c r="H21" s="5" t="inlineStr">
        <is>
          <t>SMM</t>
        </is>
      </c>
    </row>
    <row r="22">
      <c r="A22" s="2" t="inlineStr">
        <is>
          <t>2026/06/15</t>
        </is>
      </c>
      <c r="B22" s="2" t="inlineStr">
        <is>
          <t>NCA三元材料</t>
        </is>
      </c>
      <c r="C22" s="3" t="n">
        <v>211600</v>
      </c>
      <c r="D22" s="4" t="n">
        <v>219900</v>
      </c>
      <c r="E22" s="4" t="n">
        <v>215750</v>
      </c>
      <c r="F22" s="4" t="n">
        <v>-600</v>
      </c>
      <c r="G22" s="5" t="inlineStr">
        <is>
          <t>元/吨</t>
        </is>
      </c>
      <c r="H22" s="5" t="inlineStr">
        <is>
          <t>SMM</t>
        </is>
      </c>
    </row>
    <row r="23">
      <c r="A23" s="2" t="inlineStr">
        <is>
          <t>2026/06/15</t>
        </is>
      </c>
      <c r="B23" s="2" t="inlineStr">
        <is>
          <t>SMM三元极片粉钴系数指数</t>
        </is>
      </c>
      <c r="C23" s="7" t="n">
        <v>79</v>
      </c>
      <c r="D23" s="6" t="n">
        <v>79</v>
      </c>
      <c r="E23" s="6" t="n">
        <v>79</v>
      </c>
      <c r="F23" s="4" t="n">
        <v>0</v>
      </c>
      <c r="G23" s="5" t="inlineStr">
        <is>
          <t>%</t>
        </is>
      </c>
      <c r="H23" s="5" t="inlineStr">
        <is>
          <t>SMM</t>
        </is>
      </c>
    </row>
    <row r="24">
      <c r="A24" s="2" t="inlineStr">
        <is>
          <t>2026/06/15</t>
        </is>
      </c>
      <c r="B24" s="2" t="inlineStr">
        <is>
          <t>SMM三元极片粉锂系数指数</t>
        </is>
      </c>
      <c r="C24" s="7" t="n">
        <v>79.05</v>
      </c>
      <c r="D24" s="6" t="n">
        <v>79.05</v>
      </c>
      <c r="E24" s="6" t="n">
        <v>79.05</v>
      </c>
      <c r="F24" s="4" t="n">
        <v>0</v>
      </c>
      <c r="G24" s="5" t="inlineStr">
        <is>
          <t>%</t>
        </is>
      </c>
      <c r="H24" s="5" t="inlineStr">
        <is>
          <t>SMM</t>
        </is>
      </c>
    </row>
    <row r="25">
      <c r="A25" s="2" t="inlineStr">
        <is>
          <t>2026/06/15</t>
        </is>
      </c>
      <c r="B25" s="2" t="inlineStr">
        <is>
          <t>SMM三元极片粉镍系数指数</t>
        </is>
      </c>
      <c r="C25" s="7" t="n">
        <v>79.05</v>
      </c>
      <c r="D25" s="6" t="n">
        <v>79.05</v>
      </c>
      <c r="E25" s="6" t="n">
        <v>79.05</v>
      </c>
      <c r="F25" s="4" t="n">
        <v>0</v>
      </c>
      <c r="G25" s="5" t="inlineStr">
        <is>
          <t>%</t>
        </is>
      </c>
      <c r="H25" s="5" t="inlineStr">
        <is>
          <t>SMM</t>
        </is>
      </c>
    </row>
    <row r="26">
      <c r="A26" s="2" t="inlineStr">
        <is>
          <t>2026/06/15</t>
        </is>
      </c>
      <c r="B26" s="2" t="inlineStr">
        <is>
          <t>SMM三元电池粉钴系数指数</t>
        </is>
      </c>
      <c r="C26" s="7" t="n">
        <v>75.72</v>
      </c>
      <c r="D26" s="6" t="n">
        <v>75.72</v>
      </c>
      <c r="E26" s="6" t="n">
        <v>75.72</v>
      </c>
      <c r="F26" s="6" t="n">
        <v>-0.13</v>
      </c>
      <c r="G26" s="5" t="inlineStr">
        <is>
          <t>%</t>
        </is>
      </c>
      <c r="H26" s="5" t="inlineStr">
        <is>
          <t>SMM</t>
        </is>
      </c>
    </row>
    <row r="27">
      <c r="A27" s="2" t="inlineStr">
        <is>
          <t>2026/06/15</t>
        </is>
      </c>
      <c r="B27" s="2" t="inlineStr">
        <is>
          <t>SMM三元电池粉锂系数指数</t>
        </is>
      </c>
      <c r="C27" s="7" t="n">
        <v>75.83</v>
      </c>
      <c r="D27" s="6" t="n">
        <v>75.83</v>
      </c>
      <c r="E27" s="6" t="n">
        <v>75.83</v>
      </c>
      <c r="F27" s="6" t="n">
        <v>-0.16</v>
      </c>
      <c r="G27" s="5" t="inlineStr">
        <is>
          <t>%</t>
        </is>
      </c>
      <c r="H27" s="5" t="inlineStr">
        <is>
          <t>SMM</t>
        </is>
      </c>
    </row>
    <row r="28">
      <c r="A28" s="2" t="inlineStr">
        <is>
          <t>2026/06/15</t>
        </is>
      </c>
      <c r="B28" s="2" t="inlineStr">
        <is>
          <t>SMM三元电池粉镍系数指数</t>
        </is>
      </c>
      <c r="C28" s="7" t="n">
        <v>75.83</v>
      </c>
      <c r="D28" s="6" t="n">
        <v>75.83</v>
      </c>
      <c r="E28" s="6" t="n">
        <v>75.83</v>
      </c>
      <c r="F28" s="6" t="n">
        <v>-0.16</v>
      </c>
      <c r="G28" s="5" t="inlineStr">
        <is>
          <t>%</t>
        </is>
      </c>
      <c r="H28" s="5" t="inlineStr">
        <is>
          <t>SMM</t>
        </is>
      </c>
    </row>
    <row r="29">
      <c r="A29" s="2" t="inlineStr">
        <is>
          <t>2026/06/15</t>
        </is>
      </c>
      <c r="B29" s="2" t="inlineStr">
        <is>
          <t>SMM六氟磷酸锂指数</t>
        </is>
      </c>
      <c r="C29" s="3" t="n">
        <v>102407</v>
      </c>
      <c r="D29" s="4" t="n">
        <v>106587</v>
      </c>
      <c r="E29" s="4" t="n">
        <v>104497</v>
      </c>
      <c r="F29" s="6" t="n">
        <v>-76.5</v>
      </c>
      <c r="G29" s="5" t="inlineStr">
        <is>
          <t>元/吨</t>
        </is>
      </c>
      <c r="H29" s="5" t="inlineStr">
        <is>
          <t>SMM</t>
        </is>
      </c>
    </row>
    <row r="30">
      <c r="A30" s="2" t="inlineStr">
        <is>
          <t>2026/06/15</t>
        </is>
      </c>
      <c r="B30" s="2" t="inlineStr">
        <is>
          <t>SMM电池级氢氧化锂指数</t>
        </is>
      </c>
      <c r="C30" s="3" t="n">
        <v>155318</v>
      </c>
      <c r="D30" s="4" t="n">
        <v>155318</v>
      </c>
      <c r="E30" s="4" t="n">
        <v>155318</v>
      </c>
      <c r="F30" s="4" t="n">
        <v>-2320</v>
      </c>
      <c r="G30" s="5" t="inlineStr">
        <is>
          <t>元/吨</t>
        </is>
      </c>
      <c r="H30" s="5" t="inlineStr">
        <is>
          <t>SMM</t>
        </is>
      </c>
    </row>
    <row r="31">
      <c r="A31" s="2" t="inlineStr">
        <is>
          <t>2026/06/15</t>
        </is>
      </c>
      <c r="B31" s="2" t="inlineStr">
        <is>
          <t>SMM电池级硫酸锰指数</t>
        </is>
      </c>
      <c r="C31" s="3" t="n">
        <v>7646</v>
      </c>
      <c r="D31" s="4" t="n">
        <v>7646</v>
      </c>
      <c r="E31" s="4" t="n">
        <v>7646</v>
      </c>
      <c r="F31" s="6" t="n">
        <v>6</v>
      </c>
      <c r="G31" s="5" t="inlineStr">
        <is>
          <t>元/吨</t>
        </is>
      </c>
      <c r="H31" s="5" t="inlineStr">
        <is>
          <t>SMM</t>
        </is>
      </c>
    </row>
    <row r="32">
      <c r="A32" s="2" t="inlineStr">
        <is>
          <t>2026/06/15</t>
        </is>
      </c>
      <c r="B32" s="2" t="inlineStr">
        <is>
          <t>SMM电池级硫酸镍指数</t>
        </is>
      </c>
      <c r="C32" s="3" t="n">
        <v>33050</v>
      </c>
      <c r="D32" s="4" t="n">
        <v>33050</v>
      </c>
      <c r="E32" s="4" t="n">
        <v>33050</v>
      </c>
      <c r="F32" s="6" t="n">
        <v>12</v>
      </c>
      <c r="G32" s="5" t="inlineStr">
        <is>
          <t>元/吨</t>
        </is>
      </c>
      <c r="H32" s="5" t="inlineStr">
        <is>
          <t>SMM</t>
        </is>
      </c>
    </row>
    <row r="33">
      <c r="A33" s="2" t="inlineStr">
        <is>
          <t>2026/06/15</t>
        </is>
      </c>
      <c r="B33" s="2" t="inlineStr">
        <is>
          <t>SMM电池级碳酸锂指数</t>
        </is>
      </c>
      <c r="C33" s="3" t="n">
        <v>170885</v>
      </c>
      <c r="D33" s="4" t="n">
        <v>170885</v>
      </c>
      <c r="E33" s="4" t="n">
        <v>170885</v>
      </c>
      <c r="F33" s="4" t="n">
        <v>264</v>
      </c>
      <c r="G33" s="5" t="inlineStr">
        <is>
          <t>元/吨</t>
        </is>
      </c>
      <c r="H33" s="5" t="inlineStr">
        <is>
          <t>SMM</t>
        </is>
      </c>
    </row>
    <row r="34">
      <c r="A34" s="2" t="inlineStr">
        <is>
          <t>2026/06/15</t>
        </is>
      </c>
      <c r="B34" s="2" t="inlineStr">
        <is>
          <t>SMM硫酸钴指数</t>
        </is>
      </c>
      <c r="C34" s="3" t="n">
        <v>89058</v>
      </c>
      <c r="D34" s="4" t="n">
        <v>89058</v>
      </c>
      <c r="E34" s="4" t="n">
        <v>89058</v>
      </c>
      <c r="F34" s="4" t="n">
        <v>-666</v>
      </c>
      <c r="G34" s="5" t="inlineStr">
        <is>
          <t>元/吨</t>
        </is>
      </c>
      <c r="H34" s="5" t="inlineStr">
        <is>
          <t>SMM</t>
        </is>
      </c>
    </row>
    <row r="35">
      <c r="A35" s="2" t="inlineStr">
        <is>
          <t>2026/06/15</t>
        </is>
      </c>
      <c r="B35" s="2" t="inlineStr">
        <is>
          <t>SMM磷酸铁锂极片粉指数</t>
        </is>
      </c>
      <c r="C35" s="3" t="n">
        <v>7494</v>
      </c>
      <c r="D35" s="4" t="n">
        <v>7494</v>
      </c>
      <c r="E35" s="4" t="n">
        <v>7494</v>
      </c>
      <c r="F35" s="6" t="n">
        <v>58</v>
      </c>
      <c r="G35" s="5" t="inlineStr">
        <is>
          <t>元/锂点</t>
        </is>
      </c>
      <c r="H35" s="5" t="inlineStr">
        <is>
          <t>SMM</t>
        </is>
      </c>
    </row>
    <row r="36">
      <c r="A36" s="2" t="inlineStr">
        <is>
          <t>2026/06/15</t>
        </is>
      </c>
      <c r="B36" s="2" t="inlineStr">
        <is>
          <t>SMM磷酸铁锂电池粉指数</t>
        </is>
      </c>
      <c r="C36" s="3" t="n">
        <v>7062</v>
      </c>
      <c r="D36" s="4" t="n">
        <v>7062</v>
      </c>
      <c r="E36" s="4" t="n">
        <v>7062</v>
      </c>
      <c r="F36" s="6" t="n">
        <v>1</v>
      </c>
      <c r="G36" s="5" t="inlineStr">
        <is>
          <t>元/锂点</t>
        </is>
      </c>
      <c r="H36" s="5" t="inlineStr">
        <is>
          <t>SMM</t>
        </is>
      </c>
    </row>
    <row r="37">
      <c r="A37" s="2" t="inlineStr">
        <is>
          <t>2026/06/15</t>
        </is>
      </c>
      <c r="B37" s="2" t="inlineStr">
        <is>
          <t>SMM钴酸锂极片粉钴系数指数</t>
        </is>
      </c>
      <c r="C37" s="7" t="n">
        <v>82.53</v>
      </c>
      <c r="D37" s="6" t="n">
        <v>82.53</v>
      </c>
      <c r="E37" s="6" t="n">
        <v>82.53</v>
      </c>
      <c r="F37" s="6" t="n">
        <v>-0.78</v>
      </c>
      <c r="G37" s="5" t="inlineStr">
        <is>
          <t>%</t>
        </is>
      </c>
      <c r="H37" s="5" t="inlineStr">
        <is>
          <t>SMM</t>
        </is>
      </c>
    </row>
    <row r="38">
      <c r="A38" s="2" t="inlineStr">
        <is>
          <t>2026/06/15</t>
        </is>
      </c>
      <c r="B38" s="2" t="inlineStr">
        <is>
          <t>SMM钴酸锂极片粉锂系数指数</t>
        </is>
      </c>
      <c r="C38" s="7" t="n">
        <v>76.5</v>
      </c>
      <c r="D38" s="6" t="n">
        <v>76.5</v>
      </c>
      <c r="E38" s="6" t="n">
        <v>76.5</v>
      </c>
      <c r="F38" s="6" t="n">
        <v>-0.26</v>
      </c>
      <c r="G38" s="5" t="inlineStr">
        <is>
          <t>%</t>
        </is>
      </c>
      <c r="H38" s="5" t="inlineStr">
        <is>
          <t>SMM</t>
        </is>
      </c>
    </row>
    <row r="39">
      <c r="A39" s="2" t="inlineStr">
        <is>
          <t>2026/06/15</t>
        </is>
      </c>
      <c r="B39" s="2" t="inlineStr">
        <is>
          <t>SMM钴酸锂电池粉钴系数指数</t>
        </is>
      </c>
      <c r="C39" s="7" t="n">
        <v>80.13</v>
      </c>
      <c r="D39" s="6" t="n">
        <v>80.13</v>
      </c>
      <c r="E39" s="6" t="n">
        <v>80.13</v>
      </c>
      <c r="F39" s="6" t="n">
        <v>-0.92</v>
      </c>
      <c r="G39" s="5" t="inlineStr">
        <is>
          <t>%</t>
        </is>
      </c>
      <c r="H39" s="5" t="inlineStr">
        <is>
          <t>SMM</t>
        </is>
      </c>
    </row>
    <row r="40">
      <c r="A40" s="2" t="inlineStr">
        <is>
          <t>2026/06/15</t>
        </is>
      </c>
      <c r="B40" s="2" t="inlineStr">
        <is>
          <t>SMM钴酸锂电池粉锂系数指数</t>
        </is>
      </c>
      <c r="C40" s="7" t="n">
        <v>76.11</v>
      </c>
      <c r="D40" s="6" t="n">
        <v>76.11</v>
      </c>
      <c r="E40" s="6" t="n">
        <v>76.11</v>
      </c>
      <c r="F40" s="6" t="n">
        <v>-0.31</v>
      </c>
      <c r="G40" s="5" t="inlineStr">
        <is>
          <t>%</t>
        </is>
      </c>
      <c r="H40" s="5" t="inlineStr">
        <is>
          <t>SMM</t>
        </is>
      </c>
    </row>
    <row r="41">
      <c r="A41" s="2" t="inlineStr">
        <is>
          <t>2026/06/15</t>
        </is>
      </c>
      <c r="B41" s="2" t="inlineStr">
        <is>
          <t>三元方壳锂电B品</t>
        </is>
      </c>
      <c r="C41" s="7" t="n">
        <v>0.75</v>
      </c>
      <c r="D41" s="6" t="n">
        <v>0.85</v>
      </c>
      <c r="E41" s="6" t="n">
        <v>0.8</v>
      </c>
      <c r="F41" s="4" t="n">
        <v>0</v>
      </c>
      <c r="G41" s="5" t="inlineStr">
        <is>
          <t>元/Ah</t>
        </is>
      </c>
      <c r="H41" s="5" t="inlineStr">
        <is>
          <t>SMM</t>
        </is>
      </c>
    </row>
    <row r="42">
      <c r="A42" s="2" t="inlineStr">
        <is>
          <t>2026/06/15</t>
        </is>
      </c>
      <c r="B42" s="2" t="inlineStr">
        <is>
          <t>六氟磷酸锂（国产）</t>
        </is>
      </c>
      <c r="C42" s="3" t="n">
        <v>110000</v>
      </c>
      <c r="D42" s="4" t="n">
        <v>118000</v>
      </c>
      <c r="E42" s="4" t="n">
        <v>114000</v>
      </c>
      <c r="F42" s="4" t="n">
        <v>0</v>
      </c>
      <c r="G42" s="5" t="inlineStr">
        <is>
          <t>元/吨</t>
        </is>
      </c>
      <c r="H42" s="5" t="inlineStr">
        <is>
          <t>SMM</t>
        </is>
      </c>
    </row>
    <row r="43">
      <c r="A43" s="2" t="inlineStr">
        <is>
          <t>2026/06/15</t>
        </is>
      </c>
      <c r="B43" s="2" t="inlineStr">
        <is>
          <t>四氧化三钴</t>
        </is>
      </c>
      <c r="C43" s="3" t="n">
        <v>339000</v>
      </c>
      <c r="D43" s="4" t="n">
        <v>350000</v>
      </c>
      <c r="E43" s="4" t="n">
        <v>344500</v>
      </c>
      <c r="F43" s="4" t="n">
        <v>-1000</v>
      </c>
      <c r="G43" s="5" t="inlineStr">
        <is>
          <t>元/吨</t>
        </is>
      </c>
      <c r="H43" s="5" t="inlineStr">
        <is>
          <t>SMM</t>
        </is>
      </c>
    </row>
    <row r="44">
      <c r="A44" s="2" t="inlineStr">
        <is>
          <t>2026/06/15</t>
        </is>
      </c>
      <c r="B44" s="2" t="inlineStr">
        <is>
          <t>四氧化三锰（电池级）</t>
        </is>
      </c>
      <c r="C44" s="3" t="n">
        <v>14000</v>
      </c>
      <c r="D44" s="4" t="n">
        <v>16000</v>
      </c>
      <c r="E44" s="4" t="n">
        <v>15000</v>
      </c>
      <c r="F44" s="4" t="n">
        <v>0</v>
      </c>
      <c r="G44" s="5" t="inlineStr">
        <is>
          <t>元/吨</t>
        </is>
      </c>
      <c r="H44" s="5" t="inlineStr">
        <is>
          <t>SMM</t>
        </is>
      </c>
    </row>
    <row r="45">
      <c r="A45" s="2" t="inlineStr">
        <is>
          <t>2026/06/15</t>
        </is>
      </c>
      <c r="B45" s="2" t="inlineStr">
        <is>
          <t>工业级氢氧化锂</t>
        </is>
      </c>
      <c r="C45" s="3" t="n">
        <v>139000</v>
      </c>
      <c r="D45" s="4" t="n">
        <v>146000</v>
      </c>
      <c r="E45" s="4" t="n">
        <v>142500</v>
      </c>
      <c r="F45" s="4" t="n">
        <v>-1500</v>
      </c>
      <c r="G45" s="5" t="inlineStr">
        <is>
          <t>元/吨</t>
        </is>
      </c>
      <c r="H45" s="5" t="inlineStr">
        <is>
          <t>SMM</t>
        </is>
      </c>
    </row>
    <row r="46">
      <c r="A46" s="2" t="inlineStr">
        <is>
          <t>2026/06/15</t>
        </is>
      </c>
      <c r="B46" s="2" t="inlineStr">
        <is>
          <t>工业级碳酸锂</t>
        </is>
      </c>
      <c r="C46" s="3" t="n">
        <v>162000</v>
      </c>
      <c r="D46" s="4" t="n">
        <v>171000</v>
      </c>
      <c r="E46" s="4" t="n">
        <v>166500</v>
      </c>
      <c r="F46" s="4" t="n">
        <v>0</v>
      </c>
      <c r="G46" s="5" t="inlineStr">
        <is>
          <t>元/吨</t>
        </is>
      </c>
      <c r="H46" s="5" t="inlineStr">
        <is>
          <t>SMM</t>
        </is>
      </c>
    </row>
    <row r="47">
      <c r="A47" s="2" t="inlineStr">
        <is>
          <t>2026/06/15</t>
        </is>
      </c>
      <c r="B47" s="2" t="inlineStr">
        <is>
          <t>工业级金属锂</t>
        </is>
      </c>
      <c r="C47" s="3" t="n">
        <v>1070000</v>
      </c>
      <c r="D47" s="4" t="n">
        <v>1140000</v>
      </c>
      <c r="E47" s="4" t="n">
        <v>1105000</v>
      </c>
      <c r="F47" s="4" t="n">
        <v>0</v>
      </c>
      <c r="G47" s="5" t="inlineStr">
        <is>
          <t>元/吨</t>
        </is>
      </c>
      <c r="H47" s="5" t="inlineStr">
        <is>
          <t>SMM</t>
        </is>
      </c>
    </row>
    <row r="48">
      <c r="A48" s="2" t="inlineStr">
        <is>
          <t>2026/06/15</t>
        </is>
      </c>
      <c r="B48" s="2" t="inlineStr">
        <is>
          <t>巴西锂辉石精矿（CIF中国）现货</t>
        </is>
      </c>
      <c r="C48" s="3" t="n">
        <v>2430</v>
      </c>
      <c r="D48" s="4" t="n">
        <v>2550</v>
      </c>
      <c r="E48" s="4" t="n">
        <v>2490</v>
      </c>
      <c r="F48" s="6" t="n">
        <v>-5</v>
      </c>
      <c r="G48" s="5" t="inlineStr">
        <is>
          <t>美元/吨</t>
        </is>
      </c>
      <c r="H48" s="5" t="inlineStr">
        <is>
          <t>SMM</t>
        </is>
      </c>
    </row>
    <row r="49">
      <c r="A49" s="2" t="inlineStr">
        <is>
          <t>2026/06/15</t>
        </is>
      </c>
      <c r="B49" s="2" t="inlineStr">
        <is>
          <t>废旧磷酸铁锂储能正极片</t>
        </is>
      </c>
      <c r="C49" s="3" t="n">
        <v>22400</v>
      </c>
      <c r="D49" s="4" t="n">
        <v>25550</v>
      </c>
      <c r="E49" s="4" t="n">
        <v>23975</v>
      </c>
      <c r="F49" s="4" t="n">
        <v>325</v>
      </c>
      <c r="G49" s="5" t="inlineStr">
        <is>
          <t>元/吨</t>
        </is>
      </c>
      <c r="H49" s="5" t="inlineStr">
        <is>
          <t>SMM</t>
        </is>
      </c>
    </row>
    <row r="50">
      <c r="A50" s="2" t="inlineStr">
        <is>
          <t>2026/06/15</t>
        </is>
      </c>
      <c r="B50" s="2" t="inlineStr">
        <is>
          <t>废旧磷酸铁锂动力正极片</t>
        </is>
      </c>
      <c r="C50" s="3" t="n">
        <v>26600</v>
      </c>
      <c r="D50" s="4" t="n">
        <v>30750</v>
      </c>
      <c r="E50" s="4" t="n">
        <v>28675</v>
      </c>
      <c r="F50" s="4" t="n">
        <v>425</v>
      </c>
      <c r="G50" s="5" t="inlineStr">
        <is>
          <t>元/吨</t>
        </is>
      </c>
      <c r="H50" s="5" t="inlineStr">
        <is>
          <t>SMM</t>
        </is>
      </c>
    </row>
    <row r="51">
      <c r="A51" s="2" t="inlineStr">
        <is>
          <t>2026/06/15</t>
        </is>
      </c>
      <c r="B51" s="2" t="inlineStr">
        <is>
          <t>废旧磷酸铁锂软包电池</t>
        </is>
      </c>
      <c r="C51" s="3" t="n">
        <v>16600</v>
      </c>
      <c r="D51" s="4" t="n">
        <v>18300</v>
      </c>
      <c r="E51" s="4" t="n">
        <v>17450</v>
      </c>
      <c r="F51" s="4" t="n">
        <v>0</v>
      </c>
      <c r="G51" s="5" t="inlineStr">
        <is>
          <t>元/吨</t>
        </is>
      </c>
      <c r="H51" s="5" t="inlineStr">
        <is>
          <t>SMM</t>
        </is>
      </c>
    </row>
    <row r="52">
      <c r="A52" s="2" t="inlineStr">
        <is>
          <t>2026/06/15</t>
        </is>
      </c>
      <c r="B52" s="2" t="inlineStr">
        <is>
          <t>废旧磷酸铁锂钢壳电池</t>
        </is>
      </c>
      <c r="C52" s="3" t="n">
        <v>10800</v>
      </c>
      <c r="D52" s="4" t="n">
        <v>11800</v>
      </c>
      <c r="E52" s="4" t="n">
        <v>11300</v>
      </c>
      <c r="F52" s="4" t="n">
        <v>0</v>
      </c>
      <c r="G52" s="5" t="inlineStr">
        <is>
          <t>元/吨</t>
        </is>
      </c>
      <c r="H52" s="5" t="inlineStr">
        <is>
          <t>SMM</t>
        </is>
      </c>
    </row>
    <row r="53">
      <c r="A53" s="2" t="inlineStr">
        <is>
          <t>2026/06/15</t>
        </is>
      </c>
      <c r="B53" s="2" t="inlineStr">
        <is>
          <t>废旧磷酸铁锂铝壳电池</t>
        </is>
      </c>
      <c r="C53" s="3" t="n">
        <v>17800</v>
      </c>
      <c r="D53" s="4" t="n">
        <v>19300</v>
      </c>
      <c r="E53" s="4" t="n">
        <v>18550</v>
      </c>
      <c r="F53" s="4" t="n">
        <v>0</v>
      </c>
      <c r="G53" s="5" t="inlineStr">
        <is>
          <t>元/吨</t>
        </is>
      </c>
      <c r="H53" s="5" t="inlineStr">
        <is>
          <t>SMM</t>
        </is>
      </c>
    </row>
    <row r="54">
      <c r="A54" s="2" t="inlineStr">
        <is>
          <t>2026/06/15</t>
        </is>
      </c>
      <c r="B54" s="2" t="inlineStr">
        <is>
          <t>方形磷酸铁锂电池B品</t>
        </is>
      </c>
      <c r="C54" s="7" t="n">
        <v>0.68</v>
      </c>
      <c r="D54" s="6" t="n">
        <v>0.8</v>
      </c>
      <c r="E54" s="6" t="n">
        <v>0.74</v>
      </c>
      <c r="F54" s="4" t="n">
        <v>0</v>
      </c>
      <c r="G54" s="5" t="inlineStr">
        <is>
          <t>元/Ah</t>
        </is>
      </c>
      <c r="H54" s="5" t="inlineStr">
        <is>
          <t>SMM</t>
        </is>
      </c>
    </row>
    <row r="55">
      <c r="A55" s="2" t="inlineStr">
        <is>
          <t>2026/06/15</t>
        </is>
      </c>
      <c r="B55" s="2" t="inlineStr">
        <is>
          <t>氧化亚镍</t>
        </is>
      </c>
      <c r="C55" s="3" t="n">
        <v>118000</v>
      </c>
      <c r="D55" s="4" t="n">
        <v>126000</v>
      </c>
      <c r="E55" s="4" t="n">
        <v>122000</v>
      </c>
      <c r="F55" s="4" t="n">
        <v>0</v>
      </c>
      <c r="G55" s="5" t="inlineStr">
        <is>
          <t>元/吨</t>
        </is>
      </c>
      <c r="H55" s="5" t="inlineStr">
        <is>
          <t>SMM</t>
        </is>
      </c>
    </row>
    <row r="56">
      <c r="A56" s="2" t="inlineStr">
        <is>
          <t>2026/06/15</t>
        </is>
      </c>
      <c r="B56" s="2" t="inlineStr">
        <is>
          <t>氧化钴</t>
        </is>
      </c>
      <c r="C56" s="3" t="n">
        <v>315000</v>
      </c>
      <c r="D56" s="4" t="n">
        <v>330000</v>
      </c>
      <c r="E56" s="4" t="n">
        <v>322500</v>
      </c>
      <c r="F56" s="4" t="n">
        <v>-5500</v>
      </c>
      <c r="G56" s="5" t="inlineStr">
        <is>
          <t>元/吨</t>
        </is>
      </c>
      <c r="H56" s="5" t="inlineStr">
        <is>
          <t>SMM</t>
        </is>
      </c>
    </row>
    <row r="57">
      <c r="A57" s="2" t="inlineStr">
        <is>
          <t>2026/06/15</t>
        </is>
      </c>
      <c r="B57" s="2" t="inlineStr">
        <is>
          <t>氯化钴</t>
        </is>
      </c>
      <c r="C57" s="3" t="n">
        <v>108000</v>
      </c>
      <c r="D57" s="4" t="n">
        <v>114000</v>
      </c>
      <c r="E57" s="4" t="n">
        <v>111000</v>
      </c>
      <c r="F57" s="4" t="n">
        <v>-1500</v>
      </c>
      <c r="G57" s="5" t="inlineStr">
        <is>
          <t>元/吨</t>
        </is>
      </c>
      <c r="H57" s="5" t="inlineStr">
        <is>
          <t>SMM</t>
        </is>
      </c>
    </row>
    <row r="58">
      <c r="A58" s="2" t="inlineStr">
        <is>
          <t>2026/06/15</t>
        </is>
      </c>
      <c r="B58" s="2" t="inlineStr">
        <is>
          <t>氯化镍NiCl₂·6H₂O</t>
        </is>
      </c>
      <c r="C58" s="3" t="n">
        <v>39000</v>
      </c>
      <c r="D58" s="4" t="n">
        <v>41000</v>
      </c>
      <c r="E58" s="4" t="n">
        <v>40000</v>
      </c>
      <c r="F58" s="4" t="n">
        <v>0</v>
      </c>
      <c r="G58" s="5" t="inlineStr">
        <is>
          <t>元/吨</t>
        </is>
      </c>
      <c r="H58" s="5" t="inlineStr">
        <is>
          <t>SMM</t>
        </is>
      </c>
    </row>
    <row r="59">
      <c r="A59" s="2" t="inlineStr">
        <is>
          <t>2026/06/15</t>
        </is>
      </c>
      <c r="B59" s="2" t="inlineStr">
        <is>
          <t>津巴布韦锂辉石精矿（CIF中国）现货</t>
        </is>
      </c>
      <c r="C59" s="3" t="n">
        <v>2420</v>
      </c>
      <c r="D59" s="4" t="n">
        <v>2530</v>
      </c>
      <c r="E59" s="4" t="n">
        <v>2475</v>
      </c>
      <c r="F59" s="4" t="n">
        <v>125</v>
      </c>
      <c r="G59" s="5" t="inlineStr">
        <is>
          <t>美元/吨</t>
        </is>
      </c>
      <c r="H59" s="5" t="inlineStr">
        <is>
          <t>SMM</t>
        </is>
      </c>
    </row>
    <row r="60">
      <c r="A60" s="2" t="inlineStr">
        <is>
          <t>2026/06/15</t>
        </is>
      </c>
      <c r="B60" s="2" t="inlineStr">
        <is>
          <t>澳大利亚锂辉石精矿（CIF中国）现货</t>
        </is>
      </c>
      <c r="C60" s="3" t="n">
        <v>2450</v>
      </c>
      <c r="D60" s="4" t="n">
        <v>2560</v>
      </c>
      <c r="E60" s="4" t="n">
        <v>2505</v>
      </c>
      <c r="F60" s="6" t="n">
        <v>-5</v>
      </c>
      <c r="G60" s="5" t="inlineStr">
        <is>
          <t>美元/吨</t>
        </is>
      </c>
      <c r="H60" s="5" t="inlineStr">
        <is>
          <t>SMM</t>
        </is>
      </c>
    </row>
    <row r="61">
      <c r="A61" s="2" t="inlineStr">
        <is>
          <t>2026/06/15</t>
        </is>
      </c>
      <c r="B61" s="2" t="inlineStr">
        <is>
          <t>电池级无水氯化锂</t>
        </is>
      </c>
      <c r="C61" s="3" t="n">
        <v>235</v>
      </c>
      <c r="D61" s="4" t="n">
        <v>295</v>
      </c>
      <c r="E61" s="4" t="n">
        <v>265</v>
      </c>
      <c r="F61" s="4" t="n">
        <v>0</v>
      </c>
      <c r="G61" s="5" t="inlineStr">
        <is>
          <t>元/千克</t>
        </is>
      </c>
      <c r="H61" s="5" t="inlineStr">
        <is>
          <t>SMM</t>
        </is>
      </c>
    </row>
    <row r="62">
      <c r="A62" s="2" t="inlineStr">
        <is>
          <t>2026/06/15</t>
        </is>
      </c>
      <c r="B62" s="2" t="inlineStr">
        <is>
          <t>电池级氟化锂</t>
        </is>
      </c>
      <c r="C62" s="3" t="n">
        <v>288000</v>
      </c>
      <c r="D62" s="4" t="n">
        <v>295000</v>
      </c>
      <c r="E62" s="4" t="n">
        <v>291500</v>
      </c>
      <c r="F62" s="4" t="n">
        <v>0</v>
      </c>
      <c r="G62" s="5" t="inlineStr">
        <is>
          <t>元/吨</t>
        </is>
      </c>
      <c r="H62" s="5" t="inlineStr">
        <is>
          <t>SMM</t>
        </is>
      </c>
    </row>
    <row r="63">
      <c r="A63" s="2" t="inlineStr">
        <is>
          <t>2026/06/15</t>
        </is>
      </c>
      <c r="B63" s="2" t="inlineStr">
        <is>
          <t>电池级氢氧化锂(CIF中日韩)</t>
        </is>
      </c>
      <c r="C63" s="7" t="n">
        <v>18.25</v>
      </c>
      <c r="D63" s="6" t="n">
        <v>21.15</v>
      </c>
      <c r="E63" s="6" t="n">
        <v>19.7</v>
      </c>
      <c r="F63" s="6" t="n">
        <v>-0.125</v>
      </c>
      <c r="G63" s="5" t="inlineStr">
        <is>
          <t>美元/千克</t>
        </is>
      </c>
      <c r="H63" s="5" t="inlineStr">
        <is>
          <t>SMM</t>
        </is>
      </c>
    </row>
    <row r="64">
      <c r="A64" s="2" t="inlineStr">
        <is>
          <t>2026/06/15</t>
        </is>
      </c>
      <c r="B64" s="2" t="inlineStr">
        <is>
          <t>电池级氢氧化锂(CIF韩国)</t>
        </is>
      </c>
      <c r="C64" s="7" t="n">
        <v>18.1</v>
      </c>
      <c r="D64" s="6" t="n">
        <v>21.1</v>
      </c>
      <c r="E64" s="6" t="n">
        <v>19.6</v>
      </c>
      <c r="F64" s="6" t="n">
        <v>-0.13</v>
      </c>
      <c r="G64" s="5" t="inlineStr">
        <is>
          <t>美元/千克</t>
        </is>
      </c>
      <c r="H64" s="5" t="inlineStr">
        <is>
          <t>SMM</t>
        </is>
      </c>
    </row>
    <row r="65">
      <c r="A65" s="2" t="inlineStr">
        <is>
          <t>2026/06/15</t>
        </is>
      </c>
      <c r="B65" s="2" t="inlineStr">
        <is>
          <t>电池级氢氧化锂(微粉）</t>
        </is>
      </c>
      <c r="C65" s="3" t="n">
        <v>154000</v>
      </c>
      <c r="D65" s="4" t="n">
        <v>168000</v>
      </c>
      <c r="E65" s="4" t="n">
        <v>161000</v>
      </c>
      <c r="F65" s="4" t="n">
        <v>-1500</v>
      </c>
      <c r="G65" s="5" t="inlineStr">
        <is>
          <t>元/吨</t>
        </is>
      </c>
      <c r="H65" s="5" t="inlineStr">
        <is>
          <t>SMM</t>
        </is>
      </c>
    </row>
    <row r="66">
      <c r="A66" s="2" t="inlineStr">
        <is>
          <t>2026/06/15</t>
        </is>
      </c>
      <c r="B66" s="2" t="inlineStr">
        <is>
          <t>电池级氢氧化锂（粗颗粒）</t>
        </is>
      </c>
      <c r="C66" s="3" t="n">
        <v>148000</v>
      </c>
      <c r="D66" s="4" t="n">
        <v>162000</v>
      </c>
      <c r="E66" s="4" t="n">
        <v>155000</v>
      </c>
      <c r="F66" s="4" t="n">
        <v>-1500</v>
      </c>
      <c r="G66" s="5" t="inlineStr">
        <is>
          <t>元/吨</t>
        </is>
      </c>
      <c r="H66" s="5" t="inlineStr">
        <is>
          <t>SMM</t>
        </is>
      </c>
    </row>
    <row r="67">
      <c r="A67" s="2" t="inlineStr">
        <is>
          <t>2026/06/15</t>
        </is>
      </c>
      <c r="B67" s="2" t="inlineStr">
        <is>
          <t>电池级硫酸锰（出厂价）</t>
        </is>
      </c>
      <c r="C67" s="3" t="n">
        <v>7590</v>
      </c>
      <c r="D67" s="4" t="n">
        <v>7790</v>
      </c>
      <c r="E67" s="4" t="n">
        <v>7690</v>
      </c>
      <c r="F67" s="4" t="n">
        <v>0</v>
      </c>
      <c r="G67" s="5" t="inlineStr">
        <is>
          <t>元/吨</t>
        </is>
      </c>
      <c r="H67" s="5" t="inlineStr">
        <is>
          <t>SMM</t>
        </is>
      </c>
    </row>
    <row r="68">
      <c r="A68" s="2" t="inlineStr">
        <is>
          <t>2026/06/15</t>
        </is>
      </c>
      <c r="B68" s="2" t="inlineStr">
        <is>
          <t>电池级硫酸镍</t>
        </is>
      </c>
      <c r="C68" s="3" t="n">
        <v>33400</v>
      </c>
      <c r="D68" s="4" t="n">
        <v>33820</v>
      </c>
      <c r="E68" s="4" t="n">
        <v>33610</v>
      </c>
      <c r="F68" s="6" t="n">
        <v>10</v>
      </c>
      <c r="G68" s="5" t="inlineStr">
        <is>
          <t>元/吨</t>
        </is>
      </c>
      <c r="H68" s="5" t="inlineStr">
        <is>
          <t>SMM</t>
        </is>
      </c>
    </row>
    <row r="69">
      <c r="A69" s="2" t="inlineStr">
        <is>
          <t>2026/06/15</t>
        </is>
      </c>
      <c r="B69" s="2" t="inlineStr">
        <is>
          <t>电池级碳酸锂</t>
        </is>
      </c>
      <c r="C69" s="3" t="n">
        <v>166000</v>
      </c>
      <c r="D69" s="4" t="n">
        <v>175000</v>
      </c>
      <c r="E69" s="4" t="n">
        <v>170500</v>
      </c>
      <c r="F69" s="4" t="n">
        <v>0</v>
      </c>
      <c r="G69" s="5" t="inlineStr">
        <is>
          <t>元/吨</t>
        </is>
      </c>
      <c r="H69" s="5" t="inlineStr">
        <is>
          <t>SMM</t>
        </is>
      </c>
    </row>
    <row r="70">
      <c r="A70" s="2" t="inlineStr">
        <is>
          <t>2026/06/15</t>
        </is>
      </c>
      <c r="B70" s="2" t="inlineStr">
        <is>
          <t>电池级碳酸锂(CIF韩国)</t>
        </is>
      </c>
      <c r="C70" s="7" t="n">
        <v>20.15</v>
      </c>
      <c r="D70" s="6" t="n">
        <v>22.25</v>
      </c>
      <c r="E70" s="6" t="n">
        <v>21.2</v>
      </c>
      <c r="F70" s="4" t="n">
        <v>0</v>
      </c>
      <c r="G70" s="5" t="inlineStr">
        <is>
          <t>美元/千克</t>
        </is>
      </c>
      <c r="H70" s="5" t="inlineStr">
        <is>
          <t>SMM</t>
        </is>
      </c>
    </row>
    <row r="71">
      <c r="A71" s="2" t="inlineStr">
        <is>
          <t>2026/06/15</t>
        </is>
      </c>
      <c r="B71" s="2" t="inlineStr">
        <is>
          <t>电池级碳酸锂（CIF中日韩）</t>
        </is>
      </c>
      <c r="C71" s="7" t="n">
        <v>20.35</v>
      </c>
      <c r="D71" s="6" t="n">
        <v>22.3</v>
      </c>
      <c r="E71" s="6" t="n">
        <v>21.33</v>
      </c>
      <c r="F71" s="4" t="n">
        <v>0</v>
      </c>
      <c r="G71" s="5" t="inlineStr">
        <is>
          <t>美元/千克</t>
        </is>
      </c>
      <c r="H71" s="5" t="inlineStr">
        <is>
          <t>SMM</t>
        </is>
      </c>
    </row>
    <row r="72">
      <c r="A72" s="2" t="inlineStr">
        <is>
          <t>2026/06/15</t>
        </is>
      </c>
      <c r="B72" s="2" t="inlineStr">
        <is>
          <t>电池级金属锂</t>
        </is>
      </c>
      <c r="C72" s="3" t="n">
        <v>1100000</v>
      </c>
      <c r="D72" s="4" t="n">
        <v>1170000</v>
      </c>
      <c r="E72" s="4" t="n">
        <v>1135000</v>
      </c>
      <c r="F72" s="4" t="n">
        <v>0</v>
      </c>
      <c r="G72" s="5" t="inlineStr">
        <is>
          <t>元/吨</t>
        </is>
      </c>
      <c r="H72" s="5" t="inlineStr">
        <is>
          <t>SMM</t>
        </is>
      </c>
    </row>
    <row r="73">
      <c r="A73" s="2" t="inlineStr">
        <is>
          <t>2026/06/15</t>
        </is>
      </c>
      <c r="B73" s="2" t="inlineStr">
        <is>
          <t>电解钴</t>
        </is>
      </c>
      <c r="C73" s="3" t="n">
        <v>385000</v>
      </c>
      <c r="D73" s="4" t="n">
        <v>410000</v>
      </c>
      <c r="E73" s="4" t="n">
        <v>397500</v>
      </c>
      <c r="F73" s="4" t="n">
        <v>-1000</v>
      </c>
      <c r="G73" s="5" t="inlineStr">
        <is>
          <t>元/吨</t>
        </is>
      </c>
      <c r="H73" s="5" t="inlineStr">
        <is>
          <t>SMM</t>
        </is>
      </c>
    </row>
    <row r="74">
      <c r="A74" s="2" t="inlineStr">
        <is>
          <t>2026/06/15</t>
        </is>
      </c>
      <c r="B74" s="2" t="inlineStr">
        <is>
          <t>电解钴（鹿特丹仓库）</t>
        </is>
      </c>
      <c r="C74" s="7" t="n">
        <v>25.5</v>
      </c>
      <c r="D74" s="6" t="n">
        <v>26.8</v>
      </c>
      <c r="E74" s="6" t="n">
        <v>26.15</v>
      </c>
      <c r="F74" s="6" t="n">
        <v>0.03</v>
      </c>
      <c r="G74" s="5" t="inlineStr">
        <is>
          <t>美元/磅</t>
        </is>
      </c>
      <c r="H74" s="5" t="inlineStr">
        <is>
          <t>SMM</t>
        </is>
      </c>
    </row>
    <row r="75">
      <c r="A75" s="2" t="inlineStr">
        <is>
          <t>2026/06/15</t>
        </is>
      </c>
      <c r="B75" s="2" t="inlineStr">
        <is>
          <t>电镀级硫酸镍</t>
        </is>
      </c>
      <c r="C75" s="3" t="n">
        <v>34500</v>
      </c>
      <c r="D75" s="4" t="n">
        <v>39000</v>
      </c>
      <c r="E75" s="4" t="n">
        <v>36750</v>
      </c>
      <c r="F75" s="4" t="n">
        <v>0</v>
      </c>
      <c r="G75" s="5" t="inlineStr">
        <is>
          <t>元/吨</t>
        </is>
      </c>
      <c r="H75" s="5" t="inlineStr">
        <is>
          <t>SMM</t>
        </is>
      </c>
    </row>
    <row r="76">
      <c r="A76" s="2" t="inlineStr">
        <is>
          <t>2026/06/15</t>
        </is>
      </c>
      <c r="B76" s="2" t="inlineStr">
        <is>
          <t>硫酸钴</t>
        </is>
      </c>
      <c r="C76" s="3" t="n">
        <v>88000</v>
      </c>
      <c r="D76" s="4" t="n">
        <v>90500</v>
      </c>
      <c r="E76" s="4" t="n">
        <v>89250</v>
      </c>
      <c r="F76" s="4" t="n">
        <v>-750</v>
      </c>
      <c r="G76" s="5" t="inlineStr">
        <is>
          <t>元/吨</t>
        </is>
      </c>
      <c r="H76" s="5" t="inlineStr">
        <is>
          <t>SMM</t>
        </is>
      </c>
    </row>
    <row r="77">
      <c r="A77" s="2" t="inlineStr">
        <is>
          <t>2026/06/15</t>
        </is>
      </c>
      <c r="B77" s="2" t="inlineStr">
        <is>
          <t>碳酸钴</t>
        </is>
      </c>
      <c r="C77" s="3" t="n">
        <v>215000</v>
      </c>
      <c r="D77" s="4" t="n">
        <v>232000</v>
      </c>
      <c r="E77" s="4" t="n">
        <v>223500</v>
      </c>
      <c r="F77" s="4" t="n">
        <v>-4000</v>
      </c>
      <c r="G77" s="5" t="inlineStr">
        <is>
          <t>元/吨</t>
        </is>
      </c>
      <c r="H77" s="5" t="inlineStr">
        <is>
          <t>SMM</t>
        </is>
      </c>
    </row>
    <row r="78">
      <c r="A78" s="2" t="inlineStr">
        <is>
          <t>2026/06/15</t>
        </is>
      </c>
      <c r="B78" s="2" t="inlineStr">
        <is>
          <t>磷酸铁锂</t>
        </is>
      </c>
      <c r="C78" s="3" t="n">
        <v>59570</v>
      </c>
      <c r="D78" s="4" t="n">
        <v>60570</v>
      </c>
      <c r="E78" s="4" t="n">
        <v>60070</v>
      </c>
      <c r="F78" s="4" t="n">
        <v>0</v>
      </c>
      <c r="G78" s="5" t="inlineStr">
        <is>
          <t>元/吨</t>
        </is>
      </c>
      <c r="H78" s="5" t="inlineStr">
        <is>
          <t>SMM</t>
        </is>
      </c>
    </row>
    <row r="79">
      <c r="A79" s="2" t="inlineStr">
        <is>
          <t>2026/06/15</t>
        </is>
      </c>
      <c r="B79" s="2" t="inlineStr">
        <is>
          <t>磷酸锰铁锂</t>
        </is>
      </c>
      <c r="C79" s="3" t="n">
        <v>64500</v>
      </c>
      <c r="D79" s="4" t="n">
        <v>69500</v>
      </c>
      <c r="E79" s="4" t="n">
        <v>67000</v>
      </c>
      <c r="F79" s="4" t="n">
        <v>0</v>
      </c>
      <c r="G79" s="5" t="inlineStr">
        <is>
          <t>元/吨</t>
        </is>
      </c>
      <c r="H79" s="5" t="inlineStr">
        <is>
          <t>SMM</t>
        </is>
      </c>
    </row>
    <row r="80">
      <c r="A80" s="2" t="inlineStr">
        <is>
          <t>2026/06/15</t>
        </is>
      </c>
      <c r="B80" s="2" t="inlineStr">
        <is>
          <t>金属钴FOB</t>
        </is>
      </c>
      <c r="C80" s="7" t="n">
        <v>25</v>
      </c>
      <c r="D80" s="6" t="n">
        <v>25.5</v>
      </c>
      <c r="E80" s="6" t="n">
        <v>25.25</v>
      </c>
      <c r="F80" s="4" t="n">
        <v>0</v>
      </c>
      <c r="G80" s="5" t="inlineStr">
        <is>
          <t>美元/磅</t>
        </is>
      </c>
      <c r="H80" s="5" t="inlineStr">
        <is>
          <t>SMM</t>
        </is>
      </c>
    </row>
    <row r="81">
      <c r="A81" s="2" t="inlineStr">
        <is>
          <t>2026/06/15</t>
        </is>
      </c>
      <c r="B81" s="2" t="inlineStr">
        <is>
          <t>钴中间品中钴含量≥30%</t>
        </is>
      </c>
      <c r="C81" s="3" t="n">
        <v>25737</v>
      </c>
      <c r="D81" s="4" t="n">
        <v>25737</v>
      </c>
      <c r="E81" s="4" t="n">
        <v>25737</v>
      </c>
      <c r="F81" s="4" t="n">
        <v>-925</v>
      </c>
      <c r="G81" s="5" t="inlineStr">
        <is>
          <t>元/金属吨</t>
        </is>
      </c>
      <c r="H81" s="5" t="inlineStr">
        <is>
          <t>SMM</t>
        </is>
      </c>
    </row>
    <row r="82">
      <c r="A82" s="2" t="inlineStr">
        <is>
          <t>2026/06/15</t>
        </is>
      </c>
      <c r="B82" s="2" t="inlineStr">
        <is>
          <t>钴中间品原料计价系数（对SMM硫酸钴均价）</t>
        </is>
      </c>
      <c r="C82" s="7" t="n">
        <v>99</v>
      </c>
      <c r="D82" s="4" t="n">
        <v>100</v>
      </c>
      <c r="E82" s="6" t="n">
        <v>99.5</v>
      </c>
      <c r="F82" s="4" t="n">
        <v>0</v>
      </c>
      <c r="G82" s="5" t="inlineStr">
        <is>
          <t>%</t>
        </is>
      </c>
      <c r="H82" s="5" t="inlineStr">
        <is>
          <t>SMM</t>
        </is>
      </c>
    </row>
    <row r="83">
      <c r="A83" s="2" t="inlineStr">
        <is>
          <t>2026/06/15</t>
        </is>
      </c>
      <c r="B83" s="2" t="inlineStr">
        <is>
          <t>钴酸锂</t>
        </is>
      </c>
      <c r="C83" s="3" t="n">
        <v>382000</v>
      </c>
      <c r="D83" s="4" t="n">
        <v>385000</v>
      </c>
      <c r="E83" s="4" t="n">
        <v>383500</v>
      </c>
      <c r="F83" s="4" t="n">
        <v>0</v>
      </c>
      <c r="G83" s="5" t="inlineStr">
        <is>
          <t>元/吨</t>
        </is>
      </c>
      <c r="H83" s="5" t="inlineStr">
        <is>
          <t>SMM</t>
        </is>
      </c>
    </row>
    <row r="84">
      <c r="A84" s="2" t="inlineStr">
        <is>
          <t>2026/06/15</t>
        </is>
      </c>
      <c r="B84" s="2" t="inlineStr">
        <is>
          <t>钴酸锂聚合物软包</t>
        </is>
      </c>
      <c r="C84" s="3" t="n">
        <v>98000</v>
      </c>
      <c r="D84" s="4" t="n">
        <v>101600</v>
      </c>
      <c r="E84" s="4" t="n">
        <v>99800</v>
      </c>
      <c r="F84" s="4" t="n">
        <v>0</v>
      </c>
      <c r="G84" s="5" t="inlineStr">
        <is>
          <t>元/吨</t>
        </is>
      </c>
      <c r="H84" s="5" t="inlineStr">
        <is>
          <t>SMM</t>
        </is>
      </c>
    </row>
    <row r="85">
      <c r="A85" s="2" t="inlineStr">
        <is>
          <t>2026/06/15</t>
        </is>
      </c>
      <c r="B85" s="2" t="inlineStr">
        <is>
          <t>钴酸锂铝壳</t>
        </is>
      </c>
      <c r="C85" s="3" t="n">
        <v>84000</v>
      </c>
      <c r="D85" s="4" t="n">
        <v>94000</v>
      </c>
      <c r="E85" s="4" t="n">
        <v>89000</v>
      </c>
      <c r="F85" s="4" t="n">
        <v>0</v>
      </c>
      <c r="G85" s="5" t="inlineStr">
        <is>
          <t>元/吨</t>
        </is>
      </c>
      <c r="H85" s="5" t="inlineStr">
        <is>
          <t>SMM</t>
        </is>
      </c>
    </row>
    <row r="86">
      <c r="A86" s="2" t="inlineStr">
        <is>
          <t>2026/06/15</t>
        </is>
      </c>
      <c r="B86" s="2" t="inlineStr">
        <is>
          <t>锰酸锂圆柱钢壳</t>
        </is>
      </c>
      <c r="C86" s="3" t="n">
        <v>5000</v>
      </c>
      <c r="D86" s="4" t="n">
        <v>7400</v>
      </c>
      <c r="E86" s="4" t="n">
        <v>6200</v>
      </c>
      <c r="F86" s="4" t="n">
        <v>0</v>
      </c>
      <c r="G86" s="5" t="inlineStr">
        <is>
          <t>元/吨</t>
        </is>
      </c>
      <c r="H86" s="5" t="inlineStr">
        <is>
          <t>SMM</t>
        </is>
      </c>
    </row>
    <row r="87">
      <c r="A87" s="2" t="inlineStr">
        <is>
          <t>2026/06/15</t>
        </is>
      </c>
      <c r="B87" s="2" t="inlineStr">
        <is>
          <t>非洲硫酸锂(CIF中国)</t>
        </is>
      </c>
      <c r="C87" s="3" t="n">
        <v>8108</v>
      </c>
      <c r="D87" s="4" t="n">
        <v>8598</v>
      </c>
      <c r="E87" s="4" t="n">
        <v>8353</v>
      </c>
      <c r="F87" s="6" t="n">
        <v>9.5</v>
      </c>
      <c r="G87" s="5" t="inlineStr">
        <is>
          <t>美元/吨</t>
        </is>
      </c>
      <c r="H87" s="5" t="inlineStr">
        <is>
          <t>SMM</t>
        </is>
      </c>
    </row>
    <row r="88">
      <c r="A88" s="2" t="inlineStr">
        <is>
          <t>2026/06/15</t>
        </is>
      </c>
      <c r="B88" s="2" t="inlineStr">
        <is>
          <t>非洲锂辉石精矿（CIF中国）指数</t>
        </is>
      </c>
      <c r="C88" s="3" t="n">
        <v>2470</v>
      </c>
      <c r="D88" s="4" t="n">
        <v>2470</v>
      </c>
      <c r="E88" s="4" t="n">
        <v>2470</v>
      </c>
      <c r="F88" s="4" t="n">
        <v>172</v>
      </c>
      <c r="G88" s="5" t="inlineStr">
        <is>
          <t>美元/吨</t>
        </is>
      </c>
      <c r="H88" s="5" t="inlineStr">
        <is>
          <t>SMM</t>
        </is>
      </c>
    </row>
    <row r="90">
      <c r="A90" s="8" t="inlineStr">
        <is>
          <t>当月均价</t>
        </is>
      </c>
      <c r="B90" s="9" t="n"/>
      <c r="C90" s="9" t="n"/>
      <c r="D90" s="9" t="n"/>
      <c r="E90" s="9" t="n"/>
      <c r="F90" s="9" t="n"/>
      <c r="G90" s="9" t="n"/>
      <c r="H90" s="9" t="n"/>
    </row>
    <row r="91">
      <c r="B91" s="2" t="inlineStr">
        <is>
          <t>5系三元前驱体</t>
        </is>
      </c>
      <c r="C91" s="10">
        <f>IFERROR(AVERAGEIFS(C$2:C$88,A$2:A$88,"&gt;="&amp;DATE(YEAR(TODAY()),MONTH(TODAY()),1),A$2:A$88,"&lt;"&amp;DATE(YEAR(TODAY()),MONTH(TODAY())+1,1),B$2:B$88,$B$91),"")</f>
        <v/>
      </c>
      <c r="D91" s="10">
        <f>IFERROR(AVERAGEIFS(D$2:D$88,A$2:A$88,"&gt;="&amp;DATE(YEAR(TODAY()),MONTH(TODAY()),1),A$2:A$88,"&lt;"&amp;DATE(YEAR(TODAY()),MONTH(TODAY())+1,1),B$2:B$88,$B$91),"")</f>
        <v/>
      </c>
      <c r="E91" s="10">
        <f>IFERROR(AVERAGEIFS(E$2:E$88,A$2:A$88,"&gt;="&amp;DATE(YEAR(TODAY()),MONTH(TODAY()),1),A$2:A$88,"&lt;"&amp;DATE(YEAR(TODAY()),MONTH(TODAY())+1,1),B$2:B$88,$B$91),"")</f>
        <v/>
      </c>
      <c r="F91" s="11">
        <f>IFERROR(SUMPRODUCT((YEAR(A$2:A$88)=YEAR(TODAY()))*(MONTH(A$2:A$88)=MONTH(TODAY()))*(B$2:B$88=$B$91)*(F$2:F$88),"")</f>
        <v/>
      </c>
    </row>
    <row r="92">
      <c r="B92" s="2" t="inlineStr">
        <is>
          <t>5系三元材料</t>
        </is>
      </c>
      <c r="C92" s="10">
        <f>IFERROR(AVERAGEIFS(C$2:C$88,A$2:A$88,"&gt;="&amp;DATE(YEAR(TODAY()),MONTH(TODAY()),1),A$2:A$88,"&lt;"&amp;DATE(YEAR(TODAY()),MONTH(TODAY())+1,1),B$2:B$88,$B$92),"")</f>
        <v/>
      </c>
      <c r="D92" s="10">
        <f>IFERROR(AVERAGEIFS(D$2:D$88,A$2:A$88,"&gt;="&amp;DATE(YEAR(TODAY()),MONTH(TODAY()),1),A$2:A$88,"&lt;"&amp;DATE(YEAR(TODAY()),MONTH(TODAY())+1,1),B$2:B$88,$B$92),"")</f>
        <v/>
      </c>
      <c r="E92" s="10">
        <f>IFERROR(AVERAGEIFS(E$2:E$88,A$2:A$88,"&gt;="&amp;DATE(YEAR(TODAY()),MONTH(TODAY()),1),A$2:A$88,"&lt;"&amp;DATE(YEAR(TODAY()),MONTH(TODAY())+1,1),B$2:B$88,$B$92),"")</f>
        <v/>
      </c>
      <c r="F92" s="11">
        <f>IFERROR(SUMPRODUCT((YEAR(A$2:A$88)=YEAR(TODAY()))*(MONTH(A$2:A$88)=MONTH(TODAY()))*(B$2:B$88=$B$92)*(F$2:F$88),"")</f>
        <v/>
      </c>
    </row>
    <row r="93">
      <c r="B93" s="2" t="inlineStr">
        <is>
          <t>6系三元前驱体（单晶/动力型）</t>
        </is>
      </c>
      <c r="C93" s="10">
        <f>IFERROR(AVERAGEIFS(C$2:C$88,A$2:A$88,"&gt;="&amp;DATE(YEAR(TODAY()),MONTH(TODAY()),1),A$2:A$88,"&lt;"&amp;DATE(YEAR(TODAY()),MONTH(TODAY())+1,1),B$2:B$88,$B$93),"")</f>
        <v/>
      </c>
      <c r="D93" s="10">
        <f>IFERROR(AVERAGEIFS(D$2:D$88,A$2:A$88,"&gt;="&amp;DATE(YEAR(TODAY()),MONTH(TODAY()),1),A$2:A$88,"&lt;"&amp;DATE(YEAR(TODAY()),MONTH(TODAY())+1,1),B$2:B$88,$B$93),"")</f>
        <v/>
      </c>
      <c r="E93" s="10">
        <f>IFERROR(AVERAGEIFS(E$2:E$88,A$2:A$88,"&gt;="&amp;DATE(YEAR(TODAY()),MONTH(TODAY()),1),A$2:A$88,"&lt;"&amp;DATE(YEAR(TODAY()),MONTH(TODAY())+1,1),B$2:B$88,$B$93),"")</f>
        <v/>
      </c>
      <c r="F93" s="11">
        <f>IFERROR(SUMPRODUCT((YEAR(A$2:A$88)=YEAR(TODAY()))*(MONTH(A$2:A$88)=MONTH(TODAY()))*(B$2:B$88=$B$93)*(F$2:F$88),"")</f>
        <v/>
      </c>
    </row>
    <row r="94">
      <c r="B94" s="2" t="inlineStr">
        <is>
          <t>6系三元材料（单晶/动力型）</t>
        </is>
      </c>
      <c r="C94" s="10">
        <f>IFERROR(AVERAGEIFS(C$2:C$88,A$2:A$88,"&gt;="&amp;DATE(YEAR(TODAY()),MONTH(TODAY()),1),A$2:A$88,"&lt;"&amp;DATE(YEAR(TODAY()),MONTH(TODAY())+1,1),B$2:B$88,$B$94),"")</f>
        <v/>
      </c>
      <c r="D94" s="10">
        <f>IFERROR(AVERAGEIFS(D$2:D$88,A$2:A$88,"&gt;="&amp;DATE(YEAR(TODAY()),MONTH(TODAY()),1),A$2:A$88,"&lt;"&amp;DATE(YEAR(TODAY()),MONTH(TODAY())+1,1),B$2:B$88,$B$94),"")</f>
        <v/>
      </c>
      <c r="E94" s="10">
        <f>IFERROR(AVERAGEIFS(E$2:E$88,A$2:A$88,"&gt;="&amp;DATE(YEAR(TODAY()),MONTH(TODAY()),1),A$2:A$88,"&lt;"&amp;DATE(YEAR(TODAY()),MONTH(TODAY())+1,1),B$2:B$88,$B$94),"")</f>
        <v/>
      </c>
      <c r="F94" s="11">
        <f>IFERROR(SUMPRODUCT((YEAR(A$2:A$88)=YEAR(TODAY()))*(MONTH(A$2:A$88)=MONTH(TODAY()))*(B$2:B$88=$B$94)*(F$2:F$88),"")</f>
        <v/>
      </c>
    </row>
    <row r="95">
      <c r="B95" s="2" t="inlineStr">
        <is>
          <t>8系三元前驱体（多晶/动力型）</t>
        </is>
      </c>
      <c r="C95" s="10">
        <f>IFERROR(AVERAGEIFS(C$2:C$88,A$2:A$88,"&gt;="&amp;DATE(YEAR(TODAY()),MONTH(TODAY()),1),A$2:A$88,"&lt;"&amp;DATE(YEAR(TODAY()),MONTH(TODAY())+1,1),B$2:B$88,$B$95),"")</f>
        <v/>
      </c>
      <c r="D95" s="10">
        <f>IFERROR(AVERAGEIFS(D$2:D$88,A$2:A$88,"&gt;="&amp;DATE(YEAR(TODAY()),MONTH(TODAY()),1),A$2:A$88,"&lt;"&amp;DATE(YEAR(TODAY()),MONTH(TODAY())+1,1),B$2:B$88,$B$95),"")</f>
        <v/>
      </c>
      <c r="E95" s="10">
        <f>IFERROR(AVERAGEIFS(E$2:E$88,A$2:A$88,"&gt;="&amp;DATE(YEAR(TODAY()),MONTH(TODAY()),1),A$2:A$88,"&lt;"&amp;DATE(YEAR(TODAY()),MONTH(TODAY())+1,1),B$2:B$88,$B$95),"")</f>
        <v/>
      </c>
      <c r="F95" s="11">
        <f>IFERROR(SUMPRODUCT((YEAR(A$2:A$88)=YEAR(TODAY()))*(MONTH(A$2:A$88)=MONTH(TODAY()))*(B$2:B$88=$B$95)*(F$2:F$88),"")</f>
        <v/>
      </c>
    </row>
    <row r="96">
      <c r="B96" s="2" t="inlineStr">
        <is>
          <t>8系三元材料</t>
        </is>
      </c>
      <c r="C96" s="10">
        <f>IFERROR(AVERAGEIFS(C$2:C$88,A$2:A$88,"&gt;="&amp;DATE(YEAR(TODAY()),MONTH(TODAY()),1),A$2:A$88,"&lt;"&amp;DATE(YEAR(TODAY()),MONTH(TODAY())+1,1),B$2:B$88,$B$96),"")</f>
        <v/>
      </c>
      <c r="D96" s="10">
        <f>IFERROR(AVERAGEIFS(D$2:D$88,A$2:A$88,"&gt;="&amp;DATE(YEAR(TODAY()),MONTH(TODAY()),1),A$2:A$88,"&lt;"&amp;DATE(YEAR(TODAY()),MONTH(TODAY())+1,1),B$2:B$88,$B$96),"")</f>
        <v/>
      </c>
      <c r="E96" s="10">
        <f>IFERROR(AVERAGEIFS(E$2:E$88,A$2:A$88,"&gt;="&amp;DATE(YEAR(TODAY()),MONTH(TODAY()),1),A$2:A$88,"&lt;"&amp;DATE(YEAR(TODAY()),MONTH(TODAY())+1,1),B$2:B$88,$B$96),"")</f>
        <v/>
      </c>
      <c r="F96" s="11">
        <f>IFERROR(SUMPRODUCT((YEAR(A$2:A$88)=YEAR(TODAY()))*(MONTH(A$2:A$88)=MONTH(TODAY()))*(B$2:B$88=$B$96)*(F$2:F$88),"")</f>
        <v/>
      </c>
    </row>
    <row r="97">
      <c r="B97" s="2" t="inlineStr">
        <is>
          <t>MHP系数（对SMM电池级硫酸镍指数）</t>
        </is>
      </c>
      <c r="C97" s="10">
        <f>IFERROR(AVERAGEIFS(C$2:C$88,A$2:A$88,"&gt;="&amp;DATE(YEAR(TODAY()),MONTH(TODAY()),1),A$2:A$88,"&lt;"&amp;DATE(YEAR(TODAY()),MONTH(TODAY())+1,1),B$2:B$88,$B$97),"")</f>
        <v/>
      </c>
      <c r="D97" s="10">
        <f>IFERROR(AVERAGEIFS(D$2:D$88,A$2:A$88,"&gt;="&amp;DATE(YEAR(TODAY()),MONTH(TODAY()),1),A$2:A$88,"&lt;"&amp;DATE(YEAR(TODAY()),MONTH(TODAY())+1,1),B$2:B$88,$B$97),"")</f>
        <v/>
      </c>
      <c r="E97" s="10">
        <f>IFERROR(AVERAGEIFS(E$2:E$88,A$2:A$88,"&gt;="&amp;DATE(YEAR(TODAY()),MONTH(TODAY()),1),A$2:A$88,"&lt;"&amp;DATE(YEAR(TODAY()),MONTH(TODAY())+1,1),B$2:B$88,$B$97),"")</f>
        <v/>
      </c>
      <c r="F97" s="11">
        <f>IFERROR(SUMPRODUCT((YEAR(A$2:A$88)=YEAR(TODAY()))*(MONTH(A$2:A$88)=MONTH(TODAY()))*(B$2:B$88=$B$97)*(F$2:F$88),"")</f>
        <v/>
      </c>
    </row>
    <row r="98">
      <c r="B98" s="2" t="inlineStr">
        <is>
          <t>MHP钴元素计价系数（对SMM硫酸钴均价）</t>
        </is>
      </c>
      <c r="C98" s="10">
        <f>IFERROR(AVERAGEIFS(C$2:C$88,A$2:A$88,"&gt;="&amp;DATE(YEAR(TODAY()),MONTH(TODAY()),1),A$2:A$88,"&lt;"&amp;DATE(YEAR(TODAY()),MONTH(TODAY())+1,1),B$2:B$88,$B$98),"")</f>
        <v/>
      </c>
      <c r="D98" s="10">
        <f>IFERROR(AVERAGEIFS(D$2:D$88,A$2:A$88,"&gt;="&amp;DATE(YEAR(TODAY()),MONTH(TODAY()),1),A$2:A$88,"&lt;"&amp;DATE(YEAR(TODAY()),MONTH(TODAY())+1,1),B$2:B$88,$B$98),"")</f>
        <v/>
      </c>
      <c r="E98" s="10">
        <f>IFERROR(AVERAGEIFS(E$2:E$88,A$2:A$88,"&gt;="&amp;DATE(YEAR(TODAY()),MONTH(TODAY()),1),A$2:A$88,"&lt;"&amp;DATE(YEAR(TODAY()),MONTH(TODAY())+1,1),B$2:B$88,$B$98),"")</f>
        <v/>
      </c>
      <c r="F98" s="11">
        <f>IFERROR(SUMPRODUCT((YEAR(A$2:A$88)=YEAR(TODAY()))*(MONTH(A$2:A$88)=MONTH(TODAY()))*(B$2:B$88=$B$98)*(F$2:F$88),"")</f>
        <v/>
      </c>
    </row>
    <row r="99">
      <c r="B99" s="2" t="inlineStr">
        <is>
          <t>NCA三元材料</t>
        </is>
      </c>
      <c r="C99" s="10">
        <f>IFERROR(AVERAGEIFS(C$2:C$88,A$2:A$88,"&gt;="&amp;DATE(YEAR(TODAY()),MONTH(TODAY()),1),A$2:A$88,"&lt;"&amp;DATE(YEAR(TODAY()),MONTH(TODAY())+1,1),B$2:B$88,$B$99),"")</f>
        <v/>
      </c>
      <c r="D99" s="10">
        <f>IFERROR(AVERAGEIFS(D$2:D$88,A$2:A$88,"&gt;="&amp;DATE(YEAR(TODAY()),MONTH(TODAY()),1),A$2:A$88,"&lt;"&amp;DATE(YEAR(TODAY()),MONTH(TODAY())+1,1),B$2:B$88,$B$99),"")</f>
        <v/>
      </c>
      <c r="E99" s="10">
        <f>IFERROR(AVERAGEIFS(E$2:E$88,A$2:A$88,"&gt;="&amp;DATE(YEAR(TODAY()),MONTH(TODAY()),1),A$2:A$88,"&lt;"&amp;DATE(YEAR(TODAY()),MONTH(TODAY())+1,1),B$2:B$88,$B$99),"")</f>
        <v/>
      </c>
      <c r="F99" s="11">
        <f>IFERROR(SUMPRODUCT((YEAR(A$2:A$88)=YEAR(TODAY()))*(MONTH(A$2:A$88)=MONTH(TODAY()))*(B$2:B$88=$B$99)*(F$2:F$88),"")</f>
        <v/>
      </c>
    </row>
    <row r="100">
      <c r="B100" s="2" t="inlineStr">
        <is>
          <t>SMM三元极片粉钴系数指数</t>
        </is>
      </c>
      <c r="C100" s="10">
        <f>IFERROR(AVERAGEIFS(C$2:C$88,A$2:A$88,"&gt;="&amp;DATE(YEAR(TODAY()),MONTH(TODAY()),1),A$2:A$88,"&lt;"&amp;DATE(YEAR(TODAY()),MONTH(TODAY())+1,1),B$2:B$88,$B$100),"")</f>
        <v/>
      </c>
      <c r="D100" s="10">
        <f>IFERROR(AVERAGEIFS(D$2:D$88,A$2:A$88,"&gt;="&amp;DATE(YEAR(TODAY()),MONTH(TODAY()),1),A$2:A$88,"&lt;"&amp;DATE(YEAR(TODAY()),MONTH(TODAY())+1,1),B$2:B$88,$B$100),"")</f>
        <v/>
      </c>
      <c r="E100" s="10">
        <f>IFERROR(AVERAGEIFS(E$2:E$88,A$2:A$88,"&gt;="&amp;DATE(YEAR(TODAY()),MONTH(TODAY()),1),A$2:A$88,"&lt;"&amp;DATE(YEAR(TODAY()),MONTH(TODAY())+1,1),B$2:B$88,$B$100),"")</f>
        <v/>
      </c>
      <c r="F100" s="11">
        <f>IFERROR(SUMPRODUCT((YEAR(A$2:A$88)=YEAR(TODAY()))*(MONTH(A$2:A$88)=MONTH(TODAY()))*(B$2:B$88=$B$100)*(F$2:F$88),"")</f>
        <v/>
      </c>
    </row>
    <row r="101">
      <c r="B101" s="2" t="inlineStr">
        <is>
          <t>SMM三元极片粉锂系数指数</t>
        </is>
      </c>
      <c r="C101" s="10">
        <f>IFERROR(AVERAGEIFS(C$2:C$88,A$2:A$88,"&gt;="&amp;DATE(YEAR(TODAY()),MONTH(TODAY()),1),A$2:A$88,"&lt;"&amp;DATE(YEAR(TODAY()),MONTH(TODAY())+1,1),B$2:B$88,$B$101),"")</f>
        <v/>
      </c>
      <c r="D101" s="10">
        <f>IFERROR(AVERAGEIFS(D$2:D$88,A$2:A$88,"&gt;="&amp;DATE(YEAR(TODAY()),MONTH(TODAY()),1),A$2:A$88,"&lt;"&amp;DATE(YEAR(TODAY()),MONTH(TODAY())+1,1),B$2:B$88,$B$101),"")</f>
        <v/>
      </c>
      <c r="E101" s="10">
        <f>IFERROR(AVERAGEIFS(E$2:E$88,A$2:A$88,"&gt;="&amp;DATE(YEAR(TODAY()),MONTH(TODAY()),1),A$2:A$88,"&lt;"&amp;DATE(YEAR(TODAY()),MONTH(TODAY())+1,1),B$2:B$88,$B$101),"")</f>
        <v/>
      </c>
      <c r="F101" s="11">
        <f>IFERROR(SUMPRODUCT((YEAR(A$2:A$88)=YEAR(TODAY()))*(MONTH(A$2:A$88)=MONTH(TODAY()))*(B$2:B$88=$B$101)*(F$2:F$88),"")</f>
        <v/>
      </c>
    </row>
    <row r="102">
      <c r="B102" s="2" t="inlineStr">
        <is>
          <t>SMM三元极片粉镍系数指数</t>
        </is>
      </c>
      <c r="C102" s="10">
        <f>IFERROR(AVERAGEIFS(C$2:C$88,A$2:A$88,"&gt;="&amp;DATE(YEAR(TODAY()),MONTH(TODAY()),1),A$2:A$88,"&lt;"&amp;DATE(YEAR(TODAY()),MONTH(TODAY())+1,1),B$2:B$88,$B$102),"")</f>
        <v/>
      </c>
      <c r="D102" s="10">
        <f>IFERROR(AVERAGEIFS(D$2:D$88,A$2:A$88,"&gt;="&amp;DATE(YEAR(TODAY()),MONTH(TODAY()),1),A$2:A$88,"&lt;"&amp;DATE(YEAR(TODAY()),MONTH(TODAY())+1,1),B$2:B$88,$B$102),"")</f>
        <v/>
      </c>
      <c r="E102" s="10">
        <f>IFERROR(AVERAGEIFS(E$2:E$88,A$2:A$88,"&gt;="&amp;DATE(YEAR(TODAY()),MONTH(TODAY()),1),A$2:A$88,"&lt;"&amp;DATE(YEAR(TODAY()),MONTH(TODAY())+1,1),B$2:B$88,$B$102),"")</f>
        <v/>
      </c>
      <c r="F102" s="11">
        <f>IFERROR(SUMPRODUCT((YEAR(A$2:A$88)=YEAR(TODAY()))*(MONTH(A$2:A$88)=MONTH(TODAY()))*(B$2:B$88=$B$102)*(F$2:F$88),"")</f>
        <v/>
      </c>
    </row>
    <row r="103">
      <c r="B103" s="2" t="inlineStr">
        <is>
          <t>SMM三元电池粉钴系数指数</t>
        </is>
      </c>
      <c r="C103" s="10">
        <f>IFERROR(AVERAGEIFS(C$2:C$88,A$2:A$88,"&gt;="&amp;DATE(YEAR(TODAY()),MONTH(TODAY()),1),A$2:A$88,"&lt;"&amp;DATE(YEAR(TODAY()),MONTH(TODAY())+1,1),B$2:B$88,$B$103),"")</f>
        <v/>
      </c>
      <c r="D103" s="10">
        <f>IFERROR(AVERAGEIFS(D$2:D$88,A$2:A$88,"&gt;="&amp;DATE(YEAR(TODAY()),MONTH(TODAY()),1),A$2:A$88,"&lt;"&amp;DATE(YEAR(TODAY()),MONTH(TODAY())+1,1),B$2:B$88,$B$103),"")</f>
        <v/>
      </c>
      <c r="E103" s="10">
        <f>IFERROR(AVERAGEIFS(E$2:E$88,A$2:A$88,"&gt;="&amp;DATE(YEAR(TODAY()),MONTH(TODAY()),1),A$2:A$88,"&lt;"&amp;DATE(YEAR(TODAY()),MONTH(TODAY())+1,1),B$2:B$88,$B$103),"")</f>
        <v/>
      </c>
      <c r="F103" s="11">
        <f>IFERROR(SUMPRODUCT((YEAR(A$2:A$88)=YEAR(TODAY()))*(MONTH(A$2:A$88)=MONTH(TODAY()))*(B$2:B$88=$B$103)*(F$2:F$88),"")</f>
        <v/>
      </c>
    </row>
    <row r="104">
      <c r="B104" s="2" t="inlineStr">
        <is>
          <t>SMM三元电池粉锂系数指数</t>
        </is>
      </c>
      <c r="C104" s="10">
        <f>IFERROR(AVERAGEIFS(C$2:C$88,A$2:A$88,"&gt;="&amp;DATE(YEAR(TODAY()),MONTH(TODAY()),1),A$2:A$88,"&lt;"&amp;DATE(YEAR(TODAY()),MONTH(TODAY())+1,1),B$2:B$88,$B$104),"")</f>
        <v/>
      </c>
      <c r="D104" s="10">
        <f>IFERROR(AVERAGEIFS(D$2:D$88,A$2:A$88,"&gt;="&amp;DATE(YEAR(TODAY()),MONTH(TODAY()),1),A$2:A$88,"&lt;"&amp;DATE(YEAR(TODAY()),MONTH(TODAY())+1,1),B$2:B$88,$B$104),"")</f>
        <v/>
      </c>
      <c r="E104" s="10">
        <f>IFERROR(AVERAGEIFS(E$2:E$88,A$2:A$88,"&gt;="&amp;DATE(YEAR(TODAY()),MONTH(TODAY()),1),A$2:A$88,"&lt;"&amp;DATE(YEAR(TODAY()),MONTH(TODAY())+1,1),B$2:B$88,$B$104),"")</f>
        <v/>
      </c>
      <c r="F104" s="11">
        <f>IFERROR(SUMPRODUCT((YEAR(A$2:A$88)=YEAR(TODAY()))*(MONTH(A$2:A$88)=MONTH(TODAY()))*(B$2:B$88=$B$104)*(F$2:F$88),"")</f>
        <v/>
      </c>
    </row>
    <row r="105">
      <c r="B105" s="2" t="inlineStr">
        <is>
          <t>SMM三元电池粉镍系数指数</t>
        </is>
      </c>
      <c r="C105" s="10">
        <f>IFERROR(AVERAGEIFS(C$2:C$88,A$2:A$88,"&gt;="&amp;DATE(YEAR(TODAY()),MONTH(TODAY()),1),A$2:A$88,"&lt;"&amp;DATE(YEAR(TODAY()),MONTH(TODAY())+1,1),B$2:B$88,$B$105),"")</f>
        <v/>
      </c>
      <c r="D105" s="10">
        <f>IFERROR(AVERAGEIFS(D$2:D$88,A$2:A$88,"&gt;="&amp;DATE(YEAR(TODAY()),MONTH(TODAY()),1),A$2:A$88,"&lt;"&amp;DATE(YEAR(TODAY()),MONTH(TODAY())+1,1),B$2:B$88,$B$105),"")</f>
        <v/>
      </c>
      <c r="E105" s="10">
        <f>IFERROR(AVERAGEIFS(E$2:E$88,A$2:A$88,"&gt;="&amp;DATE(YEAR(TODAY()),MONTH(TODAY()),1),A$2:A$88,"&lt;"&amp;DATE(YEAR(TODAY()),MONTH(TODAY())+1,1),B$2:B$88,$B$105),"")</f>
        <v/>
      </c>
      <c r="F105" s="11">
        <f>IFERROR(SUMPRODUCT((YEAR(A$2:A$88)=YEAR(TODAY()))*(MONTH(A$2:A$88)=MONTH(TODAY()))*(B$2:B$88=$B$105)*(F$2:F$88),"")</f>
        <v/>
      </c>
    </row>
    <row r="106">
      <c r="B106" s="2" t="inlineStr">
        <is>
          <t>SMM六氟磷酸锂指数</t>
        </is>
      </c>
      <c r="C106" s="10">
        <f>IFERROR(AVERAGEIFS(C$2:C$88,A$2:A$88,"&gt;="&amp;DATE(YEAR(TODAY()),MONTH(TODAY()),1),A$2:A$88,"&lt;"&amp;DATE(YEAR(TODAY()),MONTH(TODAY())+1,1),B$2:B$88,$B$106),"")</f>
        <v/>
      </c>
      <c r="D106" s="10">
        <f>IFERROR(AVERAGEIFS(D$2:D$88,A$2:A$88,"&gt;="&amp;DATE(YEAR(TODAY()),MONTH(TODAY()),1),A$2:A$88,"&lt;"&amp;DATE(YEAR(TODAY()),MONTH(TODAY())+1,1),B$2:B$88,$B$106),"")</f>
        <v/>
      </c>
      <c r="E106" s="10">
        <f>IFERROR(AVERAGEIFS(E$2:E$88,A$2:A$88,"&gt;="&amp;DATE(YEAR(TODAY()),MONTH(TODAY()),1),A$2:A$88,"&lt;"&amp;DATE(YEAR(TODAY()),MONTH(TODAY())+1,1),B$2:B$88,$B$106),"")</f>
        <v/>
      </c>
      <c r="F106" s="11">
        <f>IFERROR(SUMPRODUCT((YEAR(A$2:A$88)=YEAR(TODAY()))*(MONTH(A$2:A$88)=MONTH(TODAY()))*(B$2:B$88=$B$106)*(F$2:F$88),"")</f>
        <v/>
      </c>
    </row>
    <row r="107">
      <c r="B107" s="2" t="inlineStr">
        <is>
          <t>SMM电池级氢氧化锂指数</t>
        </is>
      </c>
      <c r="C107" s="10">
        <f>IFERROR(AVERAGEIFS(C$2:C$88,A$2:A$88,"&gt;="&amp;DATE(YEAR(TODAY()),MONTH(TODAY()),1),A$2:A$88,"&lt;"&amp;DATE(YEAR(TODAY()),MONTH(TODAY())+1,1),B$2:B$88,$B$107),"")</f>
        <v/>
      </c>
      <c r="D107" s="10">
        <f>IFERROR(AVERAGEIFS(D$2:D$88,A$2:A$88,"&gt;="&amp;DATE(YEAR(TODAY()),MONTH(TODAY()),1),A$2:A$88,"&lt;"&amp;DATE(YEAR(TODAY()),MONTH(TODAY())+1,1),B$2:B$88,$B$107),"")</f>
        <v/>
      </c>
      <c r="E107" s="10">
        <f>IFERROR(AVERAGEIFS(E$2:E$88,A$2:A$88,"&gt;="&amp;DATE(YEAR(TODAY()),MONTH(TODAY()),1),A$2:A$88,"&lt;"&amp;DATE(YEAR(TODAY()),MONTH(TODAY())+1,1),B$2:B$88,$B$107),"")</f>
        <v/>
      </c>
      <c r="F107" s="11">
        <f>IFERROR(SUMPRODUCT((YEAR(A$2:A$88)=YEAR(TODAY()))*(MONTH(A$2:A$88)=MONTH(TODAY()))*(B$2:B$88=$B$107)*(F$2:F$88),"")</f>
        <v/>
      </c>
    </row>
    <row r="108">
      <c r="B108" s="2" t="inlineStr">
        <is>
          <t>SMM电池级硫酸锰指数</t>
        </is>
      </c>
      <c r="C108" s="10">
        <f>IFERROR(AVERAGEIFS(C$2:C$88,A$2:A$88,"&gt;="&amp;DATE(YEAR(TODAY()),MONTH(TODAY()),1),A$2:A$88,"&lt;"&amp;DATE(YEAR(TODAY()),MONTH(TODAY())+1,1),B$2:B$88,$B$108),"")</f>
        <v/>
      </c>
      <c r="D108" s="10">
        <f>IFERROR(AVERAGEIFS(D$2:D$88,A$2:A$88,"&gt;="&amp;DATE(YEAR(TODAY()),MONTH(TODAY()),1),A$2:A$88,"&lt;"&amp;DATE(YEAR(TODAY()),MONTH(TODAY())+1,1),B$2:B$88,$B$108),"")</f>
        <v/>
      </c>
      <c r="E108" s="10">
        <f>IFERROR(AVERAGEIFS(E$2:E$88,A$2:A$88,"&gt;="&amp;DATE(YEAR(TODAY()),MONTH(TODAY()),1),A$2:A$88,"&lt;"&amp;DATE(YEAR(TODAY()),MONTH(TODAY())+1,1),B$2:B$88,$B$108),"")</f>
        <v/>
      </c>
      <c r="F108" s="11">
        <f>IFERROR(SUMPRODUCT((YEAR(A$2:A$88)=YEAR(TODAY()))*(MONTH(A$2:A$88)=MONTH(TODAY()))*(B$2:B$88=$B$108)*(F$2:F$88),"")</f>
        <v/>
      </c>
    </row>
    <row r="109">
      <c r="B109" s="2" t="inlineStr">
        <is>
          <t>SMM电池级硫酸镍指数</t>
        </is>
      </c>
      <c r="C109" s="10">
        <f>IFERROR(AVERAGEIFS(C$2:C$88,A$2:A$88,"&gt;="&amp;DATE(YEAR(TODAY()),MONTH(TODAY()),1),A$2:A$88,"&lt;"&amp;DATE(YEAR(TODAY()),MONTH(TODAY())+1,1),B$2:B$88,$B$109),"")</f>
        <v/>
      </c>
      <c r="D109" s="10">
        <f>IFERROR(AVERAGEIFS(D$2:D$88,A$2:A$88,"&gt;="&amp;DATE(YEAR(TODAY()),MONTH(TODAY()),1),A$2:A$88,"&lt;"&amp;DATE(YEAR(TODAY()),MONTH(TODAY())+1,1),B$2:B$88,$B$109),"")</f>
        <v/>
      </c>
      <c r="E109" s="10">
        <f>IFERROR(AVERAGEIFS(E$2:E$88,A$2:A$88,"&gt;="&amp;DATE(YEAR(TODAY()),MONTH(TODAY()),1),A$2:A$88,"&lt;"&amp;DATE(YEAR(TODAY()),MONTH(TODAY())+1,1),B$2:B$88,$B$109),"")</f>
        <v/>
      </c>
      <c r="F109" s="11">
        <f>IFERROR(SUMPRODUCT((YEAR(A$2:A$88)=YEAR(TODAY()))*(MONTH(A$2:A$88)=MONTH(TODAY()))*(B$2:B$88=$B$109)*(F$2:F$88),"")</f>
        <v/>
      </c>
    </row>
    <row r="110">
      <c r="B110" s="2" t="inlineStr">
        <is>
          <t>SMM电池级碳酸锂指数</t>
        </is>
      </c>
      <c r="C110" s="10">
        <f>IFERROR(AVERAGEIFS(C$2:C$88,A$2:A$88,"&gt;="&amp;DATE(YEAR(TODAY()),MONTH(TODAY()),1),A$2:A$88,"&lt;"&amp;DATE(YEAR(TODAY()),MONTH(TODAY())+1,1),B$2:B$88,$B$110),"")</f>
        <v/>
      </c>
      <c r="D110" s="10">
        <f>IFERROR(AVERAGEIFS(D$2:D$88,A$2:A$88,"&gt;="&amp;DATE(YEAR(TODAY()),MONTH(TODAY()),1),A$2:A$88,"&lt;"&amp;DATE(YEAR(TODAY()),MONTH(TODAY())+1,1),B$2:B$88,$B$110),"")</f>
        <v/>
      </c>
      <c r="E110" s="10">
        <f>IFERROR(AVERAGEIFS(E$2:E$88,A$2:A$88,"&gt;="&amp;DATE(YEAR(TODAY()),MONTH(TODAY()),1),A$2:A$88,"&lt;"&amp;DATE(YEAR(TODAY()),MONTH(TODAY())+1,1),B$2:B$88,$B$110),"")</f>
        <v/>
      </c>
      <c r="F110" s="11">
        <f>IFERROR(SUMPRODUCT((YEAR(A$2:A$88)=YEAR(TODAY()))*(MONTH(A$2:A$88)=MONTH(TODAY()))*(B$2:B$88=$B$110)*(F$2:F$88),"")</f>
        <v/>
      </c>
    </row>
    <row r="111">
      <c r="B111" s="2" t="inlineStr">
        <is>
          <t>SMM硫酸钴指数</t>
        </is>
      </c>
      <c r="C111" s="10">
        <f>IFERROR(AVERAGEIFS(C$2:C$88,A$2:A$88,"&gt;="&amp;DATE(YEAR(TODAY()),MONTH(TODAY()),1),A$2:A$88,"&lt;"&amp;DATE(YEAR(TODAY()),MONTH(TODAY())+1,1),B$2:B$88,$B$111),"")</f>
        <v/>
      </c>
      <c r="D111" s="10">
        <f>IFERROR(AVERAGEIFS(D$2:D$88,A$2:A$88,"&gt;="&amp;DATE(YEAR(TODAY()),MONTH(TODAY()),1),A$2:A$88,"&lt;"&amp;DATE(YEAR(TODAY()),MONTH(TODAY())+1,1),B$2:B$88,$B$111),"")</f>
        <v/>
      </c>
      <c r="E111" s="10">
        <f>IFERROR(AVERAGEIFS(E$2:E$88,A$2:A$88,"&gt;="&amp;DATE(YEAR(TODAY()),MONTH(TODAY()),1),A$2:A$88,"&lt;"&amp;DATE(YEAR(TODAY()),MONTH(TODAY())+1,1),B$2:B$88,$B$111),"")</f>
        <v/>
      </c>
      <c r="F111" s="11">
        <f>IFERROR(SUMPRODUCT((YEAR(A$2:A$88)=YEAR(TODAY()))*(MONTH(A$2:A$88)=MONTH(TODAY()))*(B$2:B$88=$B$111)*(F$2:F$88),"")</f>
        <v/>
      </c>
    </row>
    <row r="112">
      <c r="B112" s="2" t="inlineStr">
        <is>
          <t>SMM磷酸铁锂极片粉指数</t>
        </is>
      </c>
      <c r="C112" s="10">
        <f>IFERROR(AVERAGEIFS(C$2:C$88,A$2:A$88,"&gt;="&amp;DATE(YEAR(TODAY()),MONTH(TODAY()),1),A$2:A$88,"&lt;"&amp;DATE(YEAR(TODAY()),MONTH(TODAY())+1,1),B$2:B$88,$B$112),"")</f>
        <v/>
      </c>
      <c r="D112" s="10">
        <f>IFERROR(AVERAGEIFS(D$2:D$88,A$2:A$88,"&gt;="&amp;DATE(YEAR(TODAY()),MONTH(TODAY()),1),A$2:A$88,"&lt;"&amp;DATE(YEAR(TODAY()),MONTH(TODAY())+1,1),B$2:B$88,$B$112),"")</f>
        <v/>
      </c>
      <c r="E112" s="10">
        <f>IFERROR(AVERAGEIFS(E$2:E$88,A$2:A$88,"&gt;="&amp;DATE(YEAR(TODAY()),MONTH(TODAY()),1),A$2:A$88,"&lt;"&amp;DATE(YEAR(TODAY()),MONTH(TODAY())+1,1),B$2:B$88,$B$112),"")</f>
        <v/>
      </c>
      <c r="F112" s="11">
        <f>IFERROR(SUMPRODUCT((YEAR(A$2:A$88)=YEAR(TODAY()))*(MONTH(A$2:A$88)=MONTH(TODAY()))*(B$2:B$88=$B$112)*(F$2:F$88),"")</f>
        <v/>
      </c>
    </row>
    <row r="113">
      <c r="B113" s="2" t="inlineStr">
        <is>
          <t>SMM磷酸铁锂电池粉指数</t>
        </is>
      </c>
      <c r="C113" s="10">
        <f>IFERROR(AVERAGEIFS(C$2:C$88,A$2:A$88,"&gt;="&amp;DATE(YEAR(TODAY()),MONTH(TODAY()),1),A$2:A$88,"&lt;"&amp;DATE(YEAR(TODAY()),MONTH(TODAY())+1,1),B$2:B$88,$B$113),"")</f>
        <v/>
      </c>
      <c r="D113" s="10">
        <f>IFERROR(AVERAGEIFS(D$2:D$88,A$2:A$88,"&gt;="&amp;DATE(YEAR(TODAY()),MONTH(TODAY()),1),A$2:A$88,"&lt;"&amp;DATE(YEAR(TODAY()),MONTH(TODAY())+1,1),B$2:B$88,$B$113),"")</f>
        <v/>
      </c>
      <c r="E113" s="10">
        <f>IFERROR(AVERAGEIFS(E$2:E$88,A$2:A$88,"&gt;="&amp;DATE(YEAR(TODAY()),MONTH(TODAY()),1),A$2:A$88,"&lt;"&amp;DATE(YEAR(TODAY()),MONTH(TODAY())+1,1),B$2:B$88,$B$113),"")</f>
        <v/>
      </c>
      <c r="F113" s="11">
        <f>IFERROR(SUMPRODUCT((YEAR(A$2:A$88)=YEAR(TODAY()))*(MONTH(A$2:A$88)=MONTH(TODAY()))*(B$2:B$88=$B$113)*(F$2:F$88),"")</f>
        <v/>
      </c>
    </row>
    <row r="114">
      <c r="B114" s="2" t="inlineStr">
        <is>
          <t>SMM钴酸锂极片粉钴系数指数</t>
        </is>
      </c>
      <c r="C114" s="10">
        <f>IFERROR(AVERAGEIFS(C$2:C$88,A$2:A$88,"&gt;="&amp;DATE(YEAR(TODAY()),MONTH(TODAY()),1),A$2:A$88,"&lt;"&amp;DATE(YEAR(TODAY()),MONTH(TODAY())+1,1),B$2:B$88,$B$114),"")</f>
        <v/>
      </c>
      <c r="D114" s="10">
        <f>IFERROR(AVERAGEIFS(D$2:D$88,A$2:A$88,"&gt;="&amp;DATE(YEAR(TODAY()),MONTH(TODAY()),1),A$2:A$88,"&lt;"&amp;DATE(YEAR(TODAY()),MONTH(TODAY())+1,1),B$2:B$88,$B$114),"")</f>
        <v/>
      </c>
      <c r="E114" s="10">
        <f>IFERROR(AVERAGEIFS(E$2:E$88,A$2:A$88,"&gt;="&amp;DATE(YEAR(TODAY()),MONTH(TODAY()),1),A$2:A$88,"&lt;"&amp;DATE(YEAR(TODAY()),MONTH(TODAY())+1,1),B$2:B$88,$B$114),"")</f>
        <v/>
      </c>
      <c r="F114" s="11">
        <f>IFERROR(SUMPRODUCT((YEAR(A$2:A$88)=YEAR(TODAY()))*(MONTH(A$2:A$88)=MONTH(TODAY()))*(B$2:B$88=$B$114)*(F$2:F$88),"")</f>
        <v/>
      </c>
    </row>
    <row r="115">
      <c r="B115" s="2" t="inlineStr">
        <is>
          <t>SMM钴酸锂极片粉锂系数指数</t>
        </is>
      </c>
      <c r="C115" s="10">
        <f>IFERROR(AVERAGEIFS(C$2:C$88,A$2:A$88,"&gt;="&amp;DATE(YEAR(TODAY()),MONTH(TODAY()),1),A$2:A$88,"&lt;"&amp;DATE(YEAR(TODAY()),MONTH(TODAY())+1,1),B$2:B$88,$B$115),"")</f>
        <v/>
      </c>
      <c r="D115" s="10">
        <f>IFERROR(AVERAGEIFS(D$2:D$88,A$2:A$88,"&gt;="&amp;DATE(YEAR(TODAY()),MONTH(TODAY()),1),A$2:A$88,"&lt;"&amp;DATE(YEAR(TODAY()),MONTH(TODAY())+1,1),B$2:B$88,$B$115),"")</f>
        <v/>
      </c>
      <c r="E115" s="10">
        <f>IFERROR(AVERAGEIFS(E$2:E$88,A$2:A$88,"&gt;="&amp;DATE(YEAR(TODAY()),MONTH(TODAY()),1),A$2:A$88,"&lt;"&amp;DATE(YEAR(TODAY()),MONTH(TODAY())+1,1),B$2:B$88,$B$115),"")</f>
        <v/>
      </c>
      <c r="F115" s="11">
        <f>IFERROR(SUMPRODUCT((YEAR(A$2:A$88)=YEAR(TODAY()))*(MONTH(A$2:A$88)=MONTH(TODAY()))*(B$2:B$88=$B$115)*(F$2:F$88),"")</f>
        <v/>
      </c>
    </row>
    <row r="116">
      <c r="B116" s="2" t="inlineStr">
        <is>
          <t>SMM钴酸锂电池粉钴系数指数</t>
        </is>
      </c>
      <c r="C116" s="10">
        <f>IFERROR(AVERAGEIFS(C$2:C$88,A$2:A$88,"&gt;="&amp;DATE(YEAR(TODAY()),MONTH(TODAY()),1),A$2:A$88,"&lt;"&amp;DATE(YEAR(TODAY()),MONTH(TODAY())+1,1),B$2:B$88,$B$116),"")</f>
        <v/>
      </c>
      <c r="D116" s="10">
        <f>IFERROR(AVERAGEIFS(D$2:D$88,A$2:A$88,"&gt;="&amp;DATE(YEAR(TODAY()),MONTH(TODAY()),1),A$2:A$88,"&lt;"&amp;DATE(YEAR(TODAY()),MONTH(TODAY())+1,1),B$2:B$88,$B$116),"")</f>
        <v/>
      </c>
      <c r="E116" s="10">
        <f>IFERROR(AVERAGEIFS(E$2:E$88,A$2:A$88,"&gt;="&amp;DATE(YEAR(TODAY()),MONTH(TODAY()),1),A$2:A$88,"&lt;"&amp;DATE(YEAR(TODAY()),MONTH(TODAY())+1,1),B$2:B$88,$B$116),"")</f>
        <v/>
      </c>
      <c r="F116" s="11">
        <f>IFERROR(SUMPRODUCT((YEAR(A$2:A$88)=YEAR(TODAY()))*(MONTH(A$2:A$88)=MONTH(TODAY()))*(B$2:B$88=$B$116)*(F$2:F$88),"")</f>
        <v/>
      </c>
    </row>
    <row r="117">
      <c r="B117" s="2" t="inlineStr">
        <is>
          <t>SMM钴酸锂电池粉锂系数指数</t>
        </is>
      </c>
      <c r="C117" s="10">
        <f>IFERROR(AVERAGEIFS(C$2:C$88,A$2:A$88,"&gt;="&amp;DATE(YEAR(TODAY()),MONTH(TODAY()),1),A$2:A$88,"&lt;"&amp;DATE(YEAR(TODAY()),MONTH(TODAY())+1,1),B$2:B$88,$B$117),"")</f>
        <v/>
      </c>
      <c r="D117" s="10">
        <f>IFERROR(AVERAGEIFS(D$2:D$88,A$2:A$88,"&gt;="&amp;DATE(YEAR(TODAY()),MONTH(TODAY()),1),A$2:A$88,"&lt;"&amp;DATE(YEAR(TODAY()),MONTH(TODAY())+1,1),B$2:B$88,$B$117),"")</f>
        <v/>
      </c>
      <c r="E117" s="10">
        <f>IFERROR(AVERAGEIFS(E$2:E$88,A$2:A$88,"&gt;="&amp;DATE(YEAR(TODAY()),MONTH(TODAY()),1),A$2:A$88,"&lt;"&amp;DATE(YEAR(TODAY()),MONTH(TODAY())+1,1),B$2:B$88,$B$117),"")</f>
        <v/>
      </c>
      <c r="F117" s="11">
        <f>IFERROR(SUMPRODUCT((YEAR(A$2:A$88)=YEAR(TODAY()))*(MONTH(A$2:A$88)=MONTH(TODAY()))*(B$2:B$88=$B$117)*(F$2:F$88),"")</f>
        <v/>
      </c>
    </row>
    <row r="118">
      <c r="B118" s="2" t="inlineStr">
        <is>
          <t>三元方壳锂电B品</t>
        </is>
      </c>
      <c r="C118" s="10">
        <f>IFERROR(AVERAGEIFS(C$2:C$88,A$2:A$88,"&gt;="&amp;DATE(YEAR(TODAY()),MONTH(TODAY()),1),A$2:A$88,"&lt;"&amp;DATE(YEAR(TODAY()),MONTH(TODAY())+1,1),B$2:B$88,$B$118),"")</f>
        <v/>
      </c>
      <c r="D118" s="10">
        <f>IFERROR(AVERAGEIFS(D$2:D$88,A$2:A$88,"&gt;="&amp;DATE(YEAR(TODAY()),MONTH(TODAY()),1),A$2:A$88,"&lt;"&amp;DATE(YEAR(TODAY()),MONTH(TODAY())+1,1),B$2:B$88,$B$118),"")</f>
        <v/>
      </c>
      <c r="E118" s="10">
        <f>IFERROR(AVERAGEIFS(E$2:E$88,A$2:A$88,"&gt;="&amp;DATE(YEAR(TODAY()),MONTH(TODAY()),1),A$2:A$88,"&lt;"&amp;DATE(YEAR(TODAY()),MONTH(TODAY())+1,1),B$2:B$88,$B$118),"")</f>
        <v/>
      </c>
      <c r="F118" s="11">
        <f>IFERROR(SUMPRODUCT((YEAR(A$2:A$88)=YEAR(TODAY()))*(MONTH(A$2:A$88)=MONTH(TODAY()))*(B$2:B$88=$B$118)*(F$2:F$88),"")</f>
        <v/>
      </c>
    </row>
    <row r="119">
      <c r="B119" s="2" t="inlineStr">
        <is>
          <t>六氟磷酸锂（国产）</t>
        </is>
      </c>
      <c r="C119" s="10">
        <f>IFERROR(AVERAGEIFS(C$2:C$88,A$2:A$88,"&gt;="&amp;DATE(YEAR(TODAY()),MONTH(TODAY()),1),A$2:A$88,"&lt;"&amp;DATE(YEAR(TODAY()),MONTH(TODAY())+1,1),B$2:B$88,$B$119),"")</f>
        <v/>
      </c>
      <c r="D119" s="10">
        <f>IFERROR(AVERAGEIFS(D$2:D$88,A$2:A$88,"&gt;="&amp;DATE(YEAR(TODAY()),MONTH(TODAY()),1),A$2:A$88,"&lt;"&amp;DATE(YEAR(TODAY()),MONTH(TODAY())+1,1),B$2:B$88,$B$119),"")</f>
        <v/>
      </c>
      <c r="E119" s="10">
        <f>IFERROR(AVERAGEIFS(E$2:E$88,A$2:A$88,"&gt;="&amp;DATE(YEAR(TODAY()),MONTH(TODAY()),1),A$2:A$88,"&lt;"&amp;DATE(YEAR(TODAY()),MONTH(TODAY())+1,1),B$2:B$88,$B$119),"")</f>
        <v/>
      </c>
      <c r="F119" s="11">
        <f>IFERROR(SUMPRODUCT((YEAR(A$2:A$88)=YEAR(TODAY()))*(MONTH(A$2:A$88)=MONTH(TODAY()))*(B$2:B$88=$B$119)*(F$2:F$88),"")</f>
        <v/>
      </c>
    </row>
    <row r="120">
      <c r="B120" s="2" t="inlineStr">
        <is>
          <t>四氧化三钴</t>
        </is>
      </c>
      <c r="C120" s="10">
        <f>IFERROR(AVERAGEIFS(C$2:C$88,A$2:A$88,"&gt;="&amp;DATE(YEAR(TODAY()),MONTH(TODAY()),1),A$2:A$88,"&lt;"&amp;DATE(YEAR(TODAY()),MONTH(TODAY())+1,1),B$2:B$88,$B$120),"")</f>
        <v/>
      </c>
      <c r="D120" s="10">
        <f>IFERROR(AVERAGEIFS(D$2:D$88,A$2:A$88,"&gt;="&amp;DATE(YEAR(TODAY()),MONTH(TODAY()),1),A$2:A$88,"&lt;"&amp;DATE(YEAR(TODAY()),MONTH(TODAY())+1,1),B$2:B$88,$B$120),"")</f>
        <v/>
      </c>
      <c r="E120" s="10">
        <f>IFERROR(AVERAGEIFS(E$2:E$88,A$2:A$88,"&gt;="&amp;DATE(YEAR(TODAY()),MONTH(TODAY()),1),A$2:A$88,"&lt;"&amp;DATE(YEAR(TODAY()),MONTH(TODAY())+1,1),B$2:B$88,$B$120),"")</f>
        <v/>
      </c>
      <c r="F120" s="11">
        <f>IFERROR(SUMPRODUCT((YEAR(A$2:A$88)=YEAR(TODAY()))*(MONTH(A$2:A$88)=MONTH(TODAY()))*(B$2:B$88=$B$120)*(F$2:F$88),"")</f>
        <v/>
      </c>
    </row>
    <row r="121">
      <c r="B121" s="2" t="inlineStr">
        <is>
          <t>四氧化三锰（电池级）</t>
        </is>
      </c>
      <c r="C121" s="10">
        <f>IFERROR(AVERAGEIFS(C$2:C$88,A$2:A$88,"&gt;="&amp;DATE(YEAR(TODAY()),MONTH(TODAY()),1),A$2:A$88,"&lt;"&amp;DATE(YEAR(TODAY()),MONTH(TODAY())+1,1),B$2:B$88,$B$121),"")</f>
        <v/>
      </c>
      <c r="D121" s="10">
        <f>IFERROR(AVERAGEIFS(D$2:D$88,A$2:A$88,"&gt;="&amp;DATE(YEAR(TODAY()),MONTH(TODAY()),1),A$2:A$88,"&lt;"&amp;DATE(YEAR(TODAY()),MONTH(TODAY())+1,1),B$2:B$88,$B$121),"")</f>
        <v/>
      </c>
      <c r="E121" s="10">
        <f>IFERROR(AVERAGEIFS(E$2:E$88,A$2:A$88,"&gt;="&amp;DATE(YEAR(TODAY()),MONTH(TODAY()),1),A$2:A$88,"&lt;"&amp;DATE(YEAR(TODAY()),MONTH(TODAY())+1,1),B$2:B$88,$B$121),"")</f>
        <v/>
      </c>
      <c r="F121" s="11">
        <f>IFERROR(SUMPRODUCT((YEAR(A$2:A$88)=YEAR(TODAY()))*(MONTH(A$2:A$88)=MONTH(TODAY()))*(B$2:B$88=$B$121)*(F$2:F$88),"")</f>
        <v/>
      </c>
    </row>
    <row r="122">
      <c r="B122" s="2" t="inlineStr">
        <is>
          <t>工业级氢氧化锂</t>
        </is>
      </c>
      <c r="C122" s="10">
        <f>IFERROR(AVERAGEIFS(C$2:C$88,A$2:A$88,"&gt;="&amp;DATE(YEAR(TODAY()),MONTH(TODAY()),1),A$2:A$88,"&lt;"&amp;DATE(YEAR(TODAY()),MONTH(TODAY())+1,1),B$2:B$88,$B$122),"")</f>
        <v/>
      </c>
      <c r="D122" s="10">
        <f>IFERROR(AVERAGEIFS(D$2:D$88,A$2:A$88,"&gt;="&amp;DATE(YEAR(TODAY()),MONTH(TODAY()),1),A$2:A$88,"&lt;"&amp;DATE(YEAR(TODAY()),MONTH(TODAY())+1,1),B$2:B$88,$B$122),"")</f>
        <v/>
      </c>
      <c r="E122" s="10">
        <f>IFERROR(AVERAGEIFS(E$2:E$88,A$2:A$88,"&gt;="&amp;DATE(YEAR(TODAY()),MONTH(TODAY()),1),A$2:A$88,"&lt;"&amp;DATE(YEAR(TODAY()),MONTH(TODAY())+1,1),B$2:B$88,$B$122),"")</f>
        <v/>
      </c>
      <c r="F122" s="11">
        <f>IFERROR(SUMPRODUCT((YEAR(A$2:A$88)=YEAR(TODAY()))*(MONTH(A$2:A$88)=MONTH(TODAY()))*(B$2:B$88=$B$122)*(F$2:F$88),"")</f>
        <v/>
      </c>
    </row>
    <row r="123">
      <c r="B123" s="2" t="inlineStr">
        <is>
          <t>工业级碳酸锂</t>
        </is>
      </c>
      <c r="C123" s="10">
        <f>IFERROR(AVERAGEIFS(C$2:C$88,A$2:A$88,"&gt;="&amp;DATE(YEAR(TODAY()),MONTH(TODAY()),1),A$2:A$88,"&lt;"&amp;DATE(YEAR(TODAY()),MONTH(TODAY())+1,1),B$2:B$88,$B$123),"")</f>
        <v/>
      </c>
      <c r="D123" s="10">
        <f>IFERROR(AVERAGEIFS(D$2:D$88,A$2:A$88,"&gt;="&amp;DATE(YEAR(TODAY()),MONTH(TODAY()),1),A$2:A$88,"&lt;"&amp;DATE(YEAR(TODAY()),MONTH(TODAY())+1,1),B$2:B$88,$B$123),"")</f>
        <v/>
      </c>
      <c r="E123" s="10">
        <f>IFERROR(AVERAGEIFS(E$2:E$88,A$2:A$88,"&gt;="&amp;DATE(YEAR(TODAY()),MONTH(TODAY()),1),A$2:A$88,"&lt;"&amp;DATE(YEAR(TODAY()),MONTH(TODAY())+1,1),B$2:B$88,$B$123),"")</f>
        <v/>
      </c>
      <c r="F123" s="11">
        <f>IFERROR(SUMPRODUCT((YEAR(A$2:A$88)=YEAR(TODAY()))*(MONTH(A$2:A$88)=MONTH(TODAY()))*(B$2:B$88=$B$123)*(F$2:F$88),"")</f>
        <v/>
      </c>
    </row>
    <row r="124">
      <c r="B124" s="2" t="inlineStr">
        <is>
          <t>工业级金属锂</t>
        </is>
      </c>
      <c r="C124" s="10">
        <f>IFERROR(AVERAGEIFS(C$2:C$88,A$2:A$88,"&gt;="&amp;DATE(YEAR(TODAY()),MONTH(TODAY()),1),A$2:A$88,"&lt;"&amp;DATE(YEAR(TODAY()),MONTH(TODAY())+1,1),B$2:B$88,$B$124),"")</f>
        <v/>
      </c>
      <c r="D124" s="10">
        <f>IFERROR(AVERAGEIFS(D$2:D$88,A$2:A$88,"&gt;="&amp;DATE(YEAR(TODAY()),MONTH(TODAY()),1),A$2:A$88,"&lt;"&amp;DATE(YEAR(TODAY()),MONTH(TODAY())+1,1),B$2:B$88,$B$124),"")</f>
        <v/>
      </c>
      <c r="E124" s="10">
        <f>IFERROR(AVERAGEIFS(E$2:E$88,A$2:A$88,"&gt;="&amp;DATE(YEAR(TODAY()),MONTH(TODAY()),1),A$2:A$88,"&lt;"&amp;DATE(YEAR(TODAY()),MONTH(TODAY())+1,1),B$2:B$88,$B$124),"")</f>
        <v/>
      </c>
      <c r="F124" s="11">
        <f>IFERROR(SUMPRODUCT((YEAR(A$2:A$88)=YEAR(TODAY()))*(MONTH(A$2:A$88)=MONTH(TODAY()))*(B$2:B$88=$B$124)*(F$2:F$88),"")</f>
        <v/>
      </c>
    </row>
    <row r="125">
      <c r="B125" s="2" t="inlineStr">
        <is>
          <t>巴西锂辉石精矿（CIF中国）现货</t>
        </is>
      </c>
      <c r="C125" s="10">
        <f>IFERROR(AVERAGEIFS(C$2:C$88,A$2:A$88,"&gt;="&amp;DATE(YEAR(TODAY()),MONTH(TODAY()),1),A$2:A$88,"&lt;"&amp;DATE(YEAR(TODAY()),MONTH(TODAY())+1,1),B$2:B$88,$B$125),"")</f>
        <v/>
      </c>
      <c r="D125" s="10">
        <f>IFERROR(AVERAGEIFS(D$2:D$88,A$2:A$88,"&gt;="&amp;DATE(YEAR(TODAY()),MONTH(TODAY()),1),A$2:A$88,"&lt;"&amp;DATE(YEAR(TODAY()),MONTH(TODAY())+1,1),B$2:B$88,$B$125),"")</f>
        <v/>
      </c>
      <c r="E125" s="10">
        <f>IFERROR(AVERAGEIFS(E$2:E$88,A$2:A$88,"&gt;="&amp;DATE(YEAR(TODAY()),MONTH(TODAY()),1),A$2:A$88,"&lt;"&amp;DATE(YEAR(TODAY()),MONTH(TODAY())+1,1),B$2:B$88,$B$125),"")</f>
        <v/>
      </c>
      <c r="F125" s="11">
        <f>IFERROR(SUMPRODUCT((YEAR(A$2:A$88)=YEAR(TODAY()))*(MONTH(A$2:A$88)=MONTH(TODAY()))*(B$2:B$88=$B$125)*(F$2:F$88),"")</f>
        <v/>
      </c>
    </row>
    <row r="126">
      <c r="B126" s="2" t="inlineStr">
        <is>
          <t>废旧磷酸铁锂储能正极片</t>
        </is>
      </c>
      <c r="C126" s="10">
        <f>IFERROR(AVERAGEIFS(C$2:C$88,A$2:A$88,"&gt;="&amp;DATE(YEAR(TODAY()),MONTH(TODAY()),1),A$2:A$88,"&lt;"&amp;DATE(YEAR(TODAY()),MONTH(TODAY())+1,1),B$2:B$88,$B$126),"")</f>
        <v/>
      </c>
      <c r="D126" s="10">
        <f>IFERROR(AVERAGEIFS(D$2:D$88,A$2:A$88,"&gt;="&amp;DATE(YEAR(TODAY()),MONTH(TODAY()),1),A$2:A$88,"&lt;"&amp;DATE(YEAR(TODAY()),MONTH(TODAY())+1,1),B$2:B$88,$B$126),"")</f>
        <v/>
      </c>
      <c r="E126" s="10">
        <f>IFERROR(AVERAGEIFS(E$2:E$88,A$2:A$88,"&gt;="&amp;DATE(YEAR(TODAY()),MONTH(TODAY()),1),A$2:A$88,"&lt;"&amp;DATE(YEAR(TODAY()),MONTH(TODAY())+1,1),B$2:B$88,$B$126),"")</f>
        <v/>
      </c>
      <c r="F126" s="11">
        <f>IFERROR(SUMPRODUCT((YEAR(A$2:A$88)=YEAR(TODAY()))*(MONTH(A$2:A$88)=MONTH(TODAY()))*(B$2:B$88=$B$126)*(F$2:F$88),"")</f>
        <v/>
      </c>
    </row>
    <row r="127">
      <c r="B127" s="2" t="inlineStr">
        <is>
          <t>废旧磷酸铁锂动力正极片</t>
        </is>
      </c>
      <c r="C127" s="10">
        <f>IFERROR(AVERAGEIFS(C$2:C$88,A$2:A$88,"&gt;="&amp;DATE(YEAR(TODAY()),MONTH(TODAY()),1),A$2:A$88,"&lt;"&amp;DATE(YEAR(TODAY()),MONTH(TODAY())+1,1),B$2:B$88,$B$127),"")</f>
        <v/>
      </c>
      <c r="D127" s="10">
        <f>IFERROR(AVERAGEIFS(D$2:D$88,A$2:A$88,"&gt;="&amp;DATE(YEAR(TODAY()),MONTH(TODAY()),1),A$2:A$88,"&lt;"&amp;DATE(YEAR(TODAY()),MONTH(TODAY())+1,1),B$2:B$88,$B$127),"")</f>
        <v/>
      </c>
      <c r="E127" s="10">
        <f>IFERROR(AVERAGEIFS(E$2:E$88,A$2:A$88,"&gt;="&amp;DATE(YEAR(TODAY()),MONTH(TODAY()),1),A$2:A$88,"&lt;"&amp;DATE(YEAR(TODAY()),MONTH(TODAY())+1,1),B$2:B$88,$B$127),"")</f>
        <v/>
      </c>
      <c r="F127" s="11">
        <f>IFERROR(SUMPRODUCT((YEAR(A$2:A$88)=YEAR(TODAY()))*(MONTH(A$2:A$88)=MONTH(TODAY()))*(B$2:B$88=$B$127)*(F$2:F$88),"")</f>
        <v/>
      </c>
    </row>
    <row r="128">
      <c r="B128" s="2" t="inlineStr">
        <is>
          <t>废旧磷酸铁锂软包电池</t>
        </is>
      </c>
      <c r="C128" s="10">
        <f>IFERROR(AVERAGEIFS(C$2:C$88,A$2:A$88,"&gt;="&amp;DATE(YEAR(TODAY()),MONTH(TODAY()),1),A$2:A$88,"&lt;"&amp;DATE(YEAR(TODAY()),MONTH(TODAY())+1,1),B$2:B$88,$B$128),"")</f>
        <v/>
      </c>
      <c r="D128" s="10">
        <f>IFERROR(AVERAGEIFS(D$2:D$88,A$2:A$88,"&gt;="&amp;DATE(YEAR(TODAY()),MONTH(TODAY()),1),A$2:A$88,"&lt;"&amp;DATE(YEAR(TODAY()),MONTH(TODAY())+1,1),B$2:B$88,$B$128),"")</f>
        <v/>
      </c>
      <c r="E128" s="10">
        <f>IFERROR(AVERAGEIFS(E$2:E$88,A$2:A$88,"&gt;="&amp;DATE(YEAR(TODAY()),MONTH(TODAY()),1),A$2:A$88,"&lt;"&amp;DATE(YEAR(TODAY()),MONTH(TODAY())+1,1),B$2:B$88,$B$128),"")</f>
        <v/>
      </c>
      <c r="F128" s="11">
        <f>IFERROR(SUMPRODUCT((YEAR(A$2:A$88)=YEAR(TODAY()))*(MONTH(A$2:A$88)=MONTH(TODAY()))*(B$2:B$88=$B$128)*(F$2:F$88),"")</f>
        <v/>
      </c>
    </row>
    <row r="129">
      <c r="B129" s="2" t="inlineStr">
        <is>
          <t>废旧磷酸铁锂钢壳电池</t>
        </is>
      </c>
      <c r="C129" s="10">
        <f>IFERROR(AVERAGEIFS(C$2:C$88,A$2:A$88,"&gt;="&amp;DATE(YEAR(TODAY()),MONTH(TODAY()),1),A$2:A$88,"&lt;"&amp;DATE(YEAR(TODAY()),MONTH(TODAY())+1,1),B$2:B$88,$B$129),"")</f>
        <v/>
      </c>
      <c r="D129" s="10">
        <f>IFERROR(AVERAGEIFS(D$2:D$88,A$2:A$88,"&gt;="&amp;DATE(YEAR(TODAY()),MONTH(TODAY()),1),A$2:A$88,"&lt;"&amp;DATE(YEAR(TODAY()),MONTH(TODAY())+1,1),B$2:B$88,$B$129),"")</f>
        <v/>
      </c>
      <c r="E129" s="10">
        <f>IFERROR(AVERAGEIFS(E$2:E$88,A$2:A$88,"&gt;="&amp;DATE(YEAR(TODAY()),MONTH(TODAY()),1),A$2:A$88,"&lt;"&amp;DATE(YEAR(TODAY()),MONTH(TODAY())+1,1),B$2:B$88,$B$129),"")</f>
        <v/>
      </c>
      <c r="F129" s="11">
        <f>IFERROR(SUMPRODUCT((YEAR(A$2:A$88)=YEAR(TODAY()))*(MONTH(A$2:A$88)=MONTH(TODAY()))*(B$2:B$88=$B$129)*(F$2:F$88),"")</f>
        <v/>
      </c>
    </row>
    <row r="130">
      <c r="B130" s="2" t="inlineStr">
        <is>
          <t>废旧磷酸铁锂铝壳电池</t>
        </is>
      </c>
      <c r="C130" s="10">
        <f>IFERROR(AVERAGEIFS(C$2:C$88,A$2:A$88,"&gt;="&amp;DATE(YEAR(TODAY()),MONTH(TODAY()),1),A$2:A$88,"&lt;"&amp;DATE(YEAR(TODAY()),MONTH(TODAY())+1,1),B$2:B$88,$B$130),"")</f>
        <v/>
      </c>
      <c r="D130" s="10">
        <f>IFERROR(AVERAGEIFS(D$2:D$88,A$2:A$88,"&gt;="&amp;DATE(YEAR(TODAY()),MONTH(TODAY()),1),A$2:A$88,"&lt;"&amp;DATE(YEAR(TODAY()),MONTH(TODAY())+1,1),B$2:B$88,$B$130),"")</f>
        <v/>
      </c>
      <c r="E130" s="10">
        <f>IFERROR(AVERAGEIFS(E$2:E$88,A$2:A$88,"&gt;="&amp;DATE(YEAR(TODAY()),MONTH(TODAY()),1),A$2:A$88,"&lt;"&amp;DATE(YEAR(TODAY()),MONTH(TODAY())+1,1),B$2:B$88,$B$130),"")</f>
        <v/>
      </c>
      <c r="F130" s="11">
        <f>IFERROR(SUMPRODUCT((YEAR(A$2:A$88)=YEAR(TODAY()))*(MONTH(A$2:A$88)=MONTH(TODAY()))*(B$2:B$88=$B$130)*(F$2:F$88),"")</f>
        <v/>
      </c>
    </row>
    <row r="131">
      <c r="B131" s="2" t="inlineStr">
        <is>
          <t>方形磷酸铁锂电池B品</t>
        </is>
      </c>
      <c r="C131" s="10">
        <f>IFERROR(AVERAGEIFS(C$2:C$88,A$2:A$88,"&gt;="&amp;DATE(YEAR(TODAY()),MONTH(TODAY()),1),A$2:A$88,"&lt;"&amp;DATE(YEAR(TODAY()),MONTH(TODAY())+1,1),B$2:B$88,$B$131),"")</f>
        <v/>
      </c>
      <c r="D131" s="10">
        <f>IFERROR(AVERAGEIFS(D$2:D$88,A$2:A$88,"&gt;="&amp;DATE(YEAR(TODAY()),MONTH(TODAY()),1),A$2:A$88,"&lt;"&amp;DATE(YEAR(TODAY()),MONTH(TODAY())+1,1),B$2:B$88,$B$131),"")</f>
        <v/>
      </c>
      <c r="E131" s="10">
        <f>IFERROR(AVERAGEIFS(E$2:E$88,A$2:A$88,"&gt;="&amp;DATE(YEAR(TODAY()),MONTH(TODAY()),1),A$2:A$88,"&lt;"&amp;DATE(YEAR(TODAY()),MONTH(TODAY())+1,1),B$2:B$88,$B$131),"")</f>
        <v/>
      </c>
      <c r="F131" s="11">
        <f>IFERROR(SUMPRODUCT((YEAR(A$2:A$88)=YEAR(TODAY()))*(MONTH(A$2:A$88)=MONTH(TODAY()))*(B$2:B$88=$B$131)*(F$2:F$88),"")</f>
        <v/>
      </c>
    </row>
    <row r="132">
      <c r="B132" s="2" t="inlineStr">
        <is>
          <t>氧化亚镍</t>
        </is>
      </c>
      <c r="C132" s="10">
        <f>IFERROR(AVERAGEIFS(C$2:C$88,A$2:A$88,"&gt;="&amp;DATE(YEAR(TODAY()),MONTH(TODAY()),1),A$2:A$88,"&lt;"&amp;DATE(YEAR(TODAY()),MONTH(TODAY())+1,1),B$2:B$88,$B$132),"")</f>
        <v/>
      </c>
      <c r="D132" s="10">
        <f>IFERROR(AVERAGEIFS(D$2:D$88,A$2:A$88,"&gt;="&amp;DATE(YEAR(TODAY()),MONTH(TODAY()),1),A$2:A$88,"&lt;"&amp;DATE(YEAR(TODAY()),MONTH(TODAY())+1,1),B$2:B$88,$B$132),"")</f>
        <v/>
      </c>
      <c r="E132" s="10">
        <f>IFERROR(AVERAGEIFS(E$2:E$88,A$2:A$88,"&gt;="&amp;DATE(YEAR(TODAY()),MONTH(TODAY()),1),A$2:A$88,"&lt;"&amp;DATE(YEAR(TODAY()),MONTH(TODAY())+1,1),B$2:B$88,$B$132),"")</f>
        <v/>
      </c>
      <c r="F132" s="11">
        <f>IFERROR(SUMPRODUCT((YEAR(A$2:A$88)=YEAR(TODAY()))*(MONTH(A$2:A$88)=MONTH(TODAY()))*(B$2:B$88=$B$132)*(F$2:F$88),"")</f>
        <v/>
      </c>
    </row>
    <row r="133">
      <c r="B133" s="2" t="inlineStr">
        <is>
          <t>氧化钴</t>
        </is>
      </c>
      <c r="C133" s="10">
        <f>IFERROR(AVERAGEIFS(C$2:C$88,A$2:A$88,"&gt;="&amp;DATE(YEAR(TODAY()),MONTH(TODAY()),1),A$2:A$88,"&lt;"&amp;DATE(YEAR(TODAY()),MONTH(TODAY())+1,1),B$2:B$88,$B$133),"")</f>
        <v/>
      </c>
      <c r="D133" s="10">
        <f>IFERROR(AVERAGEIFS(D$2:D$88,A$2:A$88,"&gt;="&amp;DATE(YEAR(TODAY()),MONTH(TODAY()),1),A$2:A$88,"&lt;"&amp;DATE(YEAR(TODAY()),MONTH(TODAY())+1,1),B$2:B$88,$B$133),"")</f>
        <v/>
      </c>
      <c r="E133" s="10">
        <f>IFERROR(AVERAGEIFS(E$2:E$88,A$2:A$88,"&gt;="&amp;DATE(YEAR(TODAY()),MONTH(TODAY()),1),A$2:A$88,"&lt;"&amp;DATE(YEAR(TODAY()),MONTH(TODAY())+1,1),B$2:B$88,$B$133),"")</f>
        <v/>
      </c>
      <c r="F133" s="11">
        <f>IFERROR(SUMPRODUCT((YEAR(A$2:A$88)=YEAR(TODAY()))*(MONTH(A$2:A$88)=MONTH(TODAY()))*(B$2:B$88=$B$133)*(F$2:F$88),"")</f>
        <v/>
      </c>
    </row>
    <row r="134">
      <c r="B134" s="2" t="inlineStr">
        <is>
          <t>氯化钴</t>
        </is>
      </c>
      <c r="C134" s="10">
        <f>IFERROR(AVERAGEIFS(C$2:C$88,A$2:A$88,"&gt;="&amp;DATE(YEAR(TODAY()),MONTH(TODAY()),1),A$2:A$88,"&lt;"&amp;DATE(YEAR(TODAY()),MONTH(TODAY())+1,1),B$2:B$88,$B$134),"")</f>
        <v/>
      </c>
      <c r="D134" s="10">
        <f>IFERROR(AVERAGEIFS(D$2:D$88,A$2:A$88,"&gt;="&amp;DATE(YEAR(TODAY()),MONTH(TODAY()),1),A$2:A$88,"&lt;"&amp;DATE(YEAR(TODAY()),MONTH(TODAY())+1,1),B$2:B$88,$B$134),"")</f>
        <v/>
      </c>
      <c r="E134" s="10">
        <f>IFERROR(AVERAGEIFS(E$2:E$88,A$2:A$88,"&gt;="&amp;DATE(YEAR(TODAY()),MONTH(TODAY()),1),A$2:A$88,"&lt;"&amp;DATE(YEAR(TODAY()),MONTH(TODAY())+1,1),B$2:B$88,$B$134),"")</f>
        <v/>
      </c>
      <c r="F134" s="11">
        <f>IFERROR(SUMPRODUCT((YEAR(A$2:A$88)=YEAR(TODAY()))*(MONTH(A$2:A$88)=MONTH(TODAY()))*(B$2:B$88=$B$134)*(F$2:F$88),"")</f>
        <v/>
      </c>
    </row>
    <row r="135">
      <c r="B135" s="2" t="inlineStr">
        <is>
          <t>氯化镍NiCl₂·6H₂O</t>
        </is>
      </c>
      <c r="C135" s="10">
        <f>IFERROR(AVERAGEIFS(C$2:C$88,A$2:A$88,"&gt;="&amp;DATE(YEAR(TODAY()),MONTH(TODAY()),1),A$2:A$88,"&lt;"&amp;DATE(YEAR(TODAY()),MONTH(TODAY())+1,1),B$2:B$88,$B$135),"")</f>
        <v/>
      </c>
      <c r="D135" s="10">
        <f>IFERROR(AVERAGEIFS(D$2:D$88,A$2:A$88,"&gt;="&amp;DATE(YEAR(TODAY()),MONTH(TODAY()),1),A$2:A$88,"&lt;"&amp;DATE(YEAR(TODAY()),MONTH(TODAY())+1,1),B$2:B$88,$B$135),"")</f>
        <v/>
      </c>
      <c r="E135" s="10">
        <f>IFERROR(AVERAGEIFS(E$2:E$88,A$2:A$88,"&gt;="&amp;DATE(YEAR(TODAY()),MONTH(TODAY()),1),A$2:A$88,"&lt;"&amp;DATE(YEAR(TODAY()),MONTH(TODAY())+1,1),B$2:B$88,$B$135),"")</f>
        <v/>
      </c>
      <c r="F135" s="11">
        <f>IFERROR(SUMPRODUCT((YEAR(A$2:A$88)=YEAR(TODAY()))*(MONTH(A$2:A$88)=MONTH(TODAY()))*(B$2:B$88=$B$135)*(F$2:F$88),"")</f>
        <v/>
      </c>
    </row>
    <row r="136">
      <c r="B136" s="2" t="inlineStr">
        <is>
          <t>津巴布韦锂辉石精矿（CIF中国）现货</t>
        </is>
      </c>
      <c r="C136" s="10">
        <f>IFERROR(AVERAGEIFS(C$2:C$88,A$2:A$88,"&gt;="&amp;DATE(YEAR(TODAY()),MONTH(TODAY()),1),A$2:A$88,"&lt;"&amp;DATE(YEAR(TODAY()),MONTH(TODAY())+1,1),B$2:B$88,$B$136),"")</f>
        <v/>
      </c>
      <c r="D136" s="10">
        <f>IFERROR(AVERAGEIFS(D$2:D$88,A$2:A$88,"&gt;="&amp;DATE(YEAR(TODAY()),MONTH(TODAY()),1),A$2:A$88,"&lt;"&amp;DATE(YEAR(TODAY()),MONTH(TODAY())+1,1),B$2:B$88,$B$136),"")</f>
        <v/>
      </c>
      <c r="E136" s="10">
        <f>IFERROR(AVERAGEIFS(E$2:E$88,A$2:A$88,"&gt;="&amp;DATE(YEAR(TODAY()),MONTH(TODAY()),1),A$2:A$88,"&lt;"&amp;DATE(YEAR(TODAY()),MONTH(TODAY())+1,1),B$2:B$88,$B$136),"")</f>
        <v/>
      </c>
      <c r="F136" s="11">
        <f>IFERROR(SUMPRODUCT((YEAR(A$2:A$88)=YEAR(TODAY()))*(MONTH(A$2:A$88)=MONTH(TODAY()))*(B$2:B$88=$B$136)*(F$2:F$88),"")</f>
        <v/>
      </c>
    </row>
    <row r="137">
      <c r="B137" s="2" t="inlineStr">
        <is>
          <t>澳大利亚锂辉石精矿（CIF中国）现货</t>
        </is>
      </c>
      <c r="C137" s="10">
        <f>IFERROR(AVERAGEIFS(C$2:C$88,A$2:A$88,"&gt;="&amp;DATE(YEAR(TODAY()),MONTH(TODAY()),1),A$2:A$88,"&lt;"&amp;DATE(YEAR(TODAY()),MONTH(TODAY())+1,1),B$2:B$88,$B$137),"")</f>
        <v/>
      </c>
      <c r="D137" s="10">
        <f>IFERROR(AVERAGEIFS(D$2:D$88,A$2:A$88,"&gt;="&amp;DATE(YEAR(TODAY()),MONTH(TODAY()),1),A$2:A$88,"&lt;"&amp;DATE(YEAR(TODAY()),MONTH(TODAY())+1,1),B$2:B$88,$B$137),"")</f>
        <v/>
      </c>
      <c r="E137" s="10">
        <f>IFERROR(AVERAGEIFS(E$2:E$88,A$2:A$88,"&gt;="&amp;DATE(YEAR(TODAY()),MONTH(TODAY()),1),A$2:A$88,"&lt;"&amp;DATE(YEAR(TODAY()),MONTH(TODAY())+1,1),B$2:B$88,$B$137),"")</f>
        <v/>
      </c>
      <c r="F137" s="11">
        <f>IFERROR(SUMPRODUCT((YEAR(A$2:A$88)=YEAR(TODAY()))*(MONTH(A$2:A$88)=MONTH(TODAY()))*(B$2:B$88=$B$137)*(F$2:F$88),"")</f>
        <v/>
      </c>
    </row>
    <row r="138">
      <c r="B138" s="2" t="inlineStr">
        <is>
          <t>电池级无水氯化锂</t>
        </is>
      </c>
      <c r="C138" s="10">
        <f>IFERROR(AVERAGEIFS(C$2:C$88,A$2:A$88,"&gt;="&amp;DATE(YEAR(TODAY()),MONTH(TODAY()),1),A$2:A$88,"&lt;"&amp;DATE(YEAR(TODAY()),MONTH(TODAY())+1,1),B$2:B$88,$B$138),"")</f>
        <v/>
      </c>
      <c r="D138" s="10">
        <f>IFERROR(AVERAGEIFS(D$2:D$88,A$2:A$88,"&gt;="&amp;DATE(YEAR(TODAY()),MONTH(TODAY()),1),A$2:A$88,"&lt;"&amp;DATE(YEAR(TODAY()),MONTH(TODAY())+1,1),B$2:B$88,$B$138),"")</f>
        <v/>
      </c>
      <c r="E138" s="10">
        <f>IFERROR(AVERAGEIFS(E$2:E$88,A$2:A$88,"&gt;="&amp;DATE(YEAR(TODAY()),MONTH(TODAY()),1),A$2:A$88,"&lt;"&amp;DATE(YEAR(TODAY()),MONTH(TODAY())+1,1),B$2:B$88,$B$138),"")</f>
        <v/>
      </c>
      <c r="F138" s="11">
        <f>IFERROR(SUMPRODUCT((YEAR(A$2:A$88)=YEAR(TODAY()))*(MONTH(A$2:A$88)=MONTH(TODAY()))*(B$2:B$88=$B$138)*(F$2:F$88),"")</f>
        <v/>
      </c>
    </row>
    <row r="139">
      <c r="B139" s="2" t="inlineStr">
        <is>
          <t>电池级氟化锂</t>
        </is>
      </c>
      <c r="C139" s="10">
        <f>IFERROR(AVERAGEIFS(C$2:C$88,A$2:A$88,"&gt;="&amp;DATE(YEAR(TODAY()),MONTH(TODAY()),1),A$2:A$88,"&lt;"&amp;DATE(YEAR(TODAY()),MONTH(TODAY())+1,1),B$2:B$88,$B$139),"")</f>
        <v/>
      </c>
      <c r="D139" s="10">
        <f>IFERROR(AVERAGEIFS(D$2:D$88,A$2:A$88,"&gt;="&amp;DATE(YEAR(TODAY()),MONTH(TODAY()),1),A$2:A$88,"&lt;"&amp;DATE(YEAR(TODAY()),MONTH(TODAY())+1,1),B$2:B$88,$B$139),"")</f>
        <v/>
      </c>
      <c r="E139" s="10">
        <f>IFERROR(AVERAGEIFS(E$2:E$88,A$2:A$88,"&gt;="&amp;DATE(YEAR(TODAY()),MONTH(TODAY()),1),A$2:A$88,"&lt;"&amp;DATE(YEAR(TODAY()),MONTH(TODAY())+1,1),B$2:B$88,$B$139),"")</f>
        <v/>
      </c>
      <c r="F139" s="11">
        <f>IFERROR(SUMPRODUCT((YEAR(A$2:A$88)=YEAR(TODAY()))*(MONTH(A$2:A$88)=MONTH(TODAY()))*(B$2:B$88=$B$139)*(F$2:F$88),"")</f>
        <v/>
      </c>
    </row>
    <row r="140">
      <c r="B140" s="2" t="inlineStr">
        <is>
          <t>电池级氢氧化锂(CIF中日韩)</t>
        </is>
      </c>
      <c r="C140" s="10">
        <f>IFERROR(AVERAGEIFS(C$2:C$88,A$2:A$88,"&gt;="&amp;DATE(YEAR(TODAY()),MONTH(TODAY()),1),A$2:A$88,"&lt;"&amp;DATE(YEAR(TODAY()),MONTH(TODAY())+1,1),B$2:B$88,$B$140),"")</f>
        <v/>
      </c>
      <c r="D140" s="10">
        <f>IFERROR(AVERAGEIFS(D$2:D$88,A$2:A$88,"&gt;="&amp;DATE(YEAR(TODAY()),MONTH(TODAY()),1),A$2:A$88,"&lt;"&amp;DATE(YEAR(TODAY()),MONTH(TODAY())+1,1),B$2:B$88,$B$140),"")</f>
        <v/>
      </c>
      <c r="E140" s="10">
        <f>IFERROR(AVERAGEIFS(E$2:E$88,A$2:A$88,"&gt;="&amp;DATE(YEAR(TODAY()),MONTH(TODAY()),1),A$2:A$88,"&lt;"&amp;DATE(YEAR(TODAY()),MONTH(TODAY())+1,1),B$2:B$88,$B$140),"")</f>
        <v/>
      </c>
      <c r="F140" s="11">
        <f>IFERROR(SUMPRODUCT((YEAR(A$2:A$88)=YEAR(TODAY()))*(MONTH(A$2:A$88)=MONTH(TODAY()))*(B$2:B$88=$B$140)*(F$2:F$88),"")</f>
        <v/>
      </c>
    </row>
    <row r="141">
      <c r="B141" s="2" t="inlineStr">
        <is>
          <t>电池级氢氧化锂(CIF韩国)</t>
        </is>
      </c>
      <c r="C141" s="10">
        <f>IFERROR(AVERAGEIFS(C$2:C$88,A$2:A$88,"&gt;="&amp;DATE(YEAR(TODAY()),MONTH(TODAY()),1),A$2:A$88,"&lt;"&amp;DATE(YEAR(TODAY()),MONTH(TODAY())+1,1),B$2:B$88,$B$141),"")</f>
        <v/>
      </c>
      <c r="D141" s="10">
        <f>IFERROR(AVERAGEIFS(D$2:D$88,A$2:A$88,"&gt;="&amp;DATE(YEAR(TODAY()),MONTH(TODAY()),1),A$2:A$88,"&lt;"&amp;DATE(YEAR(TODAY()),MONTH(TODAY())+1,1),B$2:B$88,$B$141),"")</f>
        <v/>
      </c>
      <c r="E141" s="10">
        <f>IFERROR(AVERAGEIFS(E$2:E$88,A$2:A$88,"&gt;="&amp;DATE(YEAR(TODAY()),MONTH(TODAY()),1),A$2:A$88,"&lt;"&amp;DATE(YEAR(TODAY()),MONTH(TODAY())+1,1),B$2:B$88,$B$141),"")</f>
        <v/>
      </c>
      <c r="F141" s="11">
        <f>IFERROR(SUMPRODUCT((YEAR(A$2:A$88)=YEAR(TODAY()))*(MONTH(A$2:A$88)=MONTH(TODAY()))*(B$2:B$88=$B$141)*(F$2:F$88),"")</f>
        <v/>
      </c>
    </row>
    <row r="142">
      <c r="B142" s="2" t="inlineStr">
        <is>
          <t>电池级氢氧化锂(微粉）</t>
        </is>
      </c>
      <c r="C142" s="10">
        <f>IFERROR(AVERAGEIFS(C$2:C$88,A$2:A$88,"&gt;="&amp;DATE(YEAR(TODAY()),MONTH(TODAY()),1),A$2:A$88,"&lt;"&amp;DATE(YEAR(TODAY()),MONTH(TODAY())+1,1),B$2:B$88,$B$142),"")</f>
        <v/>
      </c>
      <c r="D142" s="10">
        <f>IFERROR(AVERAGEIFS(D$2:D$88,A$2:A$88,"&gt;="&amp;DATE(YEAR(TODAY()),MONTH(TODAY()),1),A$2:A$88,"&lt;"&amp;DATE(YEAR(TODAY()),MONTH(TODAY())+1,1),B$2:B$88,$B$142),"")</f>
        <v/>
      </c>
      <c r="E142" s="10">
        <f>IFERROR(AVERAGEIFS(E$2:E$88,A$2:A$88,"&gt;="&amp;DATE(YEAR(TODAY()),MONTH(TODAY()),1),A$2:A$88,"&lt;"&amp;DATE(YEAR(TODAY()),MONTH(TODAY())+1,1),B$2:B$88,$B$142),"")</f>
        <v/>
      </c>
      <c r="F142" s="11">
        <f>IFERROR(SUMPRODUCT((YEAR(A$2:A$88)=YEAR(TODAY()))*(MONTH(A$2:A$88)=MONTH(TODAY()))*(B$2:B$88=$B$142)*(F$2:F$88),"")</f>
        <v/>
      </c>
    </row>
    <row r="143">
      <c r="B143" s="2" t="inlineStr">
        <is>
          <t>电池级氢氧化锂（粗颗粒）</t>
        </is>
      </c>
      <c r="C143" s="10">
        <f>IFERROR(AVERAGEIFS(C$2:C$88,A$2:A$88,"&gt;="&amp;DATE(YEAR(TODAY()),MONTH(TODAY()),1),A$2:A$88,"&lt;"&amp;DATE(YEAR(TODAY()),MONTH(TODAY())+1,1),B$2:B$88,$B$143),"")</f>
        <v/>
      </c>
      <c r="D143" s="10">
        <f>IFERROR(AVERAGEIFS(D$2:D$88,A$2:A$88,"&gt;="&amp;DATE(YEAR(TODAY()),MONTH(TODAY()),1),A$2:A$88,"&lt;"&amp;DATE(YEAR(TODAY()),MONTH(TODAY())+1,1),B$2:B$88,$B$143),"")</f>
        <v/>
      </c>
      <c r="E143" s="10">
        <f>IFERROR(AVERAGEIFS(E$2:E$88,A$2:A$88,"&gt;="&amp;DATE(YEAR(TODAY()),MONTH(TODAY()),1),A$2:A$88,"&lt;"&amp;DATE(YEAR(TODAY()),MONTH(TODAY())+1,1),B$2:B$88,$B$143),"")</f>
        <v/>
      </c>
      <c r="F143" s="11">
        <f>IFERROR(SUMPRODUCT((YEAR(A$2:A$88)=YEAR(TODAY()))*(MONTH(A$2:A$88)=MONTH(TODAY()))*(B$2:B$88=$B$143)*(F$2:F$88),"")</f>
        <v/>
      </c>
    </row>
    <row r="144">
      <c r="B144" s="2" t="inlineStr">
        <is>
          <t>电池级硫酸锰（出厂价）</t>
        </is>
      </c>
      <c r="C144" s="10">
        <f>IFERROR(AVERAGEIFS(C$2:C$88,A$2:A$88,"&gt;="&amp;DATE(YEAR(TODAY()),MONTH(TODAY()),1),A$2:A$88,"&lt;"&amp;DATE(YEAR(TODAY()),MONTH(TODAY())+1,1),B$2:B$88,$B$144),"")</f>
        <v/>
      </c>
      <c r="D144" s="10">
        <f>IFERROR(AVERAGEIFS(D$2:D$88,A$2:A$88,"&gt;="&amp;DATE(YEAR(TODAY()),MONTH(TODAY()),1),A$2:A$88,"&lt;"&amp;DATE(YEAR(TODAY()),MONTH(TODAY())+1,1),B$2:B$88,$B$144),"")</f>
        <v/>
      </c>
      <c r="E144" s="10">
        <f>IFERROR(AVERAGEIFS(E$2:E$88,A$2:A$88,"&gt;="&amp;DATE(YEAR(TODAY()),MONTH(TODAY()),1),A$2:A$88,"&lt;"&amp;DATE(YEAR(TODAY()),MONTH(TODAY())+1,1),B$2:B$88,$B$144),"")</f>
        <v/>
      </c>
      <c r="F144" s="11">
        <f>IFERROR(SUMPRODUCT((YEAR(A$2:A$88)=YEAR(TODAY()))*(MONTH(A$2:A$88)=MONTH(TODAY()))*(B$2:B$88=$B$144)*(F$2:F$88),"")</f>
        <v/>
      </c>
    </row>
    <row r="145">
      <c r="B145" s="2" t="inlineStr">
        <is>
          <t>电池级硫酸镍</t>
        </is>
      </c>
      <c r="C145" s="10">
        <f>IFERROR(AVERAGEIFS(C$2:C$88,A$2:A$88,"&gt;="&amp;DATE(YEAR(TODAY()),MONTH(TODAY()),1),A$2:A$88,"&lt;"&amp;DATE(YEAR(TODAY()),MONTH(TODAY())+1,1),B$2:B$88,$B$145),"")</f>
        <v/>
      </c>
      <c r="D145" s="10">
        <f>IFERROR(AVERAGEIFS(D$2:D$88,A$2:A$88,"&gt;="&amp;DATE(YEAR(TODAY()),MONTH(TODAY()),1),A$2:A$88,"&lt;"&amp;DATE(YEAR(TODAY()),MONTH(TODAY())+1,1),B$2:B$88,$B$145),"")</f>
        <v/>
      </c>
      <c r="E145" s="10">
        <f>IFERROR(AVERAGEIFS(E$2:E$88,A$2:A$88,"&gt;="&amp;DATE(YEAR(TODAY()),MONTH(TODAY()),1),A$2:A$88,"&lt;"&amp;DATE(YEAR(TODAY()),MONTH(TODAY())+1,1),B$2:B$88,$B$145),"")</f>
        <v/>
      </c>
      <c r="F145" s="11">
        <f>IFERROR(SUMPRODUCT((YEAR(A$2:A$88)=YEAR(TODAY()))*(MONTH(A$2:A$88)=MONTH(TODAY()))*(B$2:B$88=$B$145)*(F$2:F$88),"")</f>
        <v/>
      </c>
    </row>
    <row r="146">
      <c r="B146" s="2" t="inlineStr">
        <is>
          <t>电池级碳酸锂</t>
        </is>
      </c>
      <c r="C146" s="10">
        <f>IFERROR(AVERAGEIFS(C$2:C$88,A$2:A$88,"&gt;="&amp;DATE(YEAR(TODAY()),MONTH(TODAY()),1),A$2:A$88,"&lt;"&amp;DATE(YEAR(TODAY()),MONTH(TODAY())+1,1),B$2:B$88,$B$146),"")</f>
        <v/>
      </c>
      <c r="D146" s="10">
        <f>IFERROR(AVERAGEIFS(D$2:D$88,A$2:A$88,"&gt;="&amp;DATE(YEAR(TODAY()),MONTH(TODAY()),1),A$2:A$88,"&lt;"&amp;DATE(YEAR(TODAY()),MONTH(TODAY())+1,1),B$2:B$88,$B$146),"")</f>
        <v/>
      </c>
      <c r="E146" s="10">
        <f>IFERROR(AVERAGEIFS(E$2:E$88,A$2:A$88,"&gt;="&amp;DATE(YEAR(TODAY()),MONTH(TODAY()),1),A$2:A$88,"&lt;"&amp;DATE(YEAR(TODAY()),MONTH(TODAY())+1,1),B$2:B$88,$B$146),"")</f>
        <v/>
      </c>
      <c r="F146" s="11">
        <f>IFERROR(SUMPRODUCT((YEAR(A$2:A$88)=YEAR(TODAY()))*(MONTH(A$2:A$88)=MONTH(TODAY()))*(B$2:B$88=$B$146)*(F$2:F$88),"")</f>
        <v/>
      </c>
    </row>
    <row r="147">
      <c r="B147" s="2" t="inlineStr">
        <is>
          <t>电池级碳酸锂(CIF韩国)</t>
        </is>
      </c>
      <c r="C147" s="10">
        <f>IFERROR(AVERAGEIFS(C$2:C$88,A$2:A$88,"&gt;="&amp;DATE(YEAR(TODAY()),MONTH(TODAY()),1),A$2:A$88,"&lt;"&amp;DATE(YEAR(TODAY()),MONTH(TODAY())+1,1),B$2:B$88,$B$147),"")</f>
        <v/>
      </c>
      <c r="D147" s="10">
        <f>IFERROR(AVERAGEIFS(D$2:D$88,A$2:A$88,"&gt;="&amp;DATE(YEAR(TODAY()),MONTH(TODAY()),1),A$2:A$88,"&lt;"&amp;DATE(YEAR(TODAY()),MONTH(TODAY())+1,1),B$2:B$88,$B$147),"")</f>
        <v/>
      </c>
      <c r="E147" s="10">
        <f>IFERROR(AVERAGEIFS(E$2:E$88,A$2:A$88,"&gt;="&amp;DATE(YEAR(TODAY()),MONTH(TODAY()),1),A$2:A$88,"&lt;"&amp;DATE(YEAR(TODAY()),MONTH(TODAY())+1,1),B$2:B$88,$B$147),"")</f>
        <v/>
      </c>
      <c r="F147" s="11">
        <f>IFERROR(SUMPRODUCT((YEAR(A$2:A$88)=YEAR(TODAY()))*(MONTH(A$2:A$88)=MONTH(TODAY()))*(B$2:B$88=$B$147)*(F$2:F$88),"")</f>
        <v/>
      </c>
    </row>
    <row r="148">
      <c r="B148" s="2" t="inlineStr">
        <is>
          <t>电池级碳酸锂（CIF中日韩）</t>
        </is>
      </c>
      <c r="C148" s="10">
        <f>IFERROR(AVERAGEIFS(C$2:C$88,A$2:A$88,"&gt;="&amp;DATE(YEAR(TODAY()),MONTH(TODAY()),1),A$2:A$88,"&lt;"&amp;DATE(YEAR(TODAY()),MONTH(TODAY())+1,1),B$2:B$88,$B$148),"")</f>
        <v/>
      </c>
      <c r="D148" s="10">
        <f>IFERROR(AVERAGEIFS(D$2:D$88,A$2:A$88,"&gt;="&amp;DATE(YEAR(TODAY()),MONTH(TODAY()),1),A$2:A$88,"&lt;"&amp;DATE(YEAR(TODAY()),MONTH(TODAY())+1,1),B$2:B$88,$B$148),"")</f>
        <v/>
      </c>
      <c r="E148" s="10">
        <f>IFERROR(AVERAGEIFS(E$2:E$88,A$2:A$88,"&gt;="&amp;DATE(YEAR(TODAY()),MONTH(TODAY()),1),A$2:A$88,"&lt;"&amp;DATE(YEAR(TODAY()),MONTH(TODAY())+1,1),B$2:B$88,$B$148),"")</f>
        <v/>
      </c>
      <c r="F148" s="11">
        <f>IFERROR(SUMPRODUCT((YEAR(A$2:A$88)=YEAR(TODAY()))*(MONTH(A$2:A$88)=MONTH(TODAY()))*(B$2:B$88=$B$148)*(F$2:F$88),"")</f>
        <v/>
      </c>
    </row>
    <row r="149">
      <c r="B149" s="2" t="inlineStr">
        <is>
          <t>电池级金属锂</t>
        </is>
      </c>
      <c r="C149" s="10">
        <f>IFERROR(AVERAGEIFS(C$2:C$88,A$2:A$88,"&gt;="&amp;DATE(YEAR(TODAY()),MONTH(TODAY()),1),A$2:A$88,"&lt;"&amp;DATE(YEAR(TODAY()),MONTH(TODAY())+1,1),B$2:B$88,$B$149),"")</f>
        <v/>
      </c>
      <c r="D149" s="10">
        <f>IFERROR(AVERAGEIFS(D$2:D$88,A$2:A$88,"&gt;="&amp;DATE(YEAR(TODAY()),MONTH(TODAY()),1),A$2:A$88,"&lt;"&amp;DATE(YEAR(TODAY()),MONTH(TODAY())+1,1),B$2:B$88,$B$149),"")</f>
        <v/>
      </c>
      <c r="E149" s="10">
        <f>IFERROR(AVERAGEIFS(E$2:E$88,A$2:A$88,"&gt;="&amp;DATE(YEAR(TODAY()),MONTH(TODAY()),1),A$2:A$88,"&lt;"&amp;DATE(YEAR(TODAY()),MONTH(TODAY())+1,1),B$2:B$88,$B$149),"")</f>
        <v/>
      </c>
      <c r="F149" s="11">
        <f>IFERROR(SUMPRODUCT((YEAR(A$2:A$88)=YEAR(TODAY()))*(MONTH(A$2:A$88)=MONTH(TODAY()))*(B$2:B$88=$B$149)*(F$2:F$88),"")</f>
        <v/>
      </c>
    </row>
    <row r="150">
      <c r="B150" s="2" t="inlineStr">
        <is>
          <t>电解钴</t>
        </is>
      </c>
      <c r="C150" s="10">
        <f>IFERROR(AVERAGEIFS(C$2:C$88,A$2:A$88,"&gt;="&amp;DATE(YEAR(TODAY()),MONTH(TODAY()),1),A$2:A$88,"&lt;"&amp;DATE(YEAR(TODAY()),MONTH(TODAY())+1,1),B$2:B$88,$B$150),"")</f>
        <v/>
      </c>
      <c r="D150" s="10">
        <f>IFERROR(AVERAGEIFS(D$2:D$88,A$2:A$88,"&gt;="&amp;DATE(YEAR(TODAY()),MONTH(TODAY()),1),A$2:A$88,"&lt;"&amp;DATE(YEAR(TODAY()),MONTH(TODAY())+1,1),B$2:B$88,$B$150),"")</f>
        <v/>
      </c>
      <c r="E150" s="10">
        <f>IFERROR(AVERAGEIFS(E$2:E$88,A$2:A$88,"&gt;="&amp;DATE(YEAR(TODAY()),MONTH(TODAY()),1),A$2:A$88,"&lt;"&amp;DATE(YEAR(TODAY()),MONTH(TODAY())+1,1),B$2:B$88,$B$150),"")</f>
        <v/>
      </c>
      <c r="F150" s="11">
        <f>IFERROR(SUMPRODUCT((YEAR(A$2:A$88)=YEAR(TODAY()))*(MONTH(A$2:A$88)=MONTH(TODAY()))*(B$2:B$88=$B$150)*(F$2:F$88),"")</f>
        <v/>
      </c>
    </row>
    <row r="151">
      <c r="B151" s="2" t="inlineStr">
        <is>
          <t>电解钴（鹿特丹仓库）</t>
        </is>
      </c>
      <c r="C151" s="10">
        <f>IFERROR(AVERAGEIFS(C$2:C$88,A$2:A$88,"&gt;="&amp;DATE(YEAR(TODAY()),MONTH(TODAY()),1),A$2:A$88,"&lt;"&amp;DATE(YEAR(TODAY()),MONTH(TODAY())+1,1),B$2:B$88,$B$151),"")</f>
        <v/>
      </c>
      <c r="D151" s="10">
        <f>IFERROR(AVERAGEIFS(D$2:D$88,A$2:A$88,"&gt;="&amp;DATE(YEAR(TODAY()),MONTH(TODAY()),1),A$2:A$88,"&lt;"&amp;DATE(YEAR(TODAY()),MONTH(TODAY())+1,1),B$2:B$88,$B$151),"")</f>
        <v/>
      </c>
      <c r="E151" s="10">
        <f>IFERROR(AVERAGEIFS(E$2:E$88,A$2:A$88,"&gt;="&amp;DATE(YEAR(TODAY()),MONTH(TODAY()),1),A$2:A$88,"&lt;"&amp;DATE(YEAR(TODAY()),MONTH(TODAY())+1,1),B$2:B$88,$B$151),"")</f>
        <v/>
      </c>
      <c r="F151" s="11">
        <f>IFERROR(SUMPRODUCT((YEAR(A$2:A$88)=YEAR(TODAY()))*(MONTH(A$2:A$88)=MONTH(TODAY()))*(B$2:B$88=$B$151)*(F$2:F$88),"")</f>
        <v/>
      </c>
    </row>
    <row r="152">
      <c r="B152" s="2" t="inlineStr">
        <is>
          <t>电镀级硫酸镍</t>
        </is>
      </c>
      <c r="C152" s="10">
        <f>IFERROR(AVERAGEIFS(C$2:C$88,A$2:A$88,"&gt;="&amp;DATE(YEAR(TODAY()),MONTH(TODAY()),1),A$2:A$88,"&lt;"&amp;DATE(YEAR(TODAY()),MONTH(TODAY())+1,1),B$2:B$88,$B$152),"")</f>
        <v/>
      </c>
      <c r="D152" s="10">
        <f>IFERROR(AVERAGEIFS(D$2:D$88,A$2:A$88,"&gt;="&amp;DATE(YEAR(TODAY()),MONTH(TODAY()),1),A$2:A$88,"&lt;"&amp;DATE(YEAR(TODAY()),MONTH(TODAY())+1,1),B$2:B$88,$B$152),"")</f>
        <v/>
      </c>
      <c r="E152" s="10">
        <f>IFERROR(AVERAGEIFS(E$2:E$88,A$2:A$88,"&gt;="&amp;DATE(YEAR(TODAY()),MONTH(TODAY()),1),A$2:A$88,"&lt;"&amp;DATE(YEAR(TODAY()),MONTH(TODAY())+1,1),B$2:B$88,$B$152),"")</f>
        <v/>
      </c>
      <c r="F152" s="11">
        <f>IFERROR(SUMPRODUCT((YEAR(A$2:A$88)=YEAR(TODAY()))*(MONTH(A$2:A$88)=MONTH(TODAY()))*(B$2:B$88=$B$152)*(F$2:F$88),"")</f>
        <v/>
      </c>
    </row>
    <row r="153">
      <c r="B153" s="2" t="inlineStr">
        <is>
          <t>硫酸钴</t>
        </is>
      </c>
      <c r="C153" s="10">
        <f>IFERROR(AVERAGEIFS(C$2:C$88,A$2:A$88,"&gt;="&amp;DATE(YEAR(TODAY()),MONTH(TODAY()),1),A$2:A$88,"&lt;"&amp;DATE(YEAR(TODAY()),MONTH(TODAY())+1,1),B$2:B$88,$B$153),"")</f>
        <v/>
      </c>
      <c r="D153" s="10">
        <f>IFERROR(AVERAGEIFS(D$2:D$88,A$2:A$88,"&gt;="&amp;DATE(YEAR(TODAY()),MONTH(TODAY()),1),A$2:A$88,"&lt;"&amp;DATE(YEAR(TODAY()),MONTH(TODAY())+1,1),B$2:B$88,$B$153),"")</f>
        <v/>
      </c>
      <c r="E153" s="10">
        <f>IFERROR(AVERAGEIFS(E$2:E$88,A$2:A$88,"&gt;="&amp;DATE(YEAR(TODAY()),MONTH(TODAY()),1),A$2:A$88,"&lt;"&amp;DATE(YEAR(TODAY()),MONTH(TODAY())+1,1),B$2:B$88,$B$153),"")</f>
        <v/>
      </c>
      <c r="F153" s="11">
        <f>IFERROR(SUMPRODUCT((YEAR(A$2:A$88)=YEAR(TODAY()))*(MONTH(A$2:A$88)=MONTH(TODAY()))*(B$2:B$88=$B$153)*(F$2:F$88),"")</f>
        <v/>
      </c>
    </row>
    <row r="154">
      <c r="B154" s="2" t="inlineStr">
        <is>
          <t>碳酸钴</t>
        </is>
      </c>
      <c r="C154" s="10">
        <f>IFERROR(AVERAGEIFS(C$2:C$88,A$2:A$88,"&gt;="&amp;DATE(YEAR(TODAY()),MONTH(TODAY()),1),A$2:A$88,"&lt;"&amp;DATE(YEAR(TODAY()),MONTH(TODAY())+1,1),B$2:B$88,$B$154),"")</f>
        <v/>
      </c>
      <c r="D154" s="10">
        <f>IFERROR(AVERAGEIFS(D$2:D$88,A$2:A$88,"&gt;="&amp;DATE(YEAR(TODAY()),MONTH(TODAY()),1),A$2:A$88,"&lt;"&amp;DATE(YEAR(TODAY()),MONTH(TODAY())+1,1),B$2:B$88,$B$154),"")</f>
        <v/>
      </c>
      <c r="E154" s="10">
        <f>IFERROR(AVERAGEIFS(E$2:E$88,A$2:A$88,"&gt;="&amp;DATE(YEAR(TODAY()),MONTH(TODAY()),1),A$2:A$88,"&lt;"&amp;DATE(YEAR(TODAY()),MONTH(TODAY())+1,1),B$2:B$88,$B$154),"")</f>
        <v/>
      </c>
      <c r="F154" s="11">
        <f>IFERROR(SUMPRODUCT((YEAR(A$2:A$88)=YEAR(TODAY()))*(MONTH(A$2:A$88)=MONTH(TODAY()))*(B$2:B$88=$B$154)*(F$2:F$88),"")</f>
        <v/>
      </c>
    </row>
    <row r="155">
      <c r="B155" s="2" t="inlineStr">
        <is>
          <t>磷酸铁锂</t>
        </is>
      </c>
      <c r="C155" s="10">
        <f>IFERROR(AVERAGEIFS(C$2:C$88,A$2:A$88,"&gt;="&amp;DATE(YEAR(TODAY()),MONTH(TODAY()),1),A$2:A$88,"&lt;"&amp;DATE(YEAR(TODAY()),MONTH(TODAY())+1,1),B$2:B$88,$B$155),"")</f>
        <v/>
      </c>
      <c r="D155" s="10">
        <f>IFERROR(AVERAGEIFS(D$2:D$88,A$2:A$88,"&gt;="&amp;DATE(YEAR(TODAY()),MONTH(TODAY()),1),A$2:A$88,"&lt;"&amp;DATE(YEAR(TODAY()),MONTH(TODAY())+1,1),B$2:B$88,$B$155),"")</f>
        <v/>
      </c>
      <c r="E155" s="10">
        <f>IFERROR(AVERAGEIFS(E$2:E$88,A$2:A$88,"&gt;="&amp;DATE(YEAR(TODAY()),MONTH(TODAY()),1),A$2:A$88,"&lt;"&amp;DATE(YEAR(TODAY()),MONTH(TODAY())+1,1),B$2:B$88,$B$155),"")</f>
        <v/>
      </c>
      <c r="F155" s="11">
        <f>IFERROR(SUMPRODUCT((YEAR(A$2:A$88)=YEAR(TODAY()))*(MONTH(A$2:A$88)=MONTH(TODAY()))*(B$2:B$88=$B$155)*(F$2:F$88),"")</f>
        <v/>
      </c>
    </row>
    <row r="156">
      <c r="B156" s="2" t="inlineStr">
        <is>
          <t>磷酸锰铁锂</t>
        </is>
      </c>
      <c r="C156" s="10">
        <f>IFERROR(AVERAGEIFS(C$2:C$88,A$2:A$88,"&gt;="&amp;DATE(YEAR(TODAY()),MONTH(TODAY()),1),A$2:A$88,"&lt;"&amp;DATE(YEAR(TODAY()),MONTH(TODAY())+1,1),B$2:B$88,$B$156),"")</f>
        <v/>
      </c>
      <c r="D156" s="10">
        <f>IFERROR(AVERAGEIFS(D$2:D$88,A$2:A$88,"&gt;="&amp;DATE(YEAR(TODAY()),MONTH(TODAY()),1),A$2:A$88,"&lt;"&amp;DATE(YEAR(TODAY()),MONTH(TODAY())+1,1),B$2:B$88,$B$156),"")</f>
        <v/>
      </c>
      <c r="E156" s="10">
        <f>IFERROR(AVERAGEIFS(E$2:E$88,A$2:A$88,"&gt;="&amp;DATE(YEAR(TODAY()),MONTH(TODAY()),1),A$2:A$88,"&lt;"&amp;DATE(YEAR(TODAY()),MONTH(TODAY())+1,1),B$2:B$88,$B$156),"")</f>
        <v/>
      </c>
      <c r="F156" s="11">
        <f>IFERROR(SUMPRODUCT((YEAR(A$2:A$88)=YEAR(TODAY()))*(MONTH(A$2:A$88)=MONTH(TODAY()))*(B$2:B$88=$B$156)*(F$2:F$88),"")</f>
        <v/>
      </c>
    </row>
    <row r="157">
      <c r="B157" s="2" t="inlineStr">
        <is>
          <t>金属钴FOB</t>
        </is>
      </c>
      <c r="C157" s="10">
        <f>IFERROR(AVERAGEIFS(C$2:C$88,A$2:A$88,"&gt;="&amp;DATE(YEAR(TODAY()),MONTH(TODAY()),1),A$2:A$88,"&lt;"&amp;DATE(YEAR(TODAY()),MONTH(TODAY())+1,1),B$2:B$88,$B$157),"")</f>
        <v/>
      </c>
      <c r="D157" s="10">
        <f>IFERROR(AVERAGEIFS(D$2:D$88,A$2:A$88,"&gt;="&amp;DATE(YEAR(TODAY()),MONTH(TODAY()),1),A$2:A$88,"&lt;"&amp;DATE(YEAR(TODAY()),MONTH(TODAY())+1,1),B$2:B$88,$B$157),"")</f>
        <v/>
      </c>
      <c r="E157" s="10">
        <f>IFERROR(AVERAGEIFS(E$2:E$88,A$2:A$88,"&gt;="&amp;DATE(YEAR(TODAY()),MONTH(TODAY()),1),A$2:A$88,"&lt;"&amp;DATE(YEAR(TODAY()),MONTH(TODAY())+1,1),B$2:B$88,$B$157),"")</f>
        <v/>
      </c>
      <c r="F157" s="11">
        <f>IFERROR(SUMPRODUCT((YEAR(A$2:A$88)=YEAR(TODAY()))*(MONTH(A$2:A$88)=MONTH(TODAY()))*(B$2:B$88=$B$157)*(F$2:F$88),"")</f>
        <v/>
      </c>
    </row>
    <row r="158">
      <c r="B158" s="2" t="inlineStr">
        <is>
          <t>钴中间品中钴含量≥30%</t>
        </is>
      </c>
      <c r="C158" s="10">
        <f>IFERROR(AVERAGEIFS(C$2:C$88,A$2:A$88,"&gt;="&amp;DATE(YEAR(TODAY()),MONTH(TODAY()),1),A$2:A$88,"&lt;"&amp;DATE(YEAR(TODAY()),MONTH(TODAY())+1,1),B$2:B$88,$B$158),"")</f>
        <v/>
      </c>
      <c r="D158" s="10">
        <f>IFERROR(AVERAGEIFS(D$2:D$88,A$2:A$88,"&gt;="&amp;DATE(YEAR(TODAY()),MONTH(TODAY()),1),A$2:A$88,"&lt;"&amp;DATE(YEAR(TODAY()),MONTH(TODAY())+1,1),B$2:B$88,$B$158),"")</f>
        <v/>
      </c>
      <c r="E158" s="10">
        <f>IFERROR(AVERAGEIFS(E$2:E$88,A$2:A$88,"&gt;="&amp;DATE(YEAR(TODAY()),MONTH(TODAY()),1),A$2:A$88,"&lt;"&amp;DATE(YEAR(TODAY()),MONTH(TODAY())+1,1),B$2:B$88,$B$158),"")</f>
        <v/>
      </c>
      <c r="F158" s="11">
        <f>IFERROR(SUMPRODUCT((YEAR(A$2:A$88)=YEAR(TODAY()))*(MONTH(A$2:A$88)=MONTH(TODAY()))*(B$2:B$88=$B$158)*(F$2:F$88),"")</f>
        <v/>
      </c>
    </row>
    <row r="159">
      <c r="B159" s="2" t="inlineStr">
        <is>
          <t>钴中间品原料计价系数（对SMM硫酸钴均价）</t>
        </is>
      </c>
      <c r="C159" s="10">
        <f>IFERROR(AVERAGEIFS(C$2:C$88,A$2:A$88,"&gt;="&amp;DATE(YEAR(TODAY()),MONTH(TODAY()),1),A$2:A$88,"&lt;"&amp;DATE(YEAR(TODAY()),MONTH(TODAY())+1,1),B$2:B$88,$B$159),"")</f>
        <v/>
      </c>
      <c r="D159" s="10">
        <f>IFERROR(AVERAGEIFS(D$2:D$88,A$2:A$88,"&gt;="&amp;DATE(YEAR(TODAY()),MONTH(TODAY()),1),A$2:A$88,"&lt;"&amp;DATE(YEAR(TODAY()),MONTH(TODAY())+1,1),B$2:B$88,$B$159),"")</f>
        <v/>
      </c>
      <c r="E159" s="10">
        <f>IFERROR(AVERAGEIFS(E$2:E$88,A$2:A$88,"&gt;="&amp;DATE(YEAR(TODAY()),MONTH(TODAY()),1),A$2:A$88,"&lt;"&amp;DATE(YEAR(TODAY()),MONTH(TODAY())+1,1),B$2:B$88,$B$159),"")</f>
        <v/>
      </c>
      <c r="F159" s="11">
        <f>IFERROR(SUMPRODUCT((YEAR(A$2:A$88)=YEAR(TODAY()))*(MONTH(A$2:A$88)=MONTH(TODAY()))*(B$2:B$88=$B$159)*(F$2:F$88),"")</f>
        <v/>
      </c>
    </row>
    <row r="160">
      <c r="B160" s="2" t="inlineStr">
        <is>
          <t>钴酸锂</t>
        </is>
      </c>
      <c r="C160" s="10">
        <f>IFERROR(AVERAGEIFS(C$2:C$88,A$2:A$88,"&gt;="&amp;DATE(YEAR(TODAY()),MONTH(TODAY()),1),A$2:A$88,"&lt;"&amp;DATE(YEAR(TODAY()),MONTH(TODAY())+1,1),B$2:B$88,$B$160),"")</f>
        <v/>
      </c>
      <c r="D160" s="10">
        <f>IFERROR(AVERAGEIFS(D$2:D$88,A$2:A$88,"&gt;="&amp;DATE(YEAR(TODAY()),MONTH(TODAY()),1),A$2:A$88,"&lt;"&amp;DATE(YEAR(TODAY()),MONTH(TODAY())+1,1),B$2:B$88,$B$160),"")</f>
        <v/>
      </c>
      <c r="E160" s="10">
        <f>IFERROR(AVERAGEIFS(E$2:E$88,A$2:A$88,"&gt;="&amp;DATE(YEAR(TODAY()),MONTH(TODAY()),1),A$2:A$88,"&lt;"&amp;DATE(YEAR(TODAY()),MONTH(TODAY())+1,1),B$2:B$88,$B$160),"")</f>
        <v/>
      </c>
      <c r="F160" s="11">
        <f>IFERROR(SUMPRODUCT((YEAR(A$2:A$88)=YEAR(TODAY()))*(MONTH(A$2:A$88)=MONTH(TODAY()))*(B$2:B$88=$B$160)*(F$2:F$88),"")</f>
        <v/>
      </c>
    </row>
    <row r="161">
      <c r="B161" s="2" t="inlineStr">
        <is>
          <t>钴酸锂聚合物软包</t>
        </is>
      </c>
      <c r="C161" s="10">
        <f>IFERROR(AVERAGEIFS(C$2:C$88,A$2:A$88,"&gt;="&amp;DATE(YEAR(TODAY()),MONTH(TODAY()),1),A$2:A$88,"&lt;"&amp;DATE(YEAR(TODAY()),MONTH(TODAY())+1,1),B$2:B$88,$B$161),"")</f>
        <v/>
      </c>
      <c r="D161" s="10">
        <f>IFERROR(AVERAGEIFS(D$2:D$88,A$2:A$88,"&gt;="&amp;DATE(YEAR(TODAY()),MONTH(TODAY()),1),A$2:A$88,"&lt;"&amp;DATE(YEAR(TODAY()),MONTH(TODAY())+1,1),B$2:B$88,$B$161),"")</f>
        <v/>
      </c>
      <c r="E161" s="10">
        <f>IFERROR(AVERAGEIFS(E$2:E$88,A$2:A$88,"&gt;="&amp;DATE(YEAR(TODAY()),MONTH(TODAY()),1),A$2:A$88,"&lt;"&amp;DATE(YEAR(TODAY()),MONTH(TODAY())+1,1),B$2:B$88,$B$161),"")</f>
        <v/>
      </c>
      <c r="F161" s="11">
        <f>IFERROR(SUMPRODUCT((YEAR(A$2:A$88)=YEAR(TODAY()))*(MONTH(A$2:A$88)=MONTH(TODAY()))*(B$2:B$88=$B$161)*(F$2:F$88),"")</f>
        <v/>
      </c>
    </row>
    <row r="162">
      <c r="B162" s="2" t="inlineStr">
        <is>
          <t>钴酸锂铝壳</t>
        </is>
      </c>
      <c r="C162" s="10">
        <f>IFERROR(AVERAGEIFS(C$2:C$88,A$2:A$88,"&gt;="&amp;DATE(YEAR(TODAY()),MONTH(TODAY()),1),A$2:A$88,"&lt;"&amp;DATE(YEAR(TODAY()),MONTH(TODAY())+1,1),B$2:B$88,$B$162),"")</f>
        <v/>
      </c>
      <c r="D162" s="10">
        <f>IFERROR(AVERAGEIFS(D$2:D$88,A$2:A$88,"&gt;="&amp;DATE(YEAR(TODAY()),MONTH(TODAY()),1),A$2:A$88,"&lt;"&amp;DATE(YEAR(TODAY()),MONTH(TODAY())+1,1),B$2:B$88,$B$162),"")</f>
        <v/>
      </c>
      <c r="E162" s="10">
        <f>IFERROR(AVERAGEIFS(E$2:E$88,A$2:A$88,"&gt;="&amp;DATE(YEAR(TODAY()),MONTH(TODAY()),1),A$2:A$88,"&lt;"&amp;DATE(YEAR(TODAY()),MONTH(TODAY())+1,1),B$2:B$88,$B$162),"")</f>
        <v/>
      </c>
      <c r="F162" s="11">
        <f>IFERROR(SUMPRODUCT((YEAR(A$2:A$88)=YEAR(TODAY()))*(MONTH(A$2:A$88)=MONTH(TODAY()))*(B$2:B$88=$B$162)*(F$2:F$88),"")</f>
        <v/>
      </c>
    </row>
    <row r="163">
      <c r="B163" s="2" t="inlineStr">
        <is>
          <t>锰酸锂圆柱钢壳</t>
        </is>
      </c>
      <c r="C163" s="10">
        <f>IFERROR(AVERAGEIFS(C$2:C$88,A$2:A$88,"&gt;="&amp;DATE(YEAR(TODAY()),MONTH(TODAY()),1),A$2:A$88,"&lt;"&amp;DATE(YEAR(TODAY()),MONTH(TODAY())+1,1),B$2:B$88,$B$163),"")</f>
        <v/>
      </c>
      <c r="D163" s="10">
        <f>IFERROR(AVERAGEIFS(D$2:D$88,A$2:A$88,"&gt;="&amp;DATE(YEAR(TODAY()),MONTH(TODAY()),1),A$2:A$88,"&lt;"&amp;DATE(YEAR(TODAY()),MONTH(TODAY())+1,1),B$2:B$88,$B$163),"")</f>
        <v/>
      </c>
      <c r="E163" s="10">
        <f>IFERROR(AVERAGEIFS(E$2:E$88,A$2:A$88,"&gt;="&amp;DATE(YEAR(TODAY()),MONTH(TODAY()),1),A$2:A$88,"&lt;"&amp;DATE(YEAR(TODAY()),MONTH(TODAY())+1,1),B$2:B$88,$B$163),"")</f>
        <v/>
      </c>
      <c r="F163" s="11">
        <f>IFERROR(SUMPRODUCT((YEAR(A$2:A$88)=YEAR(TODAY()))*(MONTH(A$2:A$88)=MONTH(TODAY()))*(B$2:B$88=$B$163)*(F$2:F$88),"")</f>
        <v/>
      </c>
    </row>
    <row r="164">
      <c r="B164" s="2" t="inlineStr">
        <is>
          <t>非洲硫酸锂(CIF中国)</t>
        </is>
      </c>
      <c r="C164" s="10">
        <f>IFERROR(AVERAGEIFS(C$2:C$88,A$2:A$88,"&gt;="&amp;DATE(YEAR(TODAY()),MONTH(TODAY()),1),A$2:A$88,"&lt;"&amp;DATE(YEAR(TODAY()),MONTH(TODAY())+1,1),B$2:B$88,$B$164),"")</f>
        <v/>
      </c>
      <c r="D164" s="10">
        <f>IFERROR(AVERAGEIFS(D$2:D$88,A$2:A$88,"&gt;="&amp;DATE(YEAR(TODAY()),MONTH(TODAY()),1),A$2:A$88,"&lt;"&amp;DATE(YEAR(TODAY()),MONTH(TODAY())+1,1),B$2:B$88,$B$164),"")</f>
        <v/>
      </c>
      <c r="E164" s="10">
        <f>IFERROR(AVERAGEIFS(E$2:E$88,A$2:A$88,"&gt;="&amp;DATE(YEAR(TODAY()),MONTH(TODAY()),1),A$2:A$88,"&lt;"&amp;DATE(YEAR(TODAY()),MONTH(TODAY())+1,1),B$2:B$88,$B$164),"")</f>
        <v/>
      </c>
      <c r="F164" s="11">
        <f>IFERROR(SUMPRODUCT((YEAR(A$2:A$88)=YEAR(TODAY()))*(MONTH(A$2:A$88)=MONTH(TODAY()))*(B$2:B$88=$B$164)*(F$2:F$88),"")</f>
        <v/>
      </c>
    </row>
    <row r="165">
      <c r="B165" s="2" t="inlineStr">
        <is>
          <t>非洲锂辉石精矿（CIF中国）指数</t>
        </is>
      </c>
      <c r="C165" s="10">
        <f>IFERROR(AVERAGEIFS(C$2:C$88,A$2:A$88,"&gt;="&amp;DATE(YEAR(TODAY()),MONTH(TODAY()),1),A$2:A$88,"&lt;"&amp;DATE(YEAR(TODAY()),MONTH(TODAY())+1,1),B$2:B$88,$B$165),"")</f>
        <v/>
      </c>
      <c r="D165" s="10">
        <f>IFERROR(AVERAGEIFS(D$2:D$88,A$2:A$88,"&gt;="&amp;DATE(YEAR(TODAY()),MONTH(TODAY()),1),A$2:A$88,"&lt;"&amp;DATE(YEAR(TODAY()),MONTH(TODAY())+1,1),B$2:B$88,$B$165),"")</f>
        <v/>
      </c>
      <c r="E165" s="10">
        <f>IFERROR(AVERAGEIFS(E$2:E$88,A$2:A$88,"&gt;="&amp;DATE(YEAR(TODAY()),MONTH(TODAY()),1),A$2:A$88,"&lt;"&amp;DATE(YEAR(TODAY()),MONTH(TODAY())+1,1),B$2:B$88,$B$165),"")</f>
        <v/>
      </c>
      <c r="F165" s="11">
        <f>IFERROR(SUMPRODUCT((YEAR(A$2:A$88)=YEAR(TODAY()))*(MONTH(A$2:A$88)=MONTH(TODAY()))*(B$2:B$88=$B$165)*(F$2:F$88),"")</f>
        <v/>
      </c>
    </row>
  </sheetData>
  <autoFilter ref="A1:H88"/>
  <mergeCells count="1">
    <mergeCell ref="A90:H9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>
      <c r="A1" s="1" t="inlineStr">
        <is>
          <t>日期</t>
        </is>
      </c>
      <c r="B1" s="1" t="inlineStr">
        <is>
          <t>分类</t>
        </is>
      </c>
      <c r="C1" s="1" t="inlineStr">
        <is>
          <t>产品</t>
        </is>
      </c>
      <c r="D1" s="1" t="inlineStr">
        <is>
          <t>收盘价</t>
        </is>
      </c>
      <c r="E1" s="1" t="inlineStr">
        <is>
          <t>结算价</t>
        </is>
      </c>
      <c r="F1" s="1" t="inlineStr">
        <is>
          <t>最高</t>
        </is>
      </c>
      <c r="G1" s="1" t="inlineStr">
        <is>
          <t>最低</t>
        </is>
      </c>
      <c r="H1" s="1" t="inlineStr">
        <is>
          <t>涨跌</t>
        </is>
      </c>
      <c r="I1" s="1" t="inlineStr">
        <is>
          <t>单位</t>
        </is>
      </c>
      <c r="J1" s="1" t="inlineStr">
        <is>
          <t>数据来源</t>
        </is>
      </c>
    </row>
    <row r="2">
      <c r="A2" s="2" t="inlineStr">
        <is>
          <t>2026/06/14</t>
        </is>
      </c>
      <c r="B2" s="2" t="inlineStr">
        <is>
          <t>国内期货</t>
        </is>
      </c>
      <c r="C2" s="2" t="inlineStr">
        <is>
          <t>沪镍(NI)连续</t>
        </is>
      </c>
      <c r="D2" s="4" t="n">
        <v>131640</v>
      </c>
      <c r="E2" s="4" t="n">
        <v>133550</v>
      </c>
      <c r="F2" s="4" t="n">
        <v>133980</v>
      </c>
      <c r="G2" s="4" t="n">
        <v>131780</v>
      </c>
      <c r="H2" s="4" t="n">
        <v>-1850</v>
      </c>
      <c r="I2" s="5" t="inlineStr">
        <is>
          <t>元/吨</t>
        </is>
      </c>
      <c r="J2" s="5" t="inlineStr">
        <is>
          <t>上期所</t>
        </is>
      </c>
    </row>
    <row r="3">
      <c r="A3" s="2" t="inlineStr">
        <is>
          <t>2026/06/14</t>
        </is>
      </c>
      <c r="B3" s="2" t="inlineStr">
        <is>
          <t>国内期货</t>
        </is>
      </c>
      <c r="C3" s="2" t="inlineStr">
        <is>
          <t>美元/人民币(USDCNY)</t>
        </is>
      </c>
      <c r="D3" s="6" t="n">
        <v>6.7641</v>
      </c>
      <c r="E3" s="5" t="n"/>
      <c r="F3" s="6" t="n">
        <v>6.7783</v>
      </c>
      <c r="G3" s="6" t="n">
        <v>6.76</v>
      </c>
      <c r="H3" s="5" t="n"/>
      <c r="I3" s="5" t="inlineStr">
        <is>
          <t>人民币</t>
        </is>
      </c>
      <c r="J3" s="5" t="inlineStr">
        <is>
          <t>新浪财经</t>
        </is>
      </c>
    </row>
    <row r="4">
      <c r="A4" s="2" t="inlineStr">
        <is>
          <t>2026/06/14</t>
        </is>
      </c>
      <c r="B4" s="2" t="inlineStr">
        <is>
          <t>国际期货</t>
        </is>
      </c>
      <c r="C4" s="2" t="inlineStr">
        <is>
          <t>CME氢氧化锂</t>
        </is>
      </c>
      <c r="D4" s="6" t="n">
        <v>21.96</v>
      </c>
      <c r="E4" s="5" t="n"/>
      <c r="F4" s="5" t="n"/>
      <c r="G4" s="5" t="n"/>
      <c r="H4" s="6" t="n">
        <v>-0.29</v>
      </c>
      <c r="I4" s="5" t="inlineStr">
        <is>
          <t>USD</t>
        </is>
      </c>
      <c r="J4" s="5" t="inlineStr">
        <is>
          <t>Yahoo Finance</t>
        </is>
      </c>
    </row>
    <row r="5">
      <c r="A5" s="2" t="inlineStr">
        <is>
          <t>2026/06/14</t>
        </is>
      </c>
      <c r="B5" s="2" t="inlineStr">
        <is>
          <t>国际期货</t>
        </is>
      </c>
      <c r="C5" s="2" t="inlineStr">
        <is>
          <t>CME钴</t>
        </is>
      </c>
      <c r="D5" s="6" t="n">
        <v>25.1</v>
      </c>
      <c r="E5" s="5" t="n"/>
      <c r="F5" s="5" t="n"/>
      <c r="G5" s="5" t="n"/>
      <c r="H5" s="4" t="n">
        <v>0</v>
      </c>
      <c r="I5" s="5" t="inlineStr">
        <is>
          <t>USD</t>
        </is>
      </c>
      <c r="J5" s="5" t="inlineStr">
        <is>
          <t>Yahoo Finance</t>
        </is>
      </c>
    </row>
    <row r="6">
      <c r="A6" s="2" t="inlineStr">
        <is>
          <t>2026/06/15</t>
        </is>
      </c>
      <c r="B6" s="2" t="inlineStr">
        <is>
          <t>国内期货</t>
        </is>
      </c>
      <c r="C6" s="2" t="inlineStr">
        <is>
          <t>沪镍(NI)连续</t>
        </is>
      </c>
      <c r="D6" s="4" t="n">
        <v>131640</v>
      </c>
      <c r="E6" s="4" t="n">
        <v>133550</v>
      </c>
      <c r="F6" s="4" t="n">
        <v>133980</v>
      </c>
      <c r="G6" s="4" t="n">
        <v>131780</v>
      </c>
      <c r="H6" s="4" t="n">
        <v>-1850</v>
      </c>
      <c r="I6" s="5" t="inlineStr">
        <is>
          <t>元/吨</t>
        </is>
      </c>
      <c r="J6" s="5" t="inlineStr">
        <is>
          <t>上期所</t>
        </is>
      </c>
    </row>
    <row r="7">
      <c r="A7" s="2" t="inlineStr">
        <is>
          <t>2026/06/15</t>
        </is>
      </c>
      <c r="B7" s="2" t="inlineStr">
        <is>
          <t>国内期货</t>
        </is>
      </c>
      <c r="C7" s="2" t="inlineStr">
        <is>
          <t>美元/人民币(USDCNY)</t>
        </is>
      </c>
      <c r="D7" s="6" t="n">
        <v>6.7614</v>
      </c>
      <c r="E7" s="5" t="n"/>
      <c r="F7" s="6" t="n">
        <v>6.7621</v>
      </c>
      <c r="G7" s="6" t="n">
        <v>6.7565</v>
      </c>
      <c r="H7" s="5" t="n"/>
      <c r="I7" s="5" t="inlineStr">
        <is>
          <t>人民币</t>
        </is>
      </c>
      <c r="J7" s="5" t="inlineStr">
        <is>
          <t>新浪财经</t>
        </is>
      </c>
    </row>
    <row r="8">
      <c r="A8" s="2" t="inlineStr">
        <is>
          <t>2026/06/15</t>
        </is>
      </c>
      <c r="B8" s="2" t="inlineStr">
        <is>
          <t>国际期货</t>
        </is>
      </c>
      <c r="C8" s="2" t="inlineStr">
        <is>
          <t>CME氢氧化锂</t>
        </is>
      </c>
      <c r="D8" s="6" t="n">
        <v>21.96</v>
      </c>
      <c r="E8" s="5" t="n"/>
      <c r="F8" s="5" t="n"/>
      <c r="G8" s="5" t="n"/>
      <c r="H8" s="4" t="n">
        <v>0</v>
      </c>
      <c r="I8" s="5" t="inlineStr">
        <is>
          <t>USD</t>
        </is>
      </c>
      <c r="J8" s="5" t="inlineStr">
        <is>
          <t>Yahoo Finance</t>
        </is>
      </c>
    </row>
    <row r="9">
      <c r="A9" s="2" t="inlineStr">
        <is>
          <t>2026/06/15</t>
        </is>
      </c>
      <c r="B9" s="2" t="inlineStr">
        <is>
          <t>国际期货</t>
        </is>
      </c>
      <c r="C9" s="2" t="inlineStr">
        <is>
          <t>CME钴</t>
        </is>
      </c>
      <c r="D9" s="6" t="n">
        <v>25.1</v>
      </c>
      <c r="E9" s="5" t="n"/>
      <c r="F9" s="5" t="n"/>
      <c r="G9" s="5" t="n"/>
      <c r="H9" s="4" t="n">
        <v>0</v>
      </c>
      <c r="I9" s="5" t="inlineStr">
        <is>
          <t>USD</t>
        </is>
      </c>
      <c r="J9" s="5" t="inlineStr">
        <is>
          <t>Yahoo Finance</t>
        </is>
      </c>
    </row>
    <row r="11">
      <c r="A11" s="8" t="inlineStr">
        <is>
          <t>当月均价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C12" s="2" t="inlineStr">
        <is>
          <t>CME氢氧化锂</t>
        </is>
      </c>
      <c r="D12" s="10">
        <f>IFERROR(AVERAGEIFS(D$2:D$9,A$2:A$9,"&gt;="&amp;DATE(YEAR(TODAY()),MONTH(TODAY()),1),A$2:A$9,"&lt;"&amp;DATE(YEAR(TODAY()),MONTH(TODAY())+1,1),C$2:C$9,$C$12),"")</f>
        <v/>
      </c>
      <c r="E12" s="10">
        <f>IFERROR(AVERAGEIFS(E$2:E$9,A$2:A$9,"&gt;="&amp;DATE(YEAR(TODAY()),MONTH(TODAY()),1),A$2:A$9,"&lt;"&amp;DATE(YEAR(TODAY()),MONTH(TODAY())+1,1),C$2:C$9,$C$12),"")</f>
        <v/>
      </c>
      <c r="F12" s="10">
        <f>IFERROR(AVERAGEIFS(F$2:F$9,A$2:A$9,"&gt;="&amp;DATE(YEAR(TODAY()),MONTH(TODAY()),1),A$2:A$9,"&lt;"&amp;DATE(YEAR(TODAY()),MONTH(TODAY())+1,1),C$2:C$9,$C$12),"")</f>
        <v/>
      </c>
      <c r="G12" s="10">
        <f>IFERROR(AVERAGEIFS(G$2:G$9,A$2:A$9,"&gt;="&amp;DATE(YEAR(TODAY()),MONTH(TODAY()),1),A$2:A$9,"&lt;"&amp;DATE(YEAR(TODAY()),MONTH(TODAY())+1,1),C$2:C$9,$C$12),"")</f>
        <v/>
      </c>
      <c r="H12" s="11">
        <f>IFERROR(SUMPRODUCT((YEAR(A$2:A$9)=YEAR(TODAY()))*(MONTH(A$2:A$9)=MONTH(TODAY()))*(C$2:C$9=$C$12)*(H$2:H$9),"")</f>
        <v/>
      </c>
    </row>
    <row r="13">
      <c r="C13" s="2" t="inlineStr">
        <is>
          <t>CME钴</t>
        </is>
      </c>
      <c r="D13" s="10">
        <f>IFERROR(AVERAGEIFS(D$2:D$9,A$2:A$9,"&gt;="&amp;DATE(YEAR(TODAY()),MONTH(TODAY()),1),A$2:A$9,"&lt;"&amp;DATE(YEAR(TODAY()),MONTH(TODAY())+1,1),C$2:C$9,$C$13),"")</f>
        <v/>
      </c>
      <c r="E13" s="10">
        <f>IFERROR(AVERAGEIFS(E$2:E$9,A$2:A$9,"&gt;="&amp;DATE(YEAR(TODAY()),MONTH(TODAY()),1),A$2:A$9,"&lt;"&amp;DATE(YEAR(TODAY()),MONTH(TODAY())+1,1),C$2:C$9,$C$13),"")</f>
        <v/>
      </c>
      <c r="F13" s="10">
        <f>IFERROR(AVERAGEIFS(F$2:F$9,A$2:A$9,"&gt;="&amp;DATE(YEAR(TODAY()),MONTH(TODAY()),1),A$2:A$9,"&lt;"&amp;DATE(YEAR(TODAY()),MONTH(TODAY())+1,1),C$2:C$9,$C$13),"")</f>
        <v/>
      </c>
      <c r="G13" s="10">
        <f>IFERROR(AVERAGEIFS(G$2:G$9,A$2:A$9,"&gt;="&amp;DATE(YEAR(TODAY()),MONTH(TODAY()),1),A$2:A$9,"&lt;"&amp;DATE(YEAR(TODAY()),MONTH(TODAY())+1,1),C$2:C$9,$C$13),"")</f>
        <v/>
      </c>
      <c r="H13" s="11">
        <f>IFERROR(SUMPRODUCT((YEAR(A$2:A$9)=YEAR(TODAY()))*(MONTH(A$2:A$9)=MONTH(TODAY()))*(C$2:C$9=$C$13)*(H$2:H$9),"")</f>
        <v/>
      </c>
    </row>
    <row r="14">
      <c r="C14" s="2" t="inlineStr">
        <is>
          <t>沪镍(NI)连续</t>
        </is>
      </c>
      <c r="D14" s="10">
        <f>IFERROR(AVERAGEIFS(D$2:D$9,A$2:A$9,"&gt;="&amp;DATE(YEAR(TODAY()),MONTH(TODAY()),1),A$2:A$9,"&lt;"&amp;DATE(YEAR(TODAY()),MONTH(TODAY())+1,1),C$2:C$9,$C$14),"")</f>
        <v/>
      </c>
      <c r="E14" s="10">
        <f>IFERROR(AVERAGEIFS(E$2:E$9,A$2:A$9,"&gt;="&amp;DATE(YEAR(TODAY()),MONTH(TODAY()),1),A$2:A$9,"&lt;"&amp;DATE(YEAR(TODAY()),MONTH(TODAY())+1,1),C$2:C$9,$C$14),"")</f>
        <v/>
      </c>
      <c r="F14" s="10">
        <f>IFERROR(AVERAGEIFS(F$2:F$9,A$2:A$9,"&gt;="&amp;DATE(YEAR(TODAY()),MONTH(TODAY()),1),A$2:A$9,"&lt;"&amp;DATE(YEAR(TODAY()),MONTH(TODAY())+1,1),C$2:C$9,$C$14),"")</f>
        <v/>
      </c>
      <c r="G14" s="10">
        <f>IFERROR(AVERAGEIFS(G$2:G$9,A$2:A$9,"&gt;="&amp;DATE(YEAR(TODAY()),MONTH(TODAY()),1),A$2:A$9,"&lt;"&amp;DATE(YEAR(TODAY()),MONTH(TODAY())+1,1),C$2:C$9,$C$14),"")</f>
        <v/>
      </c>
      <c r="H14" s="11">
        <f>IFERROR(SUMPRODUCT((YEAR(A$2:A$9)=YEAR(TODAY()))*(MONTH(A$2:A$9)=MONTH(TODAY()))*(C$2:C$9=$C$14)*(H$2:H$9),"")</f>
        <v/>
      </c>
    </row>
    <row r="15">
      <c r="C15" s="2" t="inlineStr">
        <is>
          <t>美元/人民币(USDCNY)</t>
        </is>
      </c>
      <c r="D15" s="10">
        <f>IFERROR(AVERAGEIFS(D$2:D$9,A$2:A$9,"&gt;="&amp;DATE(YEAR(TODAY()),MONTH(TODAY()),1),A$2:A$9,"&lt;"&amp;DATE(YEAR(TODAY()),MONTH(TODAY())+1,1),C$2:C$9,$C$15),"")</f>
        <v/>
      </c>
      <c r="E15" s="10">
        <f>IFERROR(AVERAGEIFS(E$2:E$9,A$2:A$9,"&gt;="&amp;DATE(YEAR(TODAY()),MONTH(TODAY()),1),A$2:A$9,"&lt;"&amp;DATE(YEAR(TODAY()),MONTH(TODAY())+1,1),C$2:C$9,$C$15),"")</f>
        <v/>
      </c>
      <c r="F15" s="10">
        <f>IFERROR(AVERAGEIFS(F$2:F$9,A$2:A$9,"&gt;="&amp;DATE(YEAR(TODAY()),MONTH(TODAY()),1),A$2:A$9,"&lt;"&amp;DATE(YEAR(TODAY()),MONTH(TODAY())+1,1),C$2:C$9,$C$15),"")</f>
        <v/>
      </c>
      <c r="G15" s="10">
        <f>IFERROR(AVERAGEIFS(G$2:G$9,A$2:A$9,"&gt;="&amp;DATE(YEAR(TODAY()),MONTH(TODAY()),1),A$2:A$9,"&lt;"&amp;DATE(YEAR(TODAY()),MONTH(TODAY())+1,1),C$2:C$9,$C$15),"")</f>
        <v/>
      </c>
      <c r="H15" s="11">
        <f>IFERROR(SUMPRODUCT((YEAR(A$2:A$9)=YEAR(TODAY()))*(MONTH(A$2:A$9)=MONTH(TODAY()))*(C$2:C$9=$C$15)*(H$2:H$9),"")</f>
        <v/>
      </c>
    </row>
  </sheetData>
  <autoFilter ref="A1:J9"/>
  <mergeCells count="1"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  <col width="20" customWidth="1" min="5" max="5"/>
    <col width="18" customWidth="1" min="6" max="6"/>
    <col width="20" customWidth="1" min="7" max="7"/>
    <col width="20" customWidth="1" min="8" max="8"/>
    <col width="16" customWidth="1" min="9" max="9"/>
    <col width="16" customWidth="1" min="10" max="10"/>
  </cols>
  <sheetData>
    <row r="1">
      <c r="A1" s="12" t="inlineStr">
        <is>
          <t>♻️ 锂电黑粉回收计价计算器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3">
      <c r="A3" s="14" t="inlineStr">
        <is>
          <t>📊 当前市场参考价 (自动引用现货Sheet)</t>
        </is>
      </c>
      <c r="B3" s="15" t="n"/>
      <c r="C3" s="15" t="n"/>
      <c r="D3" s="15" t="n"/>
      <c r="E3" s="15" t="n"/>
      <c r="F3" s="15" t="n"/>
      <c r="G3" s="15" t="n"/>
      <c r="H3" s="15" t="n"/>
      <c r="I3" s="15" t="n"/>
      <c r="J3" s="15" t="n"/>
    </row>
    <row r="4">
      <c r="A4" s="16" t="inlineStr">
        <is>
          <t>品种</t>
        </is>
      </c>
      <c r="B4" s="16" t="inlineStr">
        <is>
          <t>对应现货产品</t>
        </is>
      </c>
      <c r="C4" s="16" t="inlineStr">
        <is>
          <t>计价单位</t>
        </is>
      </c>
      <c r="D4" s="16" t="inlineStr">
        <is>
          <t>当前均价</t>
        </is>
      </c>
      <c r="E4" s="16" t="inlineStr">
        <is>
          <t>计价扣减说明</t>
        </is>
      </c>
    </row>
    <row r="5">
      <c r="A5" s="2" t="inlineStr">
        <is>
          <t>镍(Ni)</t>
        </is>
      </c>
      <c r="B5" s="2" t="inlineStr">
        <is>
          <t>电池级硫酸镍</t>
        </is>
      </c>
      <c r="C5" s="2" t="inlineStr">
        <is>
          <t>元/吨</t>
        </is>
      </c>
      <c r="D5" s="4">
        <f>IFERROR(LOOKUP(2,1/('现货'!B$2:B$200="电池级硫酸镍"),'现货'!E$2:E$200),"")</f>
        <v/>
      </c>
      <c r="E5" s="17" t="inlineStr">
        <is>
          <t>按Ni品位折算, 扣Ni≤0.5%杂质</t>
        </is>
      </c>
    </row>
    <row r="6">
      <c r="A6" s="2" t="inlineStr">
        <is>
          <t>钴(Co)</t>
        </is>
      </c>
      <c r="B6" s="2" t="inlineStr">
        <is>
          <t>硫酸钴</t>
        </is>
      </c>
      <c r="C6" s="2" t="inlineStr">
        <is>
          <t>元/吨</t>
        </is>
      </c>
      <c r="D6" s="4">
        <f>IFERROR(LOOKUP(2,1/('现货'!B$2:B$200="硫酸钴"),'现货'!E$2:E$200),"")</f>
        <v/>
      </c>
      <c r="E6" s="17" t="inlineStr">
        <is>
          <t>按Co品位折算, 扣Co≤0.3%杂质</t>
        </is>
      </c>
    </row>
    <row r="7">
      <c r="A7" s="2" t="inlineStr">
        <is>
          <t>锂(Li)</t>
        </is>
      </c>
      <c r="B7" s="2" t="inlineStr">
        <is>
          <t>电池级碳酸锂</t>
        </is>
      </c>
      <c r="C7" s="2" t="inlineStr">
        <is>
          <t>元/吨</t>
        </is>
      </c>
      <c r="D7" s="4">
        <f>IFERROR(LOOKUP(2,1/('现货'!B$2:B$200="电池级碳酸锂"),'现货'!E$2:E$200),"")</f>
        <v/>
      </c>
      <c r="E7" s="17" t="inlineStr">
        <is>
          <t>按Li品位折算至Li₂CO₃当量</t>
        </is>
      </c>
    </row>
    <row r="10">
      <c r="A10" s="14" t="inlineStr">
        <is>
          <t>🧮 黑粉计价计算器 — 输入橙色单元格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8" t="inlineStr">
        <is>
          <t>1. 黑粉重量(吨)</t>
        </is>
      </c>
      <c r="B11" s="19" t="inlineStr">
        <is>
          <t>1</t>
        </is>
      </c>
    </row>
    <row r="12">
      <c r="A12" s="18" t="inlineStr">
        <is>
          <t>2. Ni品位(%)</t>
        </is>
      </c>
      <c r="B12" s="20" t="inlineStr">
        <is>
          <t>15</t>
        </is>
      </c>
    </row>
    <row r="13">
      <c r="A13" s="18" t="inlineStr">
        <is>
          <t>3. Co品位(%)</t>
        </is>
      </c>
      <c r="B13" s="20" t="inlineStr">
        <is>
          <t>5</t>
        </is>
      </c>
    </row>
    <row r="14">
      <c r="A14" s="18" t="inlineStr">
        <is>
          <t>4. Li品位(%)</t>
        </is>
      </c>
      <c r="B14" s="20" t="inlineStr">
        <is>
          <t>3.5</t>
        </is>
      </c>
    </row>
    <row r="15">
      <c r="A15" s="18" t="inlineStr">
        <is>
          <t>5. 计价系数</t>
        </is>
      </c>
      <c r="B15" s="21" t="inlineStr">
        <is>
          <t>0.65</t>
        </is>
      </c>
    </row>
    <row r="16">
      <c r="A16" s="18" t="inlineStr">
        <is>
          <t>6. 加工成本(元/吨黑粉)</t>
        </is>
      </c>
      <c r="B16" s="19" t="inlineStr">
        <is>
          <t>28000</t>
        </is>
      </c>
    </row>
    <row r="17">
      <c r="A17" s="18" t="inlineStr">
        <is>
          <t>7. 水分扣减(%)</t>
        </is>
      </c>
      <c r="B17" s="20" t="inlineStr">
        <is>
          <t>3</t>
        </is>
      </c>
    </row>
    <row r="18">
      <c r="A18" s="18" t="inlineStr">
        <is>
          <t>8. 杂质扣减(元/吨)</t>
        </is>
      </c>
      <c r="B18" s="19" t="inlineStr">
        <is>
          <t>500</t>
        </is>
      </c>
    </row>
    <row r="20">
      <c r="A20" s="22" t="inlineStr">
        <is>
          <t>📈 计价结果</t>
        </is>
      </c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</row>
    <row r="21">
      <c r="A21" s="24" t="inlineStr">
        <is>
          <t>黑粉干重(吨)</t>
        </is>
      </c>
      <c r="B21" s="6">
        <f>$B$11*(1-$B$17/100)</f>
        <v/>
      </c>
    </row>
    <row r="22">
      <c r="A22" s="24" t="inlineStr">
        <is>
          <t>Ni金属回收价值(元)</t>
        </is>
      </c>
      <c r="B22" s="4">
        <f>$B$11*$B$12/100*$B$15*$B$5</f>
        <v/>
      </c>
      <c r="C22" s="25">
        <f>B22/$B$11</f>
        <v/>
      </c>
      <c r="D22" s="26">
        <f>B22/10000</f>
        <v/>
      </c>
    </row>
    <row r="23">
      <c r="A23" s="24" t="inlineStr">
        <is>
          <t>Co金属回收价值(元)</t>
        </is>
      </c>
      <c r="B23" s="4">
        <f>$B$11*$B$13/100*$B$15*$B$6</f>
        <v/>
      </c>
      <c r="C23" s="25">
        <f>B23/$B$11</f>
        <v/>
      </c>
      <c r="D23" s="26">
        <f>B23/10000</f>
        <v/>
      </c>
    </row>
    <row r="24">
      <c r="A24" s="24" t="inlineStr">
        <is>
          <t>Li金属回收价值(元)</t>
        </is>
      </c>
      <c r="B24" s="4">
        <f>$B$11*$B$14/100*$B$15*$B$7</f>
        <v/>
      </c>
      <c r="C24" s="25">
        <f>B24/$B$11</f>
        <v/>
      </c>
      <c r="D24" s="26">
        <f>B24/10000</f>
        <v/>
      </c>
    </row>
    <row r="25">
      <c r="A25" s="27" t="inlineStr">
        <is>
          <t>金属回收价值小计(元)</t>
        </is>
      </c>
      <c r="B25" s="28">
        <f>SUM(B22:B24)</f>
        <v/>
      </c>
    </row>
    <row r="26">
      <c r="A26" s="24" t="inlineStr">
        <is>
          <t>杂质扣减(元)</t>
        </is>
      </c>
      <c r="B26" s="4">
        <f>$B$11*$B$18</f>
        <v/>
      </c>
    </row>
    <row r="27">
      <c r="A27" s="24" t="inlineStr">
        <is>
          <t>加工总成本(元)</t>
        </is>
      </c>
      <c r="B27" s="4">
        <f>$B$11*$B$16</f>
        <v/>
      </c>
    </row>
    <row r="29">
      <c r="A29" s="29" t="inlineStr">
        <is>
          <t>黑粉采购参考价(元/吨)</t>
        </is>
      </c>
      <c r="B29" s="30">
        <f>(B25-B26-B27)/$B$11</f>
        <v/>
      </c>
    </row>
    <row r="30">
      <c r="A30" s="29" t="inlineStr">
        <is>
          <t>加工净利润(元)</t>
        </is>
      </c>
      <c r="B30" s="30">
        <f>B25-B26-B27</f>
        <v/>
      </c>
      <c r="C30" s="31">
        <f>IF(B30&gt;0,"✅ 盈利","❌ 亏损")</f>
        <v/>
      </c>
    </row>
    <row r="33">
      <c r="A33" s="14" t="inlineStr">
        <is>
          <t>📋 典型黑粉品位参考范围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6" t="inlineStr">
        <is>
          <t>类型</t>
        </is>
      </c>
      <c r="B34" s="16" t="inlineStr">
        <is>
          <t>Ni(%)</t>
        </is>
      </c>
      <c r="C34" s="16" t="inlineStr">
        <is>
          <t>Co(%)</t>
        </is>
      </c>
      <c r="D34" s="16" t="inlineStr">
        <is>
          <t>Li(%)</t>
        </is>
      </c>
      <c r="E34" s="16" t="inlineStr">
        <is>
          <t>备注</t>
        </is>
      </c>
      <c r="F34" s="16" t="inlineStr">
        <is>
          <t>适用场景</t>
        </is>
      </c>
    </row>
    <row r="35">
      <c r="A35" s="2" t="inlineStr">
        <is>
          <t>三元黑粉(NCM523)</t>
        </is>
      </c>
      <c r="B35" s="2" t="inlineStr">
        <is>
          <t>8-20</t>
        </is>
      </c>
      <c r="C35" s="2" t="inlineStr">
        <is>
          <t>4-8</t>
        </is>
      </c>
      <c r="D35" s="2" t="inlineStr">
        <is>
          <t>3-5</t>
        </is>
      </c>
      <c r="E35" s="17" t="inlineStr">
        <is>
          <t>含水&lt;5%, 铜&lt;3%, 铝&lt;2%</t>
        </is>
      </c>
      <c r="F35" s="2" t="inlineStr">
        <is>
          <t>主流型</t>
        </is>
      </c>
    </row>
    <row r="36">
      <c r="A36" s="2" t="inlineStr">
        <is>
          <t>三元黑粉(NCM622)</t>
        </is>
      </c>
      <c r="B36" s="2" t="inlineStr">
        <is>
          <t>12-25</t>
        </is>
      </c>
      <c r="C36" s="2" t="inlineStr">
        <is>
          <t>4-8</t>
        </is>
      </c>
      <c r="D36" s="2" t="inlineStr">
        <is>
          <t>3-5</t>
        </is>
      </c>
      <c r="E36" s="17" t="inlineStr">
        <is>
          <t>含水&lt;5%, 铜&lt;3%, 铝&lt;2%</t>
        </is>
      </c>
      <c r="F36" s="2" t="inlineStr">
        <is>
          <t>高镍型</t>
        </is>
      </c>
    </row>
    <row r="37">
      <c r="A37" s="2" t="inlineStr">
        <is>
          <t>三元黑粉(NCM811)</t>
        </is>
      </c>
      <c r="B37" s="2" t="inlineStr">
        <is>
          <t>18-30</t>
        </is>
      </c>
      <c r="C37" s="2" t="inlineStr">
        <is>
          <t>2-5</t>
        </is>
      </c>
      <c r="D37" s="2" t="inlineStr">
        <is>
          <t>3-5</t>
        </is>
      </c>
      <c r="E37" s="17" t="inlineStr">
        <is>
          <t>含水&lt;5%, 铜&lt;3%, 铝&lt;2%</t>
        </is>
      </c>
      <c r="F37" s="2" t="inlineStr">
        <is>
          <t>超高镍</t>
        </is>
      </c>
    </row>
    <row r="38">
      <c r="A38" s="2" t="inlineStr">
        <is>
          <t>钴酸锂黑粉</t>
        </is>
      </c>
      <c r="B38" s="2" t="inlineStr">
        <is>
          <t>1-3</t>
        </is>
      </c>
      <c r="C38" s="2" t="inlineStr">
        <is>
          <t>35-50</t>
        </is>
      </c>
      <c r="D38" s="2" t="inlineStr">
        <is>
          <t>3-5</t>
        </is>
      </c>
      <c r="E38" s="17" t="inlineStr">
        <is>
          <t>含水&lt;5%</t>
        </is>
      </c>
      <c r="F38" s="2" t="inlineStr">
        <is>
          <t>高钴价值</t>
        </is>
      </c>
    </row>
    <row r="39">
      <c r="A39" s="2" t="inlineStr">
        <is>
          <t>磷酸铁锂黑粉</t>
        </is>
      </c>
      <c r="B39" s="2" t="inlineStr">
        <is>
          <t>&lt;0.5</t>
        </is>
      </c>
      <c r="C39" s="2" t="inlineStr">
        <is>
          <t>&lt;0.3</t>
        </is>
      </c>
      <c r="D39" s="2" t="inlineStr">
        <is>
          <t>2-3</t>
        </is>
      </c>
      <c r="E39" s="17" t="inlineStr">
        <is>
          <t>含水&lt;5%</t>
        </is>
      </c>
      <c r="F39" s="2" t="inlineStr">
        <is>
          <t>低价值</t>
        </is>
      </c>
    </row>
    <row r="40">
      <c r="A40" s="2" t="inlineStr">
        <is>
          <t>混合黑粉</t>
        </is>
      </c>
      <c r="B40" s="2" t="inlineStr">
        <is>
          <t>5-15</t>
        </is>
      </c>
      <c r="C40" s="2" t="inlineStr">
        <is>
          <t>2-10</t>
        </is>
      </c>
      <c r="D40" s="2" t="inlineStr">
        <is>
          <t>2-4</t>
        </is>
      </c>
      <c r="E40" s="17" t="inlineStr">
        <is>
          <t>杂料混合</t>
        </is>
      </c>
      <c r="F40" s="2" t="inlineStr">
        <is>
          <t>折价计算</t>
        </is>
      </c>
    </row>
    <row r="43">
      <c r="A43" s="14" t="inlineStr">
        <is>
          <t>📊 黑粉计价系数参考 (按品位分档)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6" t="inlineStr">
        <is>
          <t>条件</t>
        </is>
      </c>
      <c r="B44" s="16" t="inlineStr">
        <is>
          <t>计价系数</t>
        </is>
      </c>
      <c r="C44" s="16" t="inlineStr">
        <is>
          <t>说明</t>
        </is>
      </c>
    </row>
    <row r="45">
      <c r="A45" s="2" t="inlineStr">
        <is>
          <t>Ni≥20%, Co≥8%</t>
        </is>
      </c>
      <c r="B45" s="2" t="inlineStr">
        <is>
          <t>0.75-0.80</t>
        </is>
      </c>
      <c r="C45" s="2" t="inlineStr">
        <is>
          <t>高品位</t>
        </is>
      </c>
    </row>
    <row r="46">
      <c r="A46" s="2" t="inlineStr">
        <is>
          <t>Ni≥15%, Co≥5%</t>
        </is>
      </c>
      <c r="B46" s="2" t="inlineStr">
        <is>
          <t>0.65-0.75</t>
        </is>
      </c>
      <c r="C46" s="2" t="inlineStr">
        <is>
          <t>中等品位</t>
        </is>
      </c>
    </row>
    <row r="47">
      <c r="A47" s="2" t="inlineStr">
        <is>
          <t>Ni≥10%, Co≥3%</t>
        </is>
      </c>
      <c r="B47" s="2" t="inlineStr">
        <is>
          <t>0.55-0.65</t>
        </is>
      </c>
      <c r="C47" s="2" t="inlineStr">
        <is>
          <t>低品位</t>
        </is>
      </c>
    </row>
    <row r="48">
      <c r="A48" s="2" t="inlineStr">
        <is>
          <t>Ni&lt;10%, Co&lt;3%</t>
        </is>
      </c>
      <c r="B48" s="2" t="inlineStr">
        <is>
          <t>0.40-0.55</t>
        </is>
      </c>
      <c r="C48" s="2" t="inlineStr">
        <is>
          <t>贫料</t>
        </is>
      </c>
    </row>
    <row r="49">
      <c r="A49" s="2" t="inlineStr">
        <is>
          <t>Li品位≥3.5%</t>
        </is>
      </c>
      <c r="B49" s="2" t="inlineStr">
        <is>
          <t>单独计价+0.05</t>
        </is>
      </c>
      <c r="C49" s="2" t="inlineStr">
        <is>
          <t>Li溢价</t>
        </is>
      </c>
    </row>
    <row r="50">
      <c r="A50" s="2" t="inlineStr">
        <is>
          <t>Li品位&lt;2%</t>
        </is>
      </c>
      <c r="B50" s="2" t="inlineStr">
        <is>
          <t>通常不计价</t>
        </is>
      </c>
      <c r="C50" s="2" t="inlineStr">
        <is>
          <t>Li太低</t>
        </is>
      </c>
    </row>
    <row r="51">
      <c r="A51" s="2" t="inlineStr">
        <is>
          <t>含水率&gt;5%</t>
        </is>
      </c>
      <c r="B51" s="2" t="inlineStr">
        <is>
          <t>扣减超出部分</t>
        </is>
      </c>
      <c r="C51" s="2" t="inlineStr">
        <is>
          <t>水分扣减</t>
        </is>
      </c>
    </row>
    <row r="52">
      <c r="A52" s="2" t="inlineStr">
        <is>
          <t>铜铝超标</t>
        </is>
      </c>
      <c r="B52" s="2" t="inlineStr">
        <is>
          <t>扣500-2000元/吨</t>
        </is>
      </c>
      <c r="C52" s="2" t="inlineStr">
        <is>
          <t>杂质罚扣</t>
        </is>
      </c>
    </row>
    <row r="55">
      <c r="A55" s="14" t="inlineStr">
        <is>
          <t>💰 加工成本参考 (元/吨黑粉)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6" t="inlineStr">
        <is>
          <t>环节</t>
        </is>
      </c>
      <c r="B56" s="16" t="inlineStr">
        <is>
          <t>费用(元/吨)</t>
        </is>
      </c>
      <c r="C56" s="16" t="inlineStr">
        <is>
          <t>说明</t>
        </is>
      </c>
    </row>
    <row r="57">
      <c r="A57" s="2" t="inlineStr">
        <is>
          <t>破碎分选</t>
        </is>
      </c>
      <c r="B57" s="2" t="inlineStr">
        <is>
          <t>3,000-5,000</t>
        </is>
      </c>
      <c r="C57" s="17" t="inlineStr">
        <is>
          <t>拆解→破碎→筛分→磁选</t>
        </is>
      </c>
    </row>
    <row r="58">
      <c r="A58" s="2" t="inlineStr">
        <is>
          <t>湿法浸出</t>
        </is>
      </c>
      <c r="B58" s="2" t="inlineStr">
        <is>
          <t>12,000-18,000</t>
        </is>
      </c>
      <c r="C58" s="17" t="inlineStr">
        <is>
          <t>酸浸或碱浸</t>
        </is>
      </c>
    </row>
    <row r="59">
      <c r="A59" s="2" t="inlineStr">
        <is>
          <t>萃取分离</t>
        </is>
      </c>
      <c r="B59" s="2" t="inlineStr">
        <is>
          <t>5,000-8,000</t>
        </is>
      </c>
      <c r="C59" s="17" t="inlineStr">
        <is>
          <t>Ni/Co/Mn/Li分离</t>
        </is>
      </c>
    </row>
    <row r="60">
      <c r="A60" s="2" t="inlineStr">
        <is>
          <t>产品精制</t>
        </is>
      </c>
      <c r="B60" s="2" t="inlineStr">
        <is>
          <t>3,000-5,000</t>
        </is>
      </c>
      <c r="C60" s="17" t="inlineStr">
        <is>
          <t>结晶/干燥/包装</t>
        </is>
      </c>
    </row>
    <row r="61">
      <c r="A61" s="32" t="inlineStr">
        <is>
          <t>合计</t>
        </is>
      </c>
      <c r="B61" s="32" t="inlineStr">
        <is>
          <t>23,000-36,000</t>
        </is>
      </c>
      <c r="C61" s="17" t="inlineStr"/>
    </row>
  </sheetData>
  <mergeCells count="7">
    <mergeCell ref="A1:J1"/>
    <mergeCell ref="A3:J3"/>
    <mergeCell ref="A55:J55"/>
    <mergeCell ref="A20:J20"/>
    <mergeCell ref="A43:J43"/>
    <mergeCell ref="A10:J10"/>
    <mergeCell ref="A33:J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2026-06-15T04:34:02Z</dcterms:created>
  <dcterms:modified xmlns:dcterms="http://purl.org/dc/terms/" xmlns:xsi="http://www.w3.org/2001/XMLSchema-instance" xsi:type="dcterms:W3CDTF">2026-06-15T04:34:03Z</dcterms:modified>
</cp:coreProperties>
</file>