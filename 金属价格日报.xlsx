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'现货'!$A$1:$H$238</definedName>
    <definedName name="_xlnm._FilterDatabase" localSheetId="1" hidden="1">'期货'!$A$1:$J$19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100950</v>
      </c>
      <c r="D164" s="4" t="n">
        <v>106150</v>
      </c>
      <c r="E164" s="4" t="n">
        <v>103550</v>
      </c>
      <c r="F164" s="4" t="n">
        <v>-200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186300</v>
      </c>
      <c r="D165" s="4" t="n">
        <v>194800</v>
      </c>
      <c r="E165" s="4" t="n">
        <v>190550</v>
      </c>
      <c r="F165" s="4" t="n">
        <v>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93800</v>
      </c>
      <c r="D166" s="4" t="n">
        <v>98500</v>
      </c>
      <c r="E166" s="4" t="n">
        <v>96150</v>
      </c>
      <c r="F166" s="4" t="n">
        <v>-200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190800</v>
      </c>
      <c r="D167" s="4" t="n">
        <v>200300</v>
      </c>
      <c r="E167" s="4" t="n">
        <v>195550</v>
      </c>
      <c r="F167" s="4" t="n">
        <v>100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116350</v>
      </c>
      <c r="D168" s="4" t="n">
        <v>122050</v>
      </c>
      <c r="E168" s="4" t="n">
        <v>119200</v>
      </c>
      <c r="F168" s="4" t="n">
        <v>-200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214000</v>
      </c>
      <c r="D169" s="4" t="n">
        <v>223600</v>
      </c>
      <c r="E169" s="4" t="n">
        <v>218800</v>
      </c>
      <c r="F169" s="4" t="n">
        <v>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85</v>
      </c>
      <c r="D170" s="6" t="n">
        <v>86</v>
      </c>
      <c r="E170" s="6" t="n">
        <v>85.5</v>
      </c>
      <c r="F170" s="6" t="n">
        <v>-0.75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211100</v>
      </c>
      <c r="D172" s="4" t="n">
        <v>219400</v>
      </c>
      <c r="E172" s="4" t="n">
        <v>215250</v>
      </c>
      <c r="F172" s="4" t="n">
        <v>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79</v>
      </c>
      <c r="D173" s="6" t="n">
        <v>79</v>
      </c>
      <c r="E173" s="6" t="n">
        <v>79</v>
      </c>
      <c r="F173" s="4" t="n">
        <v>0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79.05</v>
      </c>
      <c r="D174" s="6" t="n">
        <v>79.05</v>
      </c>
      <c r="E174" s="6" t="n">
        <v>79.05</v>
      </c>
      <c r="F174" s="4" t="n">
        <v>0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79.05</v>
      </c>
      <c r="D175" s="6" t="n">
        <v>79.05</v>
      </c>
      <c r="E175" s="6" t="n">
        <v>79.05</v>
      </c>
      <c r="F175" s="4" t="n">
        <v>0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75.83</v>
      </c>
      <c r="D177" s="6" t="n">
        <v>75.83</v>
      </c>
      <c r="E177" s="6" t="n">
        <v>75.83</v>
      </c>
      <c r="F177" s="4" t="n">
        <v>0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75.83</v>
      </c>
      <c r="D178" s="6" t="n">
        <v>75.83</v>
      </c>
      <c r="E178" s="6" t="n">
        <v>75.83</v>
      </c>
      <c r="F178" s="4" t="n">
        <v>0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102301</v>
      </c>
      <c r="D179" s="4" t="n">
        <v>106476</v>
      </c>
      <c r="E179" s="4" t="n">
        <v>104388.5</v>
      </c>
      <c r="F179" s="6" t="n">
        <v>-21.5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154696</v>
      </c>
      <c r="D180" s="4" t="n">
        <v>154696</v>
      </c>
      <c r="E180" s="4" t="n">
        <v>154696</v>
      </c>
      <c r="F180" s="4" t="n">
        <v>492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7655</v>
      </c>
      <c r="D181" s="4" t="n">
        <v>7655</v>
      </c>
      <c r="E181" s="4" t="n">
        <v>7655</v>
      </c>
      <c r="F181" s="6" t="n">
        <v>4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33042</v>
      </c>
      <c r="D182" s="4" t="n">
        <v>33042</v>
      </c>
      <c r="E182" s="4" t="n">
        <v>33042</v>
      </c>
      <c r="F182" s="6" t="n">
        <v>-9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168483</v>
      </c>
      <c r="D183" s="4" t="n">
        <v>168483</v>
      </c>
      <c r="E183" s="4" t="n">
        <v>168483</v>
      </c>
      <c r="F183" s="4" t="n">
        <v>389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88315</v>
      </c>
      <c r="D184" s="4" t="n">
        <v>88315</v>
      </c>
      <c r="E184" s="4" t="n">
        <v>88315</v>
      </c>
      <c r="F184" s="4" t="n">
        <v>-261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7489</v>
      </c>
      <c r="D185" s="4" t="n">
        <v>7489</v>
      </c>
      <c r="E185" s="4" t="n">
        <v>7489</v>
      </c>
      <c r="F185" s="4" t="n">
        <v>0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7062</v>
      </c>
      <c r="D186" s="4" t="n">
        <v>7062</v>
      </c>
      <c r="E186" s="4" t="n">
        <v>7062</v>
      </c>
      <c r="F186" s="4" t="n">
        <v>0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118000</v>
      </c>
      <c r="E192" s="4" t="n">
        <v>114000</v>
      </c>
      <c r="F192" s="4" t="n">
        <v>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-3000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138500</v>
      </c>
      <c r="D195" s="4" t="n">
        <v>145500</v>
      </c>
      <c r="E195" s="4" t="n">
        <v>142000</v>
      </c>
      <c r="F195" s="4" t="n">
        <v>500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162000</v>
      </c>
      <c r="D196" s="4" t="n">
        <v>169000</v>
      </c>
      <c r="E196" s="4" t="n">
        <v>165500</v>
      </c>
      <c r="F196" s="4" t="n">
        <v>500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1140000</v>
      </c>
      <c r="E197" s="4" t="n">
        <v>1105000</v>
      </c>
      <c r="F197" s="4" t="n">
        <v>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2425</v>
      </c>
      <c r="D198" s="4" t="n">
        <v>2537</v>
      </c>
      <c r="E198" s="4" t="n">
        <v>2481</v>
      </c>
      <c r="F198" s="6" t="n">
        <v>1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22050</v>
      </c>
      <c r="D199" s="4" t="n">
        <v>25550</v>
      </c>
      <c r="E199" s="4" t="n">
        <v>23800</v>
      </c>
      <c r="F199" s="4" t="n">
        <v>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26200</v>
      </c>
      <c r="D200" s="4" t="n">
        <v>30750</v>
      </c>
      <c r="E200" s="4" t="n">
        <v>28475</v>
      </c>
      <c r="F200" s="4" t="n">
        <v>0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16500</v>
      </c>
      <c r="D201" s="4" t="n">
        <v>18000</v>
      </c>
      <c r="E201" s="4" t="n">
        <v>17250</v>
      </c>
      <c r="F201" s="4" t="n">
        <v>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11800</v>
      </c>
      <c r="E202" s="4" t="n">
        <v>11150</v>
      </c>
      <c r="F202" s="4" t="n">
        <v>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17800</v>
      </c>
      <c r="D203" s="4" t="n">
        <v>19000</v>
      </c>
      <c r="E203" s="4" t="n">
        <v>18400</v>
      </c>
      <c r="F203" s="4" t="n">
        <v>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-5000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39000</v>
      </c>
      <c r="D208" s="4" t="n">
        <v>41000</v>
      </c>
      <c r="E208" s="4" t="n">
        <v>40000</v>
      </c>
      <c r="F208" s="4" t="n">
        <v>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2420</v>
      </c>
      <c r="D209" s="4" t="n">
        <v>2530</v>
      </c>
      <c r="E209" s="4" t="n">
        <v>2475</v>
      </c>
      <c r="F209" s="4" t="n">
        <v>125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2445</v>
      </c>
      <c r="D210" s="4" t="n">
        <v>2547</v>
      </c>
      <c r="E210" s="4" t="n">
        <v>2496</v>
      </c>
      <c r="F210" s="6" t="n">
        <v>1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288000</v>
      </c>
      <c r="D212" s="4" t="n">
        <v>295000</v>
      </c>
      <c r="E212" s="4" t="n">
        <v>291500</v>
      </c>
      <c r="F212" s="4" t="n">
        <v>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18.1</v>
      </c>
      <c r="D213" s="6" t="n">
        <v>21.2</v>
      </c>
      <c r="E213" s="6" t="n">
        <v>19.65</v>
      </c>
      <c r="F213" s="6" t="n">
        <v>0.05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17.95</v>
      </c>
      <c r="D214" s="6" t="n">
        <v>21.15</v>
      </c>
      <c r="E214" s="6" t="n">
        <v>19.55</v>
      </c>
      <c r="F214" s="6" t="n">
        <v>0.05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154000</v>
      </c>
      <c r="D215" s="4" t="n">
        <v>167000</v>
      </c>
      <c r="E215" s="4" t="n">
        <v>160500</v>
      </c>
      <c r="F215" s="4" t="n">
        <v>500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146500</v>
      </c>
      <c r="D216" s="4" t="n">
        <v>162500</v>
      </c>
      <c r="E216" s="4" t="n">
        <v>154500</v>
      </c>
      <c r="F216" s="4" t="n">
        <v>500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33400</v>
      </c>
      <c r="D218" s="4" t="n">
        <v>33820</v>
      </c>
      <c r="E218" s="4" t="n">
        <v>33610</v>
      </c>
      <c r="F218" s="4" t="n">
        <v>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166000</v>
      </c>
      <c r="D219" s="4" t="n">
        <v>173000</v>
      </c>
      <c r="E219" s="4" t="n">
        <v>169500</v>
      </c>
      <c r="F219" s="4" t="n">
        <v>500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20.15</v>
      </c>
      <c r="D220" s="6" t="n">
        <v>22.15</v>
      </c>
      <c r="E220" s="6" t="n">
        <v>21.15</v>
      </c>
      <c r="F220" s="6" t="n">
        <v>0.05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20.35</v>
      </c>
      <c r="D221" s="6" t="n">
        <v>22.2</v>
      </c>
      <c r="E221" s="6" t="n">
        <v>21.28</v>
      </c>
      <c r="F221" s="6" t="n">
        <v>0.05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1170000</v>
      </c>
      <c r="E222" s="4" t="n">
        <v>1135000</v>
      </c>
      <c r="F222" s="4" t="n">
        <v>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382000</v>
      </c>
      <c r="D223" s="4" t="n">
        <v>405000</v>
      </c>
      <c r="E223" s="4" t="n">
        <v>393500</v>
      </c>
      <c r="F223" s="4" t="n">
        <v>-3500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34500</v>
      </c>
      <c r="D225" s="4" t="n">
        <v>39000</v>
      </c>
      <c r="E225" s="4" t="n">
        <v>36750</v>
      </c>
      <c r="F225" s="4" t="n">
        <v>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-250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225000</v>
      </c>
      <c r="E227" s="4" t="n">
        <v>217500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59730</v>
      </c>
      <c r="D228" s="4" t="n">
        <v>60330</v>
      </c>
      <c r="E228" s="4" t="n">
        <v>60030</v>
      </c>
      <c r="F228" s="4" t="n">
        <v>220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24.75</v>
      </c>
      <c r="D230" s="6" t="n">
        <v>25.5</v>
      </c>
      <c r="E230" s="6" t="n">
        <v>25.13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-1000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101200</v>
      </c>
      <c r="E234" s="4" t="n">
        <v>99600</v>
      </c>
      <c r="F234" s="4" t="n">
        <v>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8109</v>
      </c>
      <c r="D237" s="4" t="n">
        <v>8490</v>
      </c>
      <c r="E237" s="4" t="n">
        <v>8299.5</v>
      </c>
      <c r="F237" s="6" t="n">
        <v>32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2470</v>
      </c>
      <c r="D238" s="4" t="n">
        <v>2470</v>
      </c>
      <c r="E238" s="4" t="n">
        <v>2470</v>
      </c>
      <c r="F238" s="4" t="n">
        <v>172</v>
      </c>
      <c r="G238" s="5" t="inlineStr">
        <is>
          <t>美元/吨</t>
        </is>
      </c>
      <c r="H238" s="5" t="inlineStr">
        <is>
          <t>SMM</t>
        </is>
      </c>
    </row>
    <row r="240">
      <c r="A240" s="8" t="inlineStr">
        <is>
          <t>当月均价</t>
        </is>
      </c>
      <c r="B240" s="9" t="n"/>
      <c r="C240" s="9" t="n"/>
      <c r="D240" s="9" t="n"/>
      <c r="E240" s="9" t="n"/>
      <c r="F240" s="9" t="n"/>
      <c r="G240" s="9" t="n"/>
      <c r="H240" s="9" t="n"/>
    </row>
    <row r="241">
      <c r="B241" s="2" t="inlineStr">
        <is>
          <t>5系三元前驱体</t>
        </is>
      </c>
      <c r="C241" s="10">
        <f>IFERROR(AVERAGEIFS(C$2:C$238,A$2:A$238,"&gt;="&amp;DATE(YEAR(TODAY()),MONTH(TODAY()),1),A$2:A$238,"&lt;"&amp;DATE(YEAR(TODAY()),MONTH(TODAY())+1,1),B$2:B$238,$B$241),"")</f>
        <v/>
      </c>
      <c r="D241" s="10">
        <f>IFERROR(AVERAGEIFS(D$2:D$238,A$2:A$238,"&gt;="&amp;DATE(YEAR(TODAY()),MONTH(TODAY()),1),A$2:A$238,"&lt;"&amp;DATE(YEAR(TODAY()),MONTH(TODAY())+1,1),B$2:B$238,$B$241),"")</f>
        <v/>
      </c>
      <c r="E241" s="10">
        <f>IFERROR(AVERAGEIFS(E$2:E$238,A$2:A$238,"&gt;="&amp;DATE(YEAR(TODAY()),MONTH(TODAY()),1),A$2:A$238,"&lt;"&amp;DATE(YEAR(TODAY()),MONTH(TODAY())+1,1),B$2:B$238,$B$241),"")</f>
        <v/>
      </c>
      <c r="F241" s="11">
        <f>IFERROR(SUMPRODUCT((YEAR(A$2:A$238)=YEAR(TODAY()))*(MONTH(A$2:A$238)=MONTH(TODAY()))*(B$2:B$238=$B$241)*(F$2:F$238),"")</f>
        <v/>
      </c>
    </row>
    <row r="242">
      <c r="B242" s="2" t="inlineStr">
        <is>
          <t>5系三元材料</t>
        </is>
      </c>
      <c r="C242" s="10">
        <f>IFERROR(AVERAGEIFS(C$2:C$238,A$2:A$238,"&gt;="&amp;DATE(YEAR(TODAY()),MONTH(TODAY()),1),A$2:A$238,"&lt;"&amp;DATE(YEAR(TODAY()),MONTH(TODAY())+1,1),B$2:B$238,$B$242),"")</f>
        <v/>
      </c>
      <c r="D242" s="10">
        <f>IFERROR(AVERAGEIFS(D$2:D$238,A$2:A$238,"&gt;="&amp;DATE(YEAR(TODAY()),MONTH(TODAY()),1),A$2:A$238,"&lt;"&amp;DATE(YEAR(TODAY()),MONTH(TODAY())+1,1),B$2:B$238,$B$242),"")</f>
        <v/>
      </c>
      <c r="E242" s="10">
        <f>IFERROR(AVERAGEIFS(E$2:E$238,A$2:A$238,"&gt;="&amp;DATE(YEAR(TODAY()),MONTH(TODAY()),1),A$2:A$238,"&lt;"&amp;DATE(YEAR(TODAY()),MONTH(TODAY())+1,1),B$2:B$238,$B$242),"")</f>
        <v/>
      </c>
      <c r="F242" s="11">
        <f>IFERROR(SUMPRODUCT((YEAR(A$2:A$238)=YEAR(TODAY()))*(MONTH(A$2:A$238)=MONTH(TODAY()))*(B$2:B$238=$B$242)*(F$2:F$238),"")</f>
        <v/>
      </c>
    </row>
    <row r="243">
      <c r="B243" s="2" t="inlineStr">
        <is>
          <t>6系三元前驱体（单晶/动力型）</t>
        </is>
      </c>
      <c r="C243" s="10">
        <f>IFERROR(AVERAGEIFS(C$2:C$238,A$2:A$238,"&gt;="&amp;DATE(YEAR(TODAY()),MONTH(TODAY()),1),A$2:A$238,"&lt;"&amp;DATE(YEAR(TODAY()),MONTH(TODAY())+1,1),B$2:B$238,$B$243),"")</f>
        <v/>
      </c>
      <c r="D243" s="10">
        <f>IFERROR(AVERAGEIFS(D$2:D$238,A$2:A$238,"&gt;="&amp;DATE(YEAR(TODAY()),MONTH(TODAY()),1),A$2:A$238,"&lt;"&amp;DATE(YEAR(TODAY()),MONTH(TODAY())+1,1),B$2:B$238,$B$243),"")</f>
        <v/>
      </c>
      <c r="E243" s="10">
        <f>IFERROR(AVERAGEIFS(E$2:E$238,A$2:A$238,"&gt;="&amp;DATE(YEAR(TODAY()),MONTH(TODAY()),1),A$2:A$238,"&lt;"&amp;DATE(YEAR(TODAY()),MONTH(TODAY())+1,1),B$2:B$238,$B$243),"")</f>
        <v/>
      </c>
      <c r="F243" s="11">
        <f>IFERROR(SUMPRODUCT((YEAR(A$2:A$238)=YEAR(TODAY()))*(MONTH(A$2:A$238)=MONTH(TODAY()))*(B$2:B$238=$B$243)*(F$2:F$238),"")</f>
        <v/>
      </c>
    </row>
    <row r="244">
      <c r="B244" s="2" t="inlineStr">
        <is>
          <t>6系三元材料（单晶/动力型）</t>
        </is>
      </c>
      <c r="C244" s="10">
        <f>IFERROR(AVERAGEIFS(C$2:C$238,A$2:A$238,"&gt;="&amp;DATE(YEAR(TODAY()),MONTH(TODAY()),1),A$2:A$238,"&lt;"&amp;DATE(YEAR(TODAY()),MONTH(TODAY())+1,1),B$2:B$238,$B$244),"")</f>
        <v/>
      </c>
      <c r="D244" s="10">
        <f>IFERROR(AVERAGEIFS(D$2:D$238,A$2:A$238,"&gt;="&amp;DATE(YEAR(TODAY()),MONTH(TODAY()),1),A$2:A$238,"&lt;"&amp;DATE(YEAR(TODAY()),MONTH(TODAY())+1,1),B$2:B$238,$B$244),"")</f>
        <v/>
      </c>
      <c r="E244" s="10">
        <f>IFERROR(AVERAGEIFS(E$2:E$238,A$2:A$238,"&gt;="&amp;DATE(YEAR(TODAY()),MONTH(TODAY()),1),A$2:A$238,"&lt;"&amp;DATE(YEAR(TODAY()),MONTH(TODAY())+1,1),B$2:B$238,$B$244),"")</f>
        <v/>
      </c>
      <c r="F244" s="11">
        <f>IFERROR(SUMPRODUCT((YEAR(A$2:A$238)=YEAR(TODAY()))*(MONTH(A$2:A$238)=MONTH(TODAY()))*(B$2:B$238=$B$244)*(F$2:F$238),"")</f>
        <v/>
      </c>
    </row>
    <row r="245">
      <c r="B245" s="2" t="inlineStr">
        <is>
          <t>8系三元前驱体（多晶/动力型）</t>
        </is>
      </c>
      <c r="C245" s="10">
        <f>IFERROR(AVERAGEIFS(C$2:C$238,A$2:A$238,"&gt;="&amp;DATE(YEAR(TODAY()),MONTH(TODAY()),1),A$2:A$238,"&lt;"&amp;DATE(YEAR(TODAY()),MONTH(TODAY())+1,1),B$2:B$238,$B$245),"")</f>
        <v/>
      </c>
      <c r="D245" s="10">
        <f>IFERROR(AVERAGEIFS(D$2:D$238,A$2:A$238,"&gt;="&amp;DATE(YEAR(TODAY()),MONTH(TODAY()),1),A$2:A$238,"&lt;"&amp;DATE(YEAR(TODAY()),MONTH(TODAY())+1,1),B$2:B$238,$B$245),"")</f>
        <v/>
      </c>
      <c r="E245" s="10">
        <f>IFERROR(AVERAGEIFS(E$2:E$238,A$2:A$238,"&gt;="&amp;DATE(YEAR(TODAY()),MONTH(TODAY()),1),A$2:A$238,"&lt;"&amp;DATE(YEAR(TODAY()),MONTH(TODAY())+1,1),B$2:B$238,$B$245),"")</f>
        <v/>
      </c>
      <c r="F245" s="11">
        <f>IFERROR(SUMPRODUCT((YEAR(A$2:A$238)=YEAR(TODAY()))*(MONTH(A$2:A$238)=MONTH(TODAY()))*(B$2:B$238=$B$245)*(F$2:F$238),"")</f>
        <v/>
      </c>
    </row>
    <row r="246">
      <c r="B246" s="2" t="inlineStr">
        <is>
          <t>8系三元材料</t>
        </is>
      </c>
      <c r="C246" s="10">
        <f>IFERROR(AVERAGEIFS(C$2:C$238,A$2:A$238,"&gt;="&amp;DATE(YEAR(TODAY()),MONTH(TODAY()),1),A$2:A$238,"&lt;"&amp;DATE(YEAR(TODAY()),MONTH(TODAY())+1,1),B$2:B$238,$B$246),"")</f>
        <v/>
      </c>
      <c r="D246" s="10">
        <f>IFERROR(AVERAGEIFS(D$2:D$238,A$2:A$238,"&gt;="&amp;DATE(YEAR(TODAY()),MONTH(TODAY()),1),A$2:A$238,"&lt;"&amp;DATE(YEAR(TODAY()),MONTH(TODAY())+1,1),B$2:B$238,$B$246),"")</f>
        <v/>
      </c>
      <c r="E246" s="10">
        <f>IFERROR(AVERAGEIFS(E$2:E$238,A$2:A$238,"&gt;="&amp;DATE(YEAR(TODAY()),MONTH(TODAY()),1),A$2:A$238,"&lt;"&amp;DATE(YEAR(TODAY()),MONTH(TODAY())+1,1),B$2:B$238,$B$246),"")</f>
        <v/>
      </c>
      <c r="F246" s="11">
        <f>IFERROR(SUMPRODUCT((YEAR(A$2:A$238)=YEAR(TODAY()))*(MONTH(A$2:A$238)=MONTH(TODAY()))*(B$2:B$238=$B$246)*(F$2:F$238),"")</f>
        <v/>
      </c>
    </row>
    <row r="247">
      <c r="B247" s="2" t="inlineStr">
        <is>
          <t>MHP系数（对SMM电池级硫酸镍指数）</t>
        </is>
      </c>
      <c r="C247" s="10">
        <f>IFERROR(AVERAGEIFS(C$2:C$238,A$2:A$238,"&gt;="&amp;DATE(YEAR(TODAY()),MONTH(TODAY()),1),A$2:A$238,"&lt;"&amp;DATE(YEAR(TODAY()),MONTH(TODAY())+1,1),B$2:B$238,$B$247),"")</f>
        <v/>
      </c>
      <c r="D247" s="10">
        <f>IFERROR(AVERAGEIFS(D$2:D$238,A$2:A$238,"&gt;="&amp;DATE(YEAR(TODAY()),MONTH(TODAY()),1),A$2:A$238,"&lt;"&amp;DATE(YEAR(TODAY()),MONTH(TODAY())+1,1),B$2:B$238,$B$247),"")</f>
        <v/>
      </c>
      <c r="E247" s="10">
        <f>IFERROR(AVERAGEIFS(E$2:E$238,A$2:A$238,"&gt;="&amp;DATE(YEAR(TODAY()),MONTH(TODAY()),1),A$2:A$238,"&lt;"&amp;DATE(YEAR(TODAY()),MONTH(TODAY())+1,1),B$2:B$238,$B$247),"")</f>
        <v/>
      </c>
      <c r="F247" s="11">
        <f>IFERROR(SUMPRODUCT((YEAR(A$2:A$238)=YEAR(TODAY()))*(MONTH(A$2:A$238)=MONTH(TODAY()))*(B$2:B$238=$B$247)*(F$2:F$238),"")</f>
        <v/>
      </c>
    </row>
    <row r="248">
      <c r="B248" s="2" t="inlineStr">
        <is>
          <t>MHP钴元素计价系数（对SMM硫酸钴均价）</t>
        </is>
      </c>
      <c r="C248" s="10">
        <f>IFERROR(AVERAGEIFS(C$2:C$238,A$2:A$238,"&gt;="&amp;DATE(YEAR(TODAY()),MONTH(TODAY()),1),A$2:A$238,"&lt;"&amp;DATE(YEAR(TODAY()),MONTH(TODAY())+1,1),B$2:B$238,$B$248),"")</f>
        <v/>
      </c>
      <c r="D248" s="10">
        <f>IFERROR(AVERAGEIFS(D$2:D$238,A$2:A$238,"&gt;="&amp;DATE(YEAR(TODAY()),MONTH(TODAY()),1),A$2:A$238,"&lt;"&amp;DATE(YEAR(TODAY()),MONTH(TODAY())+1,1),B$2:B$238,$B$248),"")</f>
        <v/>
      </c>
      <c r="E248" s="10">
        <f>IFERROR(AVERAGEIFS(E$2:E$238,A$2:A$238,"&gt;="&amp;DATE(YEAR(TODAY()),MONTH(TODAY()),1),A$2:A$238,"&lt;"&amp;DATE(YEAR(TODAY()),MONTH(TODAY())+1,1),B$2:B$238,$B$248),"")</f>
        <v/>
      </c>
      <c r="F248" s="11">
        <f>IFERROR(SUMPRODUCT((YEAR(A$2:A$238)=YEAR(TODAY()))*(MONTH(A$2:A$238)=MONTH(TODAY()))*(B$2:B$238=$B$248)*(F$2:F$238),"")</f>
        <v/>
      </c>
    </row>
    <row r="249">
      <c r="B249" s="2" t="inlineStr">
        <is>
          <t>NCA三元材料</t>
        </is>
      </c>
      <c r="C249" s="10">
        <f>IFERROR(AVERAGEIFS(C$2:C$238,A$2:A$238,"&gt;="&amp;DATE(YEAR(TODAY()),MONTH(TODAY()),1),A$2:A$238,"&lt;"&amp;DATE(YEAR(TODAY()),MONTH(TODAY())+1,1),B$2:B$238,$B$249),"")</f>
        <v/>
      </c>
      <c r="D249" s="10">
        <f>IFERROR(AVERAGEIFS(D$2:D$238,A$2:A$238,"&gt;="&amp;DATE(YEAR(TODAY()),MONTH(TODAY()),1),A$2:A$238,"&lt;"&amp;DATE(YEAR(TODAY()),MONTH(TODAY())+1,1),B$2:B$238,$B$249),"")</f>
        <v/>
      </c>
      <c r="E249" s="10">
        <f>IFERROR(AVERAGEIFS(E$2:E$238,A$2:A$238,"&gt;="&amp;DATE(YEAR(TODAY()),MONTH(TODAY()),1),A$2:A$238,"&lt;"&amp;DATE(YEAR(TODAY()),MONTH(TODAY())+1,1),B$2:B$238,$B$249),"")</f>
        <v/>
      </c>
      <c r="F249" s="11">
        <f>IFERROR(SUMPRODUCT((YEAR(A$2:A$238)=YEAR(TODAY()))*(MONTH(A$2:A$238)=MONTH(TODAY()))*(B$2:B$238=$B$249)*(F$2:F$238),"")</f>
        <v/>
      </c>
    </row>
    <row r="250">
      <c r="B250" s="2" t="inlineStr">
        <is>
          <t>SMM三元极片粉钴系数指数</t>
        </is>
      </c>
      <c r="C250" s="10">
        <f>IFERROR(AVERAGEIFS(C$2:C$238,A$2:A$238,"&gt;="&amp;DATE(YEAR(TODAY()),MONTH(TODAY()),1),A$2:A$238,"&lt;"&amp;DATE(YEAR(TODAY()),MONTH(TODAY())+1,1),B$2:B$238,$B$250),"")</f>
        <v/>
      </c>
      <c r="D250" s="10">
        <f>IFERROR(AVERAGEIFS(D$2:D$238,A$2:A$238,"&gt;="&amp;DATE(YEAR(TODAY()),MONTH(TODAY()),1),A$2:A$238,"&lt;"&amp;DATE(YEAR(TODAY()),MONTH(TODAY())+1,1),B$2:B$238,$B$250),"")</f>
        <v/>
      </c>
      <c r="E250" s="10">
        <f>IFERROR(AVERAGEIFS(E$2:E$238,A$2:A$238,"&gt;="&amp;DATE(YEAR(TODAY()),MONTH(TODAY()),1),A$2:A$238,"&lt;"&amp;DATE(YEAR(TODAY()),MONTH(TODAY())+1,1),B$2:B$238,$B$250),"")</f>
        <v/>
      </c>
      <c r="F250" s="11">
        <f>IFERROR(SUMPRODUCT((YEAR(A$2:A$238)=YEAR(TODAY()))*(MONTH(A$2:A$238)=MONTH(TODAY()))*(B$2:B$238=$B$250)*(F$2:F$238),"")</f>
        <v/>
      </c>
    </row>
    <row r="251">
      <c r="B251" s="2" t="inlineStr">
        <is>
          <t>SMM三元极片粉锂系数指数</t>
        </is>
      </c>
      <c r="C251" s="10">
        <f>IFERROR(AVERAGEIFS(C$2:C$238,A$2:A$238,"&gt;="&amp;DATE(YEAR(TODAY()),MONTH(TODAY()),1),A$2:A$238,"&lt;"&amp;DATE(YEAR(TODAY()),MONTH(TODAY())+1,1),B$2:B$238,$B$251),"")</f>
        <v/>
      </c>
      <c r="D251" s="10">
        <f>IFERROR(AVERAGEIFS(D$2:D$238,A$2:A$238,"&gt;="&amp;DATE(YEAR(TODAY()),MONTH(TODAY()),1),A$2:A$238,"&lt;"&amp;DATE(YEAR(TODAY()),MONTH(TODAY())+1,1),B$2:B$238,$B$251),"")</f>
        <v/>
      </c>
      <c r="E251" s="10">
        <f>IFERROR(AVERAGEIFS(E$2:E$238,A$2:A$238,"&gt;="&amp;DATE(YEAR(TODAY()),MONTH(TODAY()),1),A$2:A$238,"&lt;"&amp;DATE(YEAR(TODAY()),MONTH(TODAY())+1,1),B$2:B$238,$B$251),"")</f>
        <v/>
      </c>
      <c r="F251" s="11">
        <f>IFERROR(SUMPRODUCT((YEAR(A$2:A$238)=YEAR(TODAY()))*(MONTH(A$2:A$238)=MONTH(TODAY()))*(B$2:B$238=$B$251)*(F$2:F$238),"")</f>
        <v/>
      </c>
    </row>
    <row r="252">
      <c r="B252" s="2" t="inlineStr">
        <is>
          <t>SMM三元极片粉镍系数指数</t>
        </is>
      </c>
      <c r="C252" s="10">
        <f>IFERROR(AVERAGEIFS(C$2:C$238,A$2:A$238,"&gt;="&amp;DATE(YEAR(TODAY()),MONTH(TODAY()),1),A$2:A$238,"&lt;"&amp;DATE(YEAR(TODAY()),MONTH(TODAY())+1,1),B$2:B$238,$B$252),"")</f>
        <v/>
      </c>
      <c r="D252" s="10">
        <f>IFERROR(AVERAGEIFS(D$2:D$238,A$2:A$238,"&gt;="&amp;DATE(YEAR(TODAY()),MONTH(TODAY()),1),A$2:A$238,"&lt;"&amp;DATE(YEAR(TODAY()),MONTH(TODAY())+1,1),B$2:B$238,$B$252),"")</f>
        <v/>
      </c>
      <c r="E252" s="10">
        <f>IFERROR(AVERAGEIFS(E$2:E$238,A$2:A$238,"&gt;="&amp;DATE(YEAR(TODAY()),MONTH(TODAY()),1),A$2:A$238,"&lt;"&amp;DATE(YEAR(TODAY()),MONTH(TODAY())+1,1),B$2:B$238,$B$252),"")</f>
        <v/>
      </c>
      <c r="F252" s="11">
        <f>IFERROR(SUMPRODUCT((YEAR(A$2:A$238)=YEAR(TODAY()))*(MONTH(A$2:A$238)=MONTH(TODAY()))*(B$2:B$238=$B$252)*(F$2:F$238),"")</f>
        <v/>
      </c>
    </row>
    <row r="253">
      <c r="B253" s="2" t="inlineStr">
        <is>
          <t>SMM三元电池粉钴系数指数</t>
        </is>
      </c>
      <c r="C253" s="10">
        <f>IFERROR(AVERAGEIFS(C$2:C$238,A$2:A$238,"&gt;="&amp;DATE(YEAR(TODAY()),MONTH(TODAY()),1),A$2:A$238,"&lt;"&amp;DATE(YEAR(TODAY()),MONTH(TODAY())+1,1),B$2:B$238,$B$253),"")</f>
        <v/>
      </c>
      <c r="D253" s="10">
        <f>IFERROR(AVERAGEIFS(D$2:D$238,A$2:A$238,"&gt;="&amp;DATE(YEAR(TODAY()),MONTH(TODAY()),1),A$2:A$238,"&lt;"&amp;DATE(YEAR(TODAY()),MONTH(TODAY())+1,1),B$2:B$238,$B$253),"")</f>
        <v/>
      </c>
      <c r="E253" s="10">
        <f>IFERROR(AVERAGEIFS(E$2:E$238,A$2:A$238,"&gt;="&amp;DATE(YEAR(TODAY()),MONTH(TODAY()),1),A$2:A$238,"&lt;"&amp;DATE(YEAR(TODAY()),MONTH(TODAY())+1,1),B$2:B$238,$B$253),"")</f>
        <v/>
      </c>
      <c r="F253" s="11">
        <f>IFERROR(SUMPRODUCT((YEAR(A$2:A$238)=YEAR(TODAY()))*(MONTH(A$2:A$238)=MONTH(TODAY()))*(B$2:B$238=$B$253)*(F$2:F$238),"")</f>
        <v/>
      </c>
    </row>
    <row r="254">
      <c r="B254" s="2" t="inlineStr">
        <is>
          <t>SMM三元电池粉锂系数指数</t>
        </is>
      </c>
      <c r="C254" s="10">
        <f>IFERROR(AVERAGEIFS(C$2:C$238,A$2:A$238,"&gt;="&amp;DATE(YEAR(TODAY()),MONTH(TODAY()),1),A$2:A$238,"&lt;"&amp;DATE(YEAR(TODAY()),MONTH(TODAY())+1,1),B$2:B$238,$B$254),"")</f>
        <v/>
      </c>
      <c r="D254" s="10">
        <f>IFERROR(AVERAGEIFS(D$2:D$238,A$2:A$238,"&gt;="&amp;DATE(YEAR(TODAY()),MONTH(TODAY()),1),A$2:A$238,"&lt;"&amp;DATE(YEAR(TODAY()),MONTH(TODAY())+1,1),B$2:B$238,$B$254),"")</f>
        <v/>
      </c>
      <c r="E254" s="10">
        <f>IFERROR(AVERAGEIFS(E$2:E$238,A$2:A$238,"&gt;="&amp;DATE(YEAR(TODAY()),MONTH(TODAY()),1),A$2:A$238,"&lt;"&amp;DATE(YEAR(TODAY()),MONTH(TODAY())+1,1),B$2:B$238,$B$254),"")</f>
        <v/>
      </c>
      <c r="F254" s="11">
        <f>IFERROR(SUMPRODUCT((YEAR(A$2:A$238)=YEAR(TODAY()))*(MONTH(A$2:A$238)=MONTH(TODAY()))*(B$2:B$238=$B$254)*(F$2:F$238),"")</f>
        <v/>
      </c>
    </row>
    <row r="255">
      <c r="B255" s="2" t="inlineStr">
        <is>
          <t>SMM三元电池粉镍系数指数</t>
        </is>
      </c>
      <c r="C255" s="10">
        <f>IFERROR(AVERAGEIFS(C$2:C$238,A$2:A$238,"&gt;="&amp;DATE(YEAR(TODAY()),MONTH(TODAY()),1),A$2:A$238,"&lt;"&amp;DATE(YEAR(TODAY()),MONTH(TODAY())+1,1),B$2:B$238,$B$255),"")</f>
        <v/>
      </c>
      <c r="D255" s="10">
        <f>IFERROR(AVERAGEIFS(D$2:D$238,A$2:A$238,"&gt;="&amp;DATE(YEAR(TODAY()),MONTH(TODAY()),1),A$2:A$238,"&lt;"&amp;DATE(YEAR(TODAY()),MONTH(TODAY())+1,1),B$2:B$238,$B$255),"")</f>
        <v/>
      </c>
      <c r="E255" s="10">
        <f>IFERROR(AVERAGEIFS(E$2:E$238,A$2:A$238,"&gt;="&amp;DATE(YEAR(TODAY()),MONTH(TODAY()),1),A$2:A$238,"&lt;"&amp;DATE(YEAR(TODAY()),MONTH(TODAY())+1,1),B$2:B$238,$B$255),"")</f>
        <v/>
      </c>
      <c r="F255" s="11">
        <f>IFERROR(SUMPRODUCT((YEAR(A$2:A$238)=YEAR(TODAY()))*(MONTH(A$2:A$238)=MONTH(TODAY()))*(B$2:B$238=$B$255)*(F$2:F$238),"")</f>
        <v/>
      </c>
    </row>
    <row r="256">
      <c r="B256" s="2" t="inlineStr">
        <is>
          <t>SMM六氟磷酸锂指数</t>
        </is>
      </c>
      <c r="C256" s="10">
        <f>IFERROR(AVERAGEIFS(C$2:C$238,A$2:A$238,"&gt;="&amp;DATE(YEAR(TODAY()),MONTH(TODAY()),1),A$2:A$238,"&lt;"&amp;DATE(YEAR(TODAY()),MONTH(TODAY())+1,1),B$2:B$238,$B$256),"")</f>
        <v/>
      </c>
      <c r="D256" s="10">
        <f>IFERROR(AVERAGEIFS(D$2:D$238,A$2:A$238,"&gt;="&amp;DATE(YEAR(TODAY()),MONTH(TODAY()),1),A$2:A$238,"&lt;"&amp;DATE(YEAR(TODAY()),MONTH(TODAY())+1,1),B$2:B$238,$B$256),"")</f>
        <v/>
      </c>
      <c r="E256" s="10">
        <f>IFERROR(AVERAGEIFS(E$2:E$238,A$2:A$238,"&gt;="&amp;DATE(YEAR(TODAY()),MONTH(TODAY()),1),A$2:A$238,"&lt;"&amp;DATE(YEAR(TODAY()),MONTH(TODAY())+1,1),B$2:B$238,$B$256),"")</f>
        <v/>
      </c>
      <c r="F256" s="11">
        <f>IFERROR(SUMPRODUCT((YEAR(A$2:A$238)=YEAR(TODAY()))*(MONTH(A$2:A$238)=MONTH(TODAY()))*(B$2:B$238=$B$256)*(F$2:F$238),"")</f>
        <v/>
      </c>
    </row>
    <row r="257">
      <c r="B257" s="2" t="inlineStr">
        <is>
          <t>SMM电池级氢氧化锂指数</t>
        </is>
      </c>
      <c r="C257" s="10">
        <f>IFERROR(AVERAGEIFS(C$2:C$238,A$2:A$238,"&gt;="&amp;DATE(YEAR(TODAY()),MONTH(TODAY()),1),A$2:A$238,"&lt;"&amp;DATE(YEAR(TODAY()),MONTH(TODAY())+1,1),B$2:B$238,$B$257),"")</f>
        <v/>
      </c>
      <c r="D257" s="10">
        <f>IFERROR(AVERAGEIFS(D$2:D$238,A$2:A$238,"&gt;="&amp;DATE(YEAR(TODAY()),MONTH(TODAY()),1),A$2:A$238,"&lt;"&amp;DATE(YEAR(TODAY()),MONTH(TODAY())+1,1),B$2:B$238,$B$257),"")</f>
        <v/>
      </c>
      <c r="E257" s="10">
        <f>IFERROR(AVERAGEIFS(E$2:E$238,A$2:A$238,"&gt;="&amp;DATE(YEAR(TODAY()),MONTH(TODAY()),1),A$2:A$238,"&lt;"&amp;DATE(YEAR(TODAY()),MONTH(TODAY())+1,1),B$2:B$238,$B$257),"")</f>
        <v/>
      </c>
      <c r="F257" s="11">
        <f>IFERROR(SUMPRODUCT((YEAR(A$2:A$238)=YEAR(TODAY()))*(MONTH(A$2:A$238)=MONTH(TODAY()))*(B$2:B$238=$B$257)*(F$2:F$238),"")</f>
        <v/>
      </c>
    </row>
    <row r="258">
      <c r="B258" s="2" t="inlineStr">
        <is>
          <t>SMM电池级硫酸锰指数</t>
        </is>
      </c>
      <c r="C258" s="10">
        <f>IFERROR(AVERAGEIFS(C$2:C$238,A$2:A$238,"&gt;="&amp;DATE(YEAR(TODAY()),MONTH(TODAY()),1),A$2:A$238,"&lt;"&amp;DATE(YEAR(TODAY()),MONTH(TODAY())+1,1),B$2:B$238,$B$258),"")</f>
        <v/>
      </c>
      <c r="D258" s="10">
        <f>IFERROR(AVERAGEIFS(D$2:D$238,A$2:A$238,"&gt;="&amp;DATE(YEAR(TODAY()),MONTH(TODAY()),1),A$2:A$238,"&lt;"&amp;DATE(YEAR(TODAY()),MONTH(TODAY())+1,1),B$2:B$238,$B$258),"")</f>
        <v/>
      </c>
      <c r="E258" s="10">
        <f>IFERROR(AVERAGEIFS(E$2:E$238,A$2:A$238,"&gt;="&amp;DATE(YEAR(TODAY()),MONTH(TODAY()),1),A$2:A$238,"&lt;"&amp;DATE(YEAR(TODAY()),MONTH(TODAY())+1,1),B$2:B$238,$B$258),"")</f>
        <v/>
      </c>
      <c r="F258" s="11">
        <f>IFERROR(SUMPRODUCT((YEAR(A$2:A$238)=YEAR(TODAY()))*(MONTH(A$2:A$238)=MONTH(TODAY()))*(B$2:B$238=$B$258)*(F$2:F$238),"")</f>
        <v/>
      </c>
    </row>
    <row r="259">
      <c r="B259" s="2" t="inlineStr">
        <is>
          <t>SMM电池级硫酸镍指数</t>
        </is>
      </c>
      <c r="C259" s="10">
        <f>IFERROR(AVERAGEIFS(C$2:C$238,A$2:A$238,"&gt;="&amp;DATE(YEAR(TODAY()),MONTH(TODAY()),1),A$2:A$238,"&lt;"&amp;DATE(YEAR(TODAY()),MONTH(TODAY())+1,1),B$2:B$238,$B$259),"")</f>
        <v/>
      </c>
      <c r="D259" s="10">
        <f>IFERROR(AVERAGEIFS(D$2:D$238,A$2:A$238,"&gt;="&amp;DATE(YEAR(TODAY()),MONTH(TODAY()),1),A$2:A$238,"&lt;"&amp;DATE(YEAR(TODAY()),MONTH(TODAY())+1,1),B$2:B$238,$B$259),"")</f>
        <v/>
      </c>
      <c r="E259" s="10">
        <f>IFERROR(AVERAGEIFS(E$2:E$238,A$2:A$238,"&gt;="&amp;DATE(YEAR(TODAY()),MONTH(TODAY()),1),A$2:A$238,"&lt;"&amp;DATE(YEAR(TODAY()),MONTH(TODAY())+1,1),B$2:B$238,$B$259),"")</f>
        <v/>
      </c>
      <c r="F259" s="11">
        <f>IFERROR(SUMPRODUCT((YEAR(A$2:A$238)=YEAR(TODAY()))*(MONTH(A$2:A$238)=MONTH(TODAY()))*(B$2:B$238=$B$259)*(F$2:F$238),"")</f>
        <v/>
      </c>
    </row>
    <row r="260">
      <c r="B260" s="2" t="inlineStr">
        <is>
          <t>SMM电池级碳酸锂指数</t>
        </is>
      </c>
      <c r="C260" s="10">
        <f>IFERROR(AVERAGEIFS(C$2:C$238,A$2:A$238,"&gt;="&amp;DATE(YEAR(TODAY()),MONTH(TODAY()),1),A$2:A$238,"&lt;"&amp;DATE(YEAR(TODAY()),MONTH(TODAY())+1,1),B$2:B$238,$B$260),"")</f>
        <v/>
      </c>
      <c r="D260" s="10">
        <f>IFERROR(AVERAGEIFS(D$2:D$238,A$2:A$238,"&gt;="&amp;DATE(YEAR(TODAY()),MONTH(TODAY()),1),A$2:A$238,"&lt;"&amp;DATE(YEAR(TODAY()),MONTH(TODAY())+1,1),B$2:B$238,$B$260),"")</f>
        <v/>
      </c>
      <c r="E260" s="10">
        <f>IFERROR(AVERAGEIFS(E$2:E$238,A$2:A$238,"&gt;="&amp;DATE(YEAR(TODAY()),MONTH(TODAY()),1),A$2:A$238,"&lt;"&amp;DATE(YEAR(TODAY()),MONTH(TODAY())+1,1),B$2:B$238,$B$260),"")</f>
        <v/>
      </c>
      <c r="F260" s="11">
        <f>IFERROR(SUMPRODUCT((YEAR(A$2:A$238)=YEAR(TODAY()))*(MONTH(A$2:A$238)=MONTH(TODAY()))*(B$2:B$238=$B$260)*(F$2:F$238),"")</f>
        <v/>
      </c>
    </row>
    <row r="261">
      <c r="B261" s="2" t="inlineStr">
        <is>
          <t>SMM硫酸钴指数</t>
        </is>
      </c>
      <c r="C261" s="10">
        <f>IFERROR(AVERAGEIFS(C$2:C$238,A$2:A$238,"&gt;="&amp;DATE(YEAR(TODAY()),MONTH(TODAY()),1),A$2:A$238,"&lt;"&amp;DATE(YEAR(TODAY()),MONTH(TODAY())+1,1),B$2:B$238,$B$261),"")</f>
        <v/>
      </c>
      <c r="D261" s="10">
        <f>IFERROR(AVERAGEIFS(D$2:D$238,A$2:A$238,"&gt;="&amp;DATE(YEAR(TODAY()),MONTH(TODAY()),1),A$2:A$238,"&lt;"&amp;DATE(YEAR(TODAY()),MONTH(TODAY())+1,1),B$2:B$238,$B$261),"")</f>
        <v/>
      </c>
      <c r="E261" s="10">
        <f>IFERROR(AVERAGEIFS(E$2:E$238,A$2:A$238,"&gt;="&amp;DATE(YEAR(TODAY()),MONTH(TODAY()),1),A$2:A$238,"&lt;"&amp;DATE(YEAR(TODAY()),MONTH(TODAY())+1,1),B$2:B$238,$B$261),"")</f>
        <v/>
      </c>
      <c r="F261" s="11">
        <f>IFERROR(SUMPRODUCT((YEAR(A$2:A$238)=YEAR(TODAY()))*(MONTH(A$2:A$238)=MONTH(TODAY()))*(B$2:B$238=$B$261)*(F$2:F$238),"")</f>
        <v/>
      </c>
    </row>
    <row r="262">
      <c r="B262" s="2" t="inlineStr">
        <is>
          <t>SMM磷酸铁锂极片粉指数</t>
        </is>
      </c>
      <c r="C262" s="10">
        <f>IFERROR(AVERAGEIFS(C$2:C$238,A$2:A$238,"&gt;="&amp;DATE(YEAR(TODAY()),MONTH(TODAY()),1),A$2:A$238,"&lt;"&amp;DATE(YEAR(TODAY()),MONTH(TODAY())+1,1),B$2:B$238,$B$262),"")</f>
        <v/>
      </c>
      <c r="D262" s="10">
        <f>IFERROR(AVERAGEIFS(D$2:D$238,A$2:A$238,"&gt;="&amp;DATE(YEAR(TODAY()),MONTH(TODAY()),1),A$2:A$238,"&lt;"&amp;DATE(YEAR(TODAY()),MONTH(TODAY())+1,1),B$2:B$238,$B$262),"")</f>
        <v/>
      </c>
      <c r="E262" s="10">
        <f>IFERROR(AVERAGEIFS(E$2:E$238,A$2:A$238,"&gt;="&amp;DATE(YEAR(TODAY()),MONTH(TODAY()),1),A$2:A$238,"&lt;"&amp;DATE(YEAR(TODAY()),MONTH(TODAY())+1,1),B$2:B$238,$B$262),"")</f>
        <v/>
      </c>
      <c r="F262" s="11">
        <f>IFERROR(SUMPRODUCT((YEAR(A$2:A$238)=YEAR(TODAY()))*(MONTH(A$2:A$238)=MONTH(TODAY()))*(B$2:B$238=$B$262)*(F$2:F$238),"")</f>
        <v/>
      </c>
    </row>
    <row r="263">
      <c r="B263" s="2" t="inlineStr">
        <is>
          <t>SMM磷酸铁锂电池粉指数</t>
        </is>
      </c>
      <c r="C263" s="10">
        <f>IFERROR(AVERAGEIFS(C$2:C$238,A$2:A$238,"&gt;="&amp;DATE(YEAR(TODAY()),MONTH(TODAY()),1),A$2:A$238,"&lt;"&amp;DATE(YEAR(TODAY()),MONTH(TODAY())+1,1),B$2:B$238,$B$263),"")</f>
        <v/>
      </c>
      <c r="D263" s="10">
        <f>IFERROR(AVERAGEIFS(D$2:D$238,A$2:A$238,"&gt;="&amp;DATE(YEAR(TODAY()),MONTH(TODAY()),1),A$2:A$238,"&lt;"&amp;DATE(YEAR(TODAY()),MONTH(TODAY())+1,1),B$2:B$238,$B$263),"")</f>
        <v/>
      </c>
      <c r="E263" s="10">
        <f>IFERROR(AVERAGEIFS(E$2:E$238,A$2:A$238,"&gt;="&amp;DATE(YEAR(TODAY()),MONTH(TODAY()),1),A$2:A$238,"&lt;"&amp;DATE(YEAR(TODAY()),MONTH(TODAY())+1,1),B$2:B$238,$B$263),"")</f>
        <v/>
      </c>
      <c r="F263" s="11">
        <f>IFERROR(SUMPRODUCT((YEAR(A$2:A$238)=YEAR(TODAY()))*(MONTH(A$2:A$238)=MONTH(TODAY()))*(B$2:B$238=$B$263)*(F$2:F$238),"")</f>
        <v/>
      </c>
    </row>
    <row r="264">
      <c r="B264" s="2" t="inlineStr">
        <is>
          <t>SMM钴酸锂极片粉钴系数指数</t>
        </is>
      </c>
      <c r="C264" s="10">
        <f>IFERROR(AVERAGEIFS(C$2:C$238,A$2:A$238,"&gt;="&amp;DATE(YEAR(TODAY()),MONTH(TODAY()),1),A$2:A$238,"&lt;"&amp;DATE(YEAR(TODAY()),MONTH(TODAY())+1,1),B$2:B$238,$B$264),"")</f>
        <v/>
      </c>
      <c r="D264" s="10">
        <f>IFERROR(AVERAGEIFS(D$2:D$238,A$2:A$238,"&gt;="&amp;DATE(YEAR(TODAY()),MONTH(TODAY()),1),A$2:A$238,"&lt;"&amp;DATE(YEAR(TODAY()),MONTH(TODAY())+1,1),B$2:B$238,$B$264),"")</f>
        <v/>
      </c>
      <c r="E264" s="10">
        <f>IFERROR(AVERAGEIFS(E$2:E$238,A$2:A$238,"&gt;="&amp;DATE(YEAR(TODAY()),MONTH(TODAY()),1),A$2:A$238,"&lt;"&amp;DATE(YEAR(TODAY()),MONTH(TODAY())+1,1),B$2:B$238,$B$264),"")</f>
        <v/>
      </c>
      <c r="F264" s="11">
        <f>IFERROR(SUMPRODUCT((YEAR(A$2:A$238)=YEAR(TODAY()))*(MONTH(A$2:A$238)=MONTH(TODAY()))*(B$2:B$238=$B$264)*(F$2:F$238),"")</f>
        <v/>
      </c>
    </row>
    <row r="265">
      <c r="B265" s="2" t="inlineStr">
        <is>
          <t>SMM钴酸锂极片粉锂系数指数</t>
        </is>
      </c>
      <c r="C265" s="10">
        <f>IFERROR(AVERAGEIFS(C$2:C$238,A$2:A$238,"&gt;="&amp;DATE(YEAR(TODAY()),MONTH(TODAY()),1),A$2:A$238,"&lt;"&amp;DATE(YEAR(TODAY()),MONTH(TODAY())+1,1),B$2:B$238,$B$265),"")</f>
        <v/>
      </c>
      <c r="D265" s="10">
        <f>IFERROR(AVERAGEIFS(D$2:D$238,A$2:A$238,"&gt;="&amp;DATE(YEAR(TODAY()),MONTH(TODAY()),1),A$2:A$238,"&lt;"&amp;DATE(YEAR(TODAY()),MONTH(TODAY())+1,1),B$2:B$238,$B$265),"")</f>
        <v/>
      </c>
      <c r="E265" s="10">
        <f>IFERROR(AVERAGEIFS(E$2:E$238,A$2:A$238,"&gt;="&amp;DATE(YEAR(TODAY()),MONTH(TODAY()),1),A$2:A$238,"&lt;"&amp;DATE(YEAR(TODAY()),MONTH(TODAY())+1,1),B$2:B$238,$B$265),"")</f>
        <v/>
      </c>
      <c r="F265" s="11">
        <f>IFERROR(SUMPRODUCT((YEAR(A$2:A$238)=YEAR(TODAY()))*(MONTH(A$2:A$238)=MONTH(TODAY()))*(B$2:B$238=$B$265)*(F$2:F$238),"")</f>
        <v/>
      </c>
    </row>
    <row r="266">
      <c r="B266" s="2" t="inlineStr">
        <is>
          <t>SMM钴酸锂电池粉钴系数指数</t>
        </is>
      </c>
      <c r="C266" s="10">
        <f>IFERROR(AVERAGEIFS(C$2:C$238,A$2:A$238,"&gt;="&amp;DATE(YEAR(TODAY()),MONTH(TODAY()),1),A$2:A$238,"&lt;"&amp;DATE(YEAR(TODAY()),MONTH(TODAY())+1,1),B$2:B$238,$B$266),"")</f>
        <v/>
      </c>
      <c r="D266" s="10">
        <f>IFERROR(AVERAGEIFS(D$2:D$238,A$2:A$238,"&gt;="&amp;DATE(YEAR(TODAY()),MONTH(TODAY()),1),A$2:A$238,"&lt;"&amp;DATE(YEAR(TODAY()),MONTH(TODAY())+1,1),B$2:B$238,$B$266),"")</f>
        <v/>
      </c>
      <c r="E266" s="10">
        <f>IFERROR(AVERAGEIFS(E$2:E$238,A$2:A$238,"&gt;="&amp;DATE(YEAR(TODAY()),MONTH(TODAY()),1),A$2:A$238,"&lt;"&amp;DATE(YEAR(TODAY()),MONTH(TODAY())+1,1),B$2:B$238,$B$266),"")</f>
        <v/>
      </c>
      <c r="F266" s="11">
        <f>IFERROR(SUMPRODUCT((YEAR(A$2:A$238)=YEAR(TODAY()))*(MONTH(A$2:A$238)=MONTH(TODAY()))*(B$2:B$238=$B$266)*(F$2:F$238),"")</f>
        <v/>
      </c>
    </row>
    <row r="267">
      <c r="B267" s="2" t="inlineStr">
        <is>
          <t>SMM钴酸锂电池粉锂系数指数</t>
        </is>
      </c>
      <c r="C267" s="10">
        <f>IFERROR(AVERAGEIFS(C$2:C$238,A$2:A$238,"&gt;="&amp;DATE(YEAR(TODAY()),MONTH(TODAY()),1),A$2:A$238,"&lt;"&amp;DATE(YEAR(TODAY()),MONTH(TODAY())+1,1),B$2:B$238,$B$267),"")</f>
        <v/>
      </c>
      <c r="D267" s="10">
        <f>IFERROR(AVERAGEIFS(D$2:D$238,A$2:A$238,"&gt;="&amp;DATE(YEAR(TODAY()),MONTH(TODAY()),1),A$2:A$238,"&lt;"&amp;DATE(YEAR(TODAY()),MONTH(TODAY())+1,1),B$2:B$238,$B$267),"")</f>
        <v/>
      </c>
      <c r="E267" s="10">
        <f>IFERROR(AVERAGEIFS(E$2:E$238,A$2:A$238,"&gt;="&amp;DATE(YEAR(TODAY()),MONTH(TODAY()),1),A$2:A$238,"&lt;"&amp;DATE(YEAR(TODAY()),MONTH(TODAY())+1,1),B$2:B$238,$B$267),"")</f>
        <v/>
      </c>
      <c r="F267" s="11">
        <f>IFERROR(SUMPRODUCT((YEAR(A$2:A$238)=YEAR(TODAY()))*(MONTH(A$2:A$238)=MONTH(TODAY()))*(B$2:B$238=$B$267)*(F$2:F$238),"")</f>
        <v/>
      </c>
    </row>
    <row r="268">
      <c r="B268" s="2" t="inlineStr">
        <is>
          <t>三元方壳锂电B品</t>
        </is>
      </c>
      <c r="C268" s="10">
        <f>IFERROR(AVERAGEIFS(C$2:C$238,A$2:A$238,"&gt;="&amp;DATE(YEAR(TODAY()),MONTH(TODAY()),1),A$2:A$238,"&lt;"&amp;DATE(YEAR(TODAY()),MONTH(TODAY())+1,1),B$2:B$238,$B$268),"")</f>
        <v/>
      </c>
      <c r="D268" s="10">
        <f>IFERROR(AVERAGEIFS(D$2:D$238,A$2:A$238,"&gt;="&amp;DATE(YEAR(TODAY()),MONTH(TODAY()),1),A$2:A$238,"&lt;"&amp;DATE(YEAR(TODAY()),MONTH(TODAY())+1,1),B$2:B$238,$B$268),"")</f>
        <v/>
      </c>
      <c r="E268" s="10">
        <f>IFERROR(AVERAGEIFS(E$2:E$238,A$2:A$238,"&gt;="&amp;DATE(YEAR(TODAY()),MONTH(TODAY()),1),A$2:A$238,"&lt;"&amp;DATE(YEAR(TODAY()),MONTH(TODAY())+1,1),B$2:B$238,$B$268),"")</f>
        <v/>
      </c>
      <c r="F268" s="11">
        <f>IFERROR(SUMPRODUCT((YEAR(A$2:A$238)=YEAR(TODAY()))*(MONTH(A$2:A$238)=MONTH(TODAY()))*(B$2:B$238=$B$268)*(F$2:F$238),"")</f>
        <v/>
      </c>
    </row>
    <row r="269">
      <c r="B269" s="2" t="inlineStr">
        <is>
          <t>六氟磷酸锂（国产）</t>
        </is>
      </c>
      <c r="C269" s="10">
        <f>IFERROR(AVERAGEIFS(C$2:C$238,A$2:A$238,"&gt;="&amp;DATE(YEAR(TODAY()),MONTH(TODAY()),1),A$2:A$238,"&lt;"&amp;DATE(YEAR(TODAY()),MONTH(TODAY())+1,1),B$2:B$238,$B$269),"")</f>
        <v/>
      </c>
      <c r="D269" s="10">
        <f>IFERROR(AVERAGEIFS(D$2:D$238,A$2:A$238,"&gt;="&amp;DATE(YEAR(TODAY()),MONTH(TODAY()),1),A$2:A$238,"&lt;"&amp;DATE(YEAR(TODAY()),MONTH(TODAY())+1,1),B$2:B$238,$B$269),"")</f>
        <v/>
      </c>
      <c r="E269" s="10">
        <f>IFERROR(AVERAGEIFS(E$2:E$238,A$2:A$238,"&gt;="&amp;DATE(YEAR(TODAY()),MONTH(TODAY()),1),A$2:A$238,"&lt;"&amp;DATE(YEAR(TODAY()),MONTH(TODAY())+1,1),B$2:B$238,$B$269),"")</f>
        <v/>
      </c>
      <c r="F269" s="11">
        <f>IFERROR(SUMPRODUCT((YEAR(A$2:A$238)=YEAR(TODAY()))*(MONTH(A$2:A$238)=MONTH(TODAY()))*(B$2:B$238=$B$269)*(F$2:F$238),"")</f>
        <v/>
      </c>
    </row>
    <row r="270">
      <c r="B270" s="2" t="inlineStr">
        <is>
          <t>四氧化三钴</t>
        </is>
      </c>
      <c r="C270" s="10">
        <f>IFERROR(AVERAGEIFS(C$2:C$238,A$2:A$238,"&gt;="&amp;DATE(YEAR(TODAY()),MONTH(TODAY()),1),A$2:A$238,"&lt;"&amp;DATE(YEAR(TODAY()),MONTH(TODAY())+1,1),B$2:B$238,$B$270),"")</f>
        <v/>
      </c>
      <c r="D270" s="10">
        <f>IFERROR(AVERAGEIFS(D$2:D$238,A$2:A$238,"&gt;="&amp;DATE(YEAR(TODAY()),MONTH(TODAY()),1),A$2:A$238,"&lt;"&amp;DATE(YEAR(TODAY()),MONTH(TODAY())+1,1),B$2:B$238,$B$270),"")</f>
        <v/>
      </c>
      <c r="E270" s="10">
        <f>IFERROR(AVERAGEIFS(E$2:E$238,A$2:A$238,"&gt;="&amp;DATE(YEAR(TODAY()),MONTH(TODAY()),1),A$2:A$238,"&lt;"&amp;DATE(YEAR(TODAY()),MONTH(TODAY())+1,1),B$2:B$238,$B$270),"")</f>
        <v/>
      </c>
      <c r="F270" s="11">
        <f>IFERROR(SUMPRODUCT((YEAR(A$2:A$238)=YEAR(TODAY()))*(MONTH(A$2:A$238)=MONTH(TODAY()))*(B$2:B$238=$B$270)*(F$2:F$238),"")</f>
        <v/>
      </c>
    </row>
    <row r="271">
      <c r="B271" s="2" t="inlineStr">
        <is>
          <t>四氧化三锰（电池级）</t>
        </is>
      </c>
      <c r="C271" s="10">
        <f>IFERROR(AVERAGEIFS(C$2:C$238,A$2:A$238,"&gt;="&amp;DATE(YEAR(TODAY()),MONTH(TODAY()),1),A$2:A$238,"&lt;"&amp;DATE(YEAR(TODAY()),MONTH(TODAY())+1,1),B$2:B$238,$B$271),"")</f>
        <v/>
      </c>
      <c r="D271" s="10">
        <f>IFERROR(AVERAGEIFS(D$2:D$238,A$2:A$238,"&gt;="&amp;DATE(YEAR(TODAY()),MONTH(TODAY()),1),A$2:A$238,"&lt;"&amp;DATE(YEAR(TODAY()),MONTH(TODAY())+1,1),B$2:B$238,$B$271),"")</f>
        <v/>
      </c>
      <c r="E271" s="10">
        <f>IFERROR(AVERAGEIFS(E$2:E$238,A$2:A$238,"&gt;="&amp;DATE(YEAR(TODAY()),MONTH(TODAY()),1),A$2:A$238,"&lt;"&amp;DATE(YEAR(TODAY()),MONTH(TODAY())+1,1),B$2:B$238,$B$271),"")</f>
        <v/>
      </c>
      <c r="F271" s="11">
        <f>IFERROR(SUMPRODUCT((YEAR(A$2:A$238)=YEAR(TODAY()))*(MONTH(A$2:A$238)=MONTH(TODAY()))*(B$2:B$238=$B$271)*(F$2:F$238),"")</f>
        <v/>
      </c>
    </row>
    <row r="272">
      <c r="B272" s="2" t="inlineStr">
        <is>
          <t>工业级氢氧化锂</t>
        </is>
      </c>
      <c r="C272" s="10">
        <f>IFERROR(AVERAGEIFS(C$2:C$238,A$2:A$238,"&gt;="&amp;DATE(YEAR(TODAY()),MONTH(TODAY()),1),A$2:A$238,"&lt;"&amp;DATE(YEAR(TODAY()),MONTH(TODAY())+1,1),B$2:B$238,$B$272),"")</f>
        <v/>
      </c>
      <c r="D272" s="10">
        <f>IFERROR(AVERAGEIFS(D$2:D$238,A$2:A$238,"&gt;="&amp;DATE(YEAR(TODAY()),MONTH(TODAY()),1),A$2:A$238,"&lt;"&amp;DATE(YEAR(TODAY()),MONTH(TODAY())+1,1),B$2:B$238,$B$272),"")</f>
        <v/>
      </c>
      <c r="E272" s="10">
        <f>IFERROR(AVERAGEIFS(E$2:E$238,A$2:A$238,"&gt;="&amp;DATE(YEAR(TODAY()),MONTH(TODAY()),1),A$2:A$238,"&lt;"&amp;DATE(YEAR(TODAY()),MONTH(TODAY())+1,1),B$2:B$238,$B$272),"")</f>
        <v/>
      </c>
      <c r="F272" s="11">
        <f>IFERROR(SUMPRODUCT((YEAR(A$2:A$238)=YEAR(TODAY()))*(MONTH(A$2:A$238)=MONTH(TODAY()))*(B$2:B$238=$B$272)*(F$2:F$238),"")</f>
        <v/>
      </c>
    </row>
    <row r="273">
      <c r="B273" s="2" t="inlineStr">
        <is>
          <t>工业级碳酸锂</t>
        </is>
      </c>
      <c r="C273" s="10">
        <f>IFERROR(AVERAGEIFS(C$2:C$238,A$2:A$238,"&gt;="&amp;DATE(YEAR(TODAY()),MONTH(TODAY()),1),A$2:A$238,"&lt;"&amp;DATE(YEAR(TODAY()),MONTH(TODAY())+1,1),B$2:B$238,$B$273),"")</f>
        <v/>
      </c>
      <c r="D273" s="10">
        <f>IFERROR(AVERAGEIFS(D$2:D$238,A$2:A$238,"&gt;="&amp;DATE(YEAR(TODAY()),MONTH(TODAY()),1),A$2:A$238,"&lt;"&amp;DATE(YEAR(TODAY()),MONTH(TODAY())+1,1),B$2:B$238,$B$273),"")</f>
        <v/>
      </c>
      <c r="E273" s="10">
        <f>IFERROR(AVERAGEIFS(E$2:E$238,A$2:A$238,"&gt;="&amp;DATE(YEAR(TODAY()),MONTH(TODAY()),1),A$2:A$238,"&lt;"&amp;DATE(YEAR(TODAY()),MONTH(TODAY())+1,1),B$2:B$238,$B$273),"")</f>
        <v/>
      </c>
      <c r="F273" s="11">
        <f>IFERROR(SUMPRODUCT((YEAR(A$2:A$238)=YEAR(TODAY()))*(MONTH(A$2:A$238)=MONTH(TODAY()))*(B$2:B$238=$B$273)*(F$2:F$238),"")</f>
        <v/>
      </c>
    </row>
    <row r="274">
      <c r="B274" s="2" t="inlineStr">
        <is>
          <t>工业级金属锂</t>
        </is>
      </c>
      <c r="C274" s="10">
        <f>IFERROR(AVERAGEIFS(C$2:C$238,A$2:A$238,"&gt;="&amp;DATE(YEAR(TODAY()),MONTH(TODAY()),1),A$2:A$238,"&lt;"&amp;DATE(YEAR(TODAY()),MONTH(TODAY())+1,1),B$2:B$238,$B$274),"")</f>
        <v/>
      </c>
      <c r="D274" s="10">
        <f>IFERROR(AVERAGEIFS(D$2:D$238,A$2:A$238,"&gt;="&amp;DATE(YEAR(TODAY()),MONTH(TODAY()),1),A$2:A$238,"&lt;"&amp;DATE(YEAR(TODAY()),MONTH(TODAY())+1,1),B$2:B$238,$B$274),"")</f>
        <v/>
      </c>
      <c r="E274" s="10">
        <f>IFERROR(AVERAGEIFS(E$2:E$238,A$2:A$238,"&gt;="&amp;DATE(YEAR(TODAY()),MONTH(TODAY()),1),A$2:A$238,"&lt;"&amp;DATE(YEAR(TODAY()),MONTH(TODAY())+1,1),B$2:B$238,$B$274),"")</f>
        <v/>
      </c>
      <c r="F274" s="11">
        <f>IFERROR(SUMPRODUCT((YEAR(A$2:A$238)=YEAR(TODAY()))*(MONTH(A$2:A$238)=MONTH(TODAY()))*(B$2:B$238=$B$274)*(F$2:F$238),"")</f>
        <v/>
      </c>
    </row>
    <row r="275">
      <c r="B275" s="2" t="inlineStr">
        <is>
          <t>巴西锂辉石精矿（CIF中国）现货</t>
        </is>
      </c>
      <c r="C275" s="10">
        <f>IFERROR(AVERAGEIFS(C$2:C$238,A$2:A$238,"&gt;="&amp;DATE(YEAR(TODAY()),MONTH(TODAY()),1),A$2:A$238,"&lt;"&amp;DATE(YEAR(TODAY()),MONTH(TODAY())+1,1),B$2:B$238,$B$275),"")</f>
        <v/>
      </c>
      <c r="D275" s="10">
        <f>IFERROR(AVERAGEIFS(D$2:D$238,A$2:A$238,"&gt;="&amp;DATE(YEAR(TODAY()),MONTH(TODAY()),1),A$2:A$238,"&lt;"&amp;DATE(YEAR(TODAY()),MONTH(TODAY())+1,1),B$2:B$238,$B$275),"")</f>
        <v/>
      </c>
      <c r="E275" s="10">
        <f>IFERROR(AVERAGEIFS(E$2:E$238,A$2:A$238,"&gt;="&amp;DATE(YEAR(TODAY()),MONTH(TODAY()),1),A$2:A$238,"&lt;"&amp;DATE(YEAR(TODAY()),MONTH(TODAY())+1,1),B$2:B$238,$B$275),"")</f>
        <v/>
      </c>
      <c r="F275" s="11">
        <f>IFERROR(SUMPRODUCT((YEAR(A$2:A$238)=YEAR(TODAY()))*(MONTH(A$2:A$238)=MONTH(TODAY()))*(B$2:B$238=$B$275)*(F$2:F$238),"")</f>
        <v/>
      </c>
    </row>
    <row r="276">
      <c r="B276" s="2" t="inlineStr">
        <is>
          <t>废旧磷酸铁锂储能正极片</t>
        </is>
      </c>
      <c r="C276" s="10">
        <f>IFERROR(AVERAGEIFS(C$2:C$238,A$2:A$238,"&gt;="&amp;DATE(YEAR(TODAY()),MONTH(TODAY()),1),A$2:A$238,"&lt;"&amp;DATE(YEAR(TODAY()),MONTH(TODAY())+1,1),B$2:B$238,$B$276),"")</f>
        <v/>
      </c>
      <c r="D276" s="10">
        <f>IFERROR(AVERAGEIFS(D$2:D$238,A$2:A$238,"&gt;="&amp;DATE(YEAR(TODAY()),MONTH(TODAY()),1),A$2:A$238,"&lt;"&amp;DATE(YEAR(TODAY()),MONTH(TODAY())+1,1),B$2:B$238,$B$276),"")</f>
        <v/>
      </c>
      <c r="E276" s="10">
        <f>IFERROR(AVERAGEIFS(E$2:E$238,A$2:A$238,"&gt;="&amp;DATE(YEAR(TODAY()),MONTH(TODAY()),1),A$2:A$238,"&lt;"&amp;DATE(YEAR(TODAY()),MONTH(TODAY())+1,1),B$2:B$238,$B$276),"")</f>
        <v/>
      </c>
      <c r="F276" s="11">
        <f>IFERROR(SUMPRODUCT((YEAR(A$2:A$238)=YEAR(TODAY()))*(MONTH(A$2:A$238)=MONTH(TODAY()))*(B$2:B$238=$B$276)*(F$2:F$238),"")</f>
        <v/>
      </c>
    </row>
    <row r="277">
      <c r="B277" s="2" t="inlineStr">
        <is>
          <t>废旧磷酸铁锂动力正极片</t>
        </is>
      </c>
      <c r="C277" s="10">
        <f>IFERROR(AVERAGEIFS(C$2:C$238,A$2:A$238,"&gt;="&amp;DATE(YEAR(TODAY()),MONTH(TODAY()),1),A$2:A$238,"&lt;"&amp;DATE(YEAR(TODAY()),MONTH(TODAY())+1,1),B$2:B$238,$B$277),"")</f>
        <v/>
      </c>
      <c r="D277" s="10">
        <f>IFERROR(AVERAGEIFS(D$2:D$238,A$2:A$238,"&gt;="&amp;DATE(YEAR(TODAY()),MONTH(TODAY()),1),A$2:A$238,"&lt;"&amp;DATE(YEAR(TODAY()),MONTH(TODAY())+1,1),B$2:B$238,$B$277),"")</f>
        <v/>
      </c>
      <c r="E277" s="10">
        <f>IFERROR(AVERAGEIFS(E$2:E$238,A$2:A$238,"&gt;="&amp;DATE(YEAR(TODAY()),MONTH(TODAY()),1),A$2:A$238,"&lt;"&amp;DATE(YEAR(TODAY()),MONTH(TODAY())+1,1),B$2:B$238,$B$277),"")</f>
        <v/>
      </c>
      <c r="F277" s="11">
        <f>IFERROR(SUMPRODUCT((YEAR(A$2:A$238)=YEAR(TODAY()))*(MONTH(A$2:A$238)=MONTH(TODAY()))*(B$2:B$238=$B$277)*(F$2:F$238),"")</f>
        <v/>
      </c>
    </row>
    <row r="278">
      <c r="B278" s="2" t="inlineStr">
        <is>
          <t>废旧磷酸铁锂软包电池</t>
        </is>
      </c>
      <c r="C278" s="10">
        <f>IFERROR(AVERAGEIFS(C$2:C$238,A$2:A$238,"&gt;="&amp;DATE(YEAR(TODAY()),MONTH(TODAY()),1),A$2:A$238,"&lt;"&amp;DATE(YEAR(TODAY()),MONTH(TODAY())+1,1),B$2:B$238,$B$278),"")</f>
        <v/>
      </c>
      <c r="D278" s="10">
        <f>IFERROR(AVERAGEIFS(D$2:D$238,A$2:A$238,"&gt;="&amp;DATE(YEAR(TODAY()),MONTH(TODAY()),1),A$2:A$238,"&lt;"&amp;DATE(YEAR(TODAY()),MONTH(TODAY())+1,1),B$2:B$238,$B$278),"")</f>
        <v/>
      </c>
      <c r="E278" s="10">
        <f>IFERROR(AVERAGEIFS(E$2:E$238,A$2:A$238,"&gt;="&amp;DATE(YEAR(TODAY()),MONTH(TODAY()),1),A$2:A$238,"&lt;"&amp;DATE(YEAR(TODAY()),MONTH(TODAY())+1,1),B$2:B$238,$B$278),"")</f>
        <v/>
      </c>
      <c r="F278" s="11">
        <f>IFERROR(SUMPRODUCT((YEAR(A$2:A$238)=YEAR(TODAY()))*(MONTH(A$2:A$238)=MONTH(TODAY()))*(B$2:B$238=$B$278)*(F$2:F$238),"")</f>
        <v/>
      </c>
    </row>
    <row r="279">
      <c r="B279" s="2" t="inlineStr">
        <is>
          <t>废旧磷酸铁锂钢壳电池</t>
        </is>
      </c>
      <c r="C279" s="10">
        <f>IFERROR(AVERAGEIFS(C$2:C$238,A$2:A$238,"&gt;="&amp;DATE(YEAR(TODAY()),MONTH(TODAY()),1),A$2:A$238,"&lt;"&amp;DATE(YEAR(TODAY()),MONTH(TODAY())+1,1),B$2:B$238,$B$279),"")</f>
        <v/>
      </c>
      <c r="D279" s="10">
        <f>IFERROR(AVERAGEIFS(D$2:D$238,A$2:A$238,"&gt;="&amp;DATE(YEAR(TODAY()),MONTH(TODAY()),1),A$2:A$238,"&lt;"&amp;DATE(YEAR(TODAY()),MONTH(TODAY())+1,1),B$2:B$238,$B$279),"")</f>
        <v/>
      </c>
      <c r="E279" s="10">
        <f>IFERROR(AVERAGEIFS(E$2:E$238,A$2:A$238,"&gt;="&amp;DATE(YEAR(TODAY()),MONTH(TODAY()),1),A$2:A$238,"&lt;"&amp;DATE(YEAR(TODAY()),MONTH(TODAY())+1,1),B$2:B$238,$B$279),"")</f>
        <v/>
      </c>
      <c r="F279" s="11">
        <f>IFERROR(SUMPRODUCT((YEAR(A$2:A$238)=YEAR(TODAY()))*(MONTH(A$2:A$238)=MONTH(TODAY()))*(B$2:B$238=$B$279)*(F$2:F$238),"")</f>
        <v/>
      </c>
    </row>
    <row r="280">
      <c r="B280" s="2" t="inlineStr">
        <is>
          <t>废旧磷酸铁锂铝壳电池</t>
        </is>
      </c>
      <c r="C280" s="10">
        <f>IFERROR(AVERAGEIFS(C$2:C$238,A$2:A$238,"&gt;="&amp;DATE(YEAR(TODAY()),MONTH(TODAY()),1),A$2:A$238,"&lt;"&amp;DATE(YEAR(TODAY()),MONTH(TODAY())+1,1),B$2:B$238,$B$280),"")</f>
        <v/>
      </c>
      <c r="D280" s="10">
        <f>IFERROR(AVERAGEIFS(D$2:D$238,A$2:A$238,"&gt;="&amp;DATE(YEAR(TODAY()),MONTH(TODAY()),1),A$2:A$238,"&lt;"&amp;DATE(YEAR(TODAY()),MONTH(TODAY())+1,1),B$2:B$238,$B$280),"")</f>
        <v/>
      </c>
      <c r="E280" s="10">
        <f>IFERROR(AVERAGEIFS(E$2:E$238,A$2:A$238,"&gt;="&amp;DATE(YEAR(TODAY()),MONTH(TODAY()),1),A$2:A$238,"&lt;"&amp;DATE(YEAR(TODAY()),MONTH(TODAY())+1,1),B$2:B$238,$B$280),"")</f>
        <v/>
      </c>
      <c r="F280" s="11">
        <f>IFERROR(SUMPRODUCT((YEAR(A$2:A$238)=YEAR(TODAY()))*(MONTH(A$2:A$238)=MONTH(TODAY()))*(B$2:B$238=$B$280)*(F$2:F$238),"")</f>
        <v/>
      </c>
    </row>
    <row r="281">
      <c r="B281" s="2" t="inlineStr">
        <is>
          <t>方形磷酸铁锂电池B品</t>
        </is>
      </c>
      <c r="C281" s="10">
        <f>IFERROR(AVERAGEIFS(C$2:C$238,A$2:A$238,"&gt;="&amp;DATE(YEAR(TODAY()),MONTH(TODAY()),1),A$2:A$238,"&lt;"&amp;DATE(YEAR(TODAY()),MONTH(TODAY())+1,1),B$2:B$238,$B$281),"")</f>
        <v/>
      </c>
      <c r="D281" s="10">
        <f>IFERROR(AVERAGEIFS(D$2:D$238,A$2:A$238,"&gt;="&amp;DATE(YEAR(TODAY()),MONTH(TODAY()),1),A$2:A$238,"&lt;"&amp;DATE(YEAR(TODAY()),MONTH(TODAY())+1,1),B$2:B$238,$B$281),"")</f>
        <v/>
      </c>
      <c r="E281" s="10">
        <f>IFERROR(AVERAGEIFS(E$2:E$238,A$2:A$238,"&gt;="&amp;DATE(YEAR(TODAY()),MONTH(TODAY()),1),A$2:A$238,"&lt;"&amp;DATE(YEAR(TODAY()),MONTH(TODAY())+1,1),B$2:B$238,$B$281),"")</f>
        <v/>
      </c>
      <c r="F281" s="11">
        <f>IFERROR(SUMPRODUCT((YEAR(A$2:A$238)=YEAR(TODAY()))*(MONTH(A$2:A$238)=MONTH(TODAY()))*(B$2:B$238=$B$281)*(F$2:F$238),"")</f>
        <v/>
      </c>
    </row>
    <row r="282">
      <c r="B282" s="2" t="inlineStr">
        <is>
          <t>氧化亚镍</t>
        </is>
      </c>
      <c r="C282" s="10">
        <f>IFERROR(AVERAGEIFS(C$2:C$238,A$2:A$238,"&gt;="&amp;DATE(YEAR(TODAY()),MONTH(TODAY()),1),A$2:A$238,"&lt;"&amp;DATE(YEAR(TODAY()),MONTH(TODAY())+1,1),B$2:B$238,$B$282),"")</f>
        <v/>
      </c>
      <c r="D282" s="10">
        <f>IFERROR(AVERAGEIFS(D$2:D$238,A$2:A$238,"&gt;="&amp;DATE(YEAR(TODAY()),MONTH(TODAY()),1),A$2:A$238,"&lt;"&amp;DATE(YEAR(TODAY()),MONTH(TODAY())+1,1),B$2:B$238,$B$282),"")</f>
        <v/>
      </c>
      <c r="E282" s="10">
        <f>IFERROR(AVERAGEIFS(E$2:E$238,A$2:A$238,"&gt;="&amp;DATE(YEAR(TODAY()),MONTH(TODAY()),1),A$2:A$238,"&lt;"&amp;DATE(YEAR(TODAY()),MONTH(TODAY())+1,1),B$2:B$238,$B$282),"")</f>
        <v/>
      </c>
      <c r="F282" s="11">
        <f>IFERROR(SUMPRODUCT((YEAR(A$2:A$238)=YEAR(TODAY()))*(MONTH(A$2:A$238)=MONTH(TODAY()))*(B$2:B$238=$B$282)*(F$2:F$238),"")</f>
        <v/>
      </c>
    </row>
    <row r="283">
      <c r="B283" s="2" t="inlineStr">
        <is>
          <t>氧化钴</t>
        </is>
      </c>
      <c r="C283" s="10">
        <f>IFERROR(AVERAGEIFS(C$2:C$238,A$2:A$238,"&gt;="&amp;DATE(YEAR(TODAY()),MONTH(TODAY()),1),A$2:A$238,"&lt;"&amp;DATE(YEAR(TODAY()),MONTH(TODAY())+1,1),B$2:B$238,$B$283),"")</f>
        <v/>
      </c>
      <c r="D283" s="10">
        <f>IFERROR(AVERAGEIFS(D$2:D$238,A$2:A$238,"&gt;="&amp;DATE(YEAR(TODAY()),MONTH(TODAY()),1),A$2:A$238,"&lt;"&amp;DATE(YEAR(TODAY()),MONTH(TODAY())+1,1),B$2:B$238,$B$283),"")</f>
        <v/>
      </c>
      <c r="E283" s="10">
        <f>IFERROR(AVERAGEIFS(E$2:E$238,A$2:A$238,"&gt;="&amp;DATE(YEAR(TODAY()),MONTH(TODAY()),1),A$2:A$238,"&lt;"&amp;DATE(YEAR(TODAY()),MONTH(TODAY())+1,1),B$2:B$238,$B$283),"")</f>
        <v/>
      </c>
      <c r="F283" s="11">
        <f>IFERROR(SUMPRODUCT((YEAR(A$2:A$238)=YEAR(TODAY()))*(MONTH(A$2:A$238)=MONTH(TODAY()))*(B$2:B$238=$B$283)*(F$2:F$238),"")</f>
        <v/>
      </c>
    </row>
    <row r="284">
      <c r="B284" s="2" t="inlineStr">
        <is>
          <t>氯化钴</t>
        </is>
      </c>
      <c r="C284" s="10">
        <f>IFERROR(AVERAGEIFS(C$2:C$238,A$2:A$238,"&gt;="&amp;DATE(YEAR(TODAY()),MONTH(TODAY()),1),A$2:A$238,"&lt;"&amp;DATE(YEAR(TODAY()),MONTH(TODAY())+1,1),B$2:B$238,$B$284),"")</f>
        <v/>
      </c>
      <c r="D284" s="10">
        <f>IFERROR(AVERAGEIFS(D$2:D$238,A$2:A$238,"&gt;="&amp;DATE(YEAR(TODAY()),MONTH(TODAY()),1),A$2:A$238,"&lt;"&amp;DATE(YEAR(TODAY()),MONTH(TODAY())+1,1),B$2:B$238,$B$284),"")</f>
        <v/>
      </c>
      <c r="E284" s="10">
        <f>IFERROR(AVERAGEIFS(E$2:E$238,A$2:A$238,"&gt;="&amp;DATE(YEAR(TODAY()),MONTH(TODAY()),1),A$2:A$238,"&lt;"&amp;DATE(YEAR(TODAY()),MONTH(TODAY())+1,1),B$2:B$238,$B$284),"")</f>
        <v/>
      </c>
      <c r="F284" s="11">
        <f>IFERROR(SUMPRODUCT((YEAR(A$2:A$238)=YEAR(TODAY()))*(MONTH(A$2:A$238)=MONTH(TODAY()))*(B$2:B$238=$B$284)*(F$2:F$238),"")</f>
        <v/>
      </c>
    </row>
    <row r="285">
      <c r="B285" s="2" t="inlineStr">
        <is>
          <t>氯化镍NiCl₂·6H₂O</t>
        </is>
      </c>
      <c r="C285" s="10">
        <f>IFERROR(AVERAGEIFS(C$2:C$238,A$2:A$238,"&gt;="&amp;DATE(YEAR(TODAY()),MONTH(TODAY()),1),A$2:A$238,"&lt;"&amp;DATE(YEAR(TODAY()),MONTH(TODAY())+1,1),B$2:B$238,$B$285),"")</f>
        <v/>
      </c>
      <c r="D285" s="10">
        <f>IFERROR(AVERAGEIFS(D$2:D$238,A$2:A$238,"&gt;="&amp;DATE(YEAR(TODAY()),MONTH(TODAY()),1),A$2:A$238,"&lt;"&amp;DATE(YEAR(TODAY()),MONTH(TODAY())+1,1),B$2:B$238,$B$285),"")</f>
        <v/>
      </c>
      <c r="E285" s="10">
        <f>IFERROR(AVERAGEIFS(E$2:E$238,A$2:A$238,"&gt;="&amp;DATE(YEAR(TODAY()),MONTH(TODAY()),1),A$2:A$238,"&lt;"&amp;DATE(YEAR(TODAY()),MONTH(TODAY())+1,1),B$2:B$238,$B$285),"")</f>
        <v/>
      </c>
      <c r="F285" s="11">
        <f>IFERROR(SUMPRODUCT((YEAR(A$2:A$238)=YEAR(TODAY()))*(MONTH(A$2:A$238)=MONTH(TODAY()))*(B$2:B$238=$B$285)*(F$2:F$238),"")</f>
        <v/>
      </c>
    </row>
    <row r="286">
      <c r="B286" s="2" t="inlineStr">
        <is>
          <t>津巴布韦锂辉石精矿（CIF中国）现货</t>
        </is>
      </c>
      <c r="C286" s="10">
        <f>IFERROR(AVERAGEIFS(C$2:C$238,A$2:A$238,"&gt;="&amp;DATE(YEAR(TODAY()),MONTH(TODAY()),1),A$2:A$238,"&lt;"&amp;DATE(YEAR(TODAY()),MONTH(TODAY())+1,1),B$2:B$238,$B$286),"")</f>
        <v/>
      </c>
      <c r="D286" s="10">
        <f>IFERROR(AVERAGEIFS(D$2:D$238,A$2:A$238,"&gt;="&amp;DATE(YEAR(TODAY()),MONTH(TODAY()),1),A$2:A$238,"&lt;"&amp;DATE(YEAR(TODAY()),MONTH(TODAY())+1,1),B$2:B$238,$B$286),"")</f>
        <v/>
      </c>
      <c r="E286" s="10">
        <f>IFERROR(AVERAGEIFS(E$2:E$238,A$2:A$238,"&gt;="&amp;DATE(YEAR(TODAY()),MONTH(TODAY()),1),A$2:A$238,"&lt;"&amp;DATE(YEAR(TODAY()),MONTH(TODAY())+1,1),B$2:B$238,$B$286),"")</f>
        <v/>
      </c>
      <c r="F286" s="11">
        <f>IFERROR(SUMPRODUCT((YEAR(A$2:A$238)=YEAR(TODAY()))*(MONTH(A$2:A$238)=MONTH(TODAY()))*(B$2:B$238=$B$286)*(F$2:F$238),"")</f>
        <v/>
      </c>
    </row>
    <row r="287">
      <c r="B287" s="2" t="inlineStr">
        <is>
          <t>澳大利亚锂辉石精矿（CIF中国）现货</t>
        </is>
      </c>
      <c r="C287" s="10">
        <f>IFERROR(AVERAGEIFS(C$2:C$238,A$2:A$238,"&gt;="&amp;DATE(YEAR(TODAY()),MONTH(TODAY()),1),A$2:A$238,"&lt;"&amp;DATE(YEAR(TODAY()),MONTH(TODAY())+1,1),B$2:B$238,$B$287),"")</f>
        <v/>
      </c>
      <c r="D287" s="10">
        <f>IFERROR(AVERAGEIFS(D$2:D$238,A$2:A$238,"&gt;="&amp;DATE(YEAR(TODAY()),MONTH(TODAY()),1),A$2:A$238,"&lt;"&amp;DATE(YEAR(TODAY()),MONTH(TODAY())+1,1),B$2:B$238,$B$287),"")</f>
        <v/>
      </c>
      <c r="E287" s="10">
        <f>IFERROR(AVERAGEIFS(E$2:E$238,A$2:A$238,"&gt;="&amp;DATE(YEAR(TODAY()),MONTH(TODAY()),1),A$2:A$238,"&lt;"&amp;DATE(YEAR(TODAY()),MONTH(TODAY())+1,1),B$2:B$238,$B$287),"")</f>
        <v/>
      </c>
      <c r="F287" s="11">
        <f>IFERROR(SUMPRODUCT((YEAR(A$2:A$238)=YEAR(TODAY()))*(MONTH(A$2:A$238)=MONTH(TODAY()))*(B$2:B$238=$B$287)*(F$2:F$238),"")</f>
        <v/>
      </c>
    </row>
    <row r="288">
      <c r="B288" s="2" t="inlineStr">
        <is>
          <t>电池级无水氯化锂</t>
        </is>
      </c>
      <c r="C288" s="10">
        <f>IFERROR(AVERAGEIFS(C$2:C$238,A$2:A$238,"&gt;="&amp;DATE(YEAR(TODAY()),MONTH(TODAY()),1),A$2:A$238,"&lt;"&amp;DATE(YEAR(TODAY()),MONTH(TODAY())+1,1),B$2:B$238,$B$288),"")</f>
        <v/>
      </c>
      <c r="D288" s="10">
        <f>IFERROR(AVERAGEIFS(D$2:D$238,A$2:A$238,"&gt;="&amp;DATE(YEAR(TODAY()),MONTH(TODAY()),1),A$2:A$238,"&lt;"&amp;DATE(YEAR(TODAY()),MONTH(TODAY())+1,1),B$2:B$238,$B$288),"")</f>
        <v/>
      </c>
      <c r="E288" s="10">
        <f>IFERROR(AVERAGEIFS(E$2:E$238,A$2:A$238,"&gt;="&amp;DATE(YEAR(TODAY()),MONTH(TODAY()),1),A$2:A$238,"&lt;"&amp;DATE(YEAR(TODAY()),MONTH(TODAY())+1,1),B$2:B$238,$B$288),"")</f>
        <v/>
      </c>
      <c r="F288" s="11">
        <f>IFERROR(SUMPRODUCT((YEAR(A$2:A$238)=YEAR(TODAY()))*(MONTH(A$2:A$238)=MONTH(TODAY()))*(B$2:B$238=$B$288)*(F$2:F$238),"")</f>
        <v/>
      </c>
    </row>
    <row r="289">
      <c r="B289" s="2" t="inlineStr">
        <is>
          <t>电池级氟化锂</t>
        </is>
      </c>
      <c r="C289" s="10">
        <f>IFERROR(AVERAGEIFS(C$2:C$238,A$2:A$238,"&gt;="&amp;DATE(YEAR(TODAY()),MONTH(TODAY()),1),A$2:A$238,"&lt;"&amp;DATE(YEAR(TODAY()),MONTH(TODAY())+1,1),B$2:B$238,$B$289),"")</f>
        <v/>
      </c>
      <c r="D289" s="10">
        <f>IFERROR(AVERAGEIFS(D$2:D$238,A$2:A$238,"&gt;="&amp;DATE(YEAR(TODAY()),MONTH(TODAY()),1),A$2:A$238,"&lt;"&amp;DATE(YEAR(TODAY()),MONTH(TODAY())+1,1),B$2:B$238,$B$289),"")</f>
        <v/>
      </c>
      <c r="E289" s="10">
        <f>IFERROR(AVERAGEIFS(E$2:E$238,A$2:A$238,"&gt;="&amp;DATE(YEAR(TODAY()),MONTH(TODAY()),1),A$2:A$238,"&lt;"&amp;DATE(YEAR(TODAY()),MONTH(TODAY())+1,1),B$2:B$238,$B$289),"")</f>
        <v/>
      </c>
      <c r="F289" s="11">
        <f>IFERROR(SUMPRODUCT((YEAR(A$2:A$238)=YEAR(TODAY()))*(MONTH(A$2:A$238)=MONTH(TODAY()))*(B$2:B$238=$B$289)*(F$2:F$238),"")</f>
        <v/>
      </c>
    </row>
    <row r="290">
      <c r="B290" s="2" t="inlineStr">
        <is>
          <t>电池级氢氧化锂(CIF中日韩)</t>
        </is>
      </c>
      <c r="C290" s="10">
        <f>IFERROR(AVERAGEIFS(C$2:C$238,A$2:A$238,"&gt;="&amp;DATE(YEAR(TODAY()),MONTH(TODAY()),1),A$2:A$238,"&lt;"&amp;DATE(YEAR(TODAY()),MONTH(TODAY())+1,1),B$2:B$238,$B$290),"")</f>
        <v/>
      </c>
      <c r="D290" s="10">
        <f>IFERROR(AVERAGEIFS(D$2:D$238,A$2:A$238,"&gt;="&amp;DATE(YEAR(TODAY()),MONTH(TODAY()),1),A$2:A$238,"&lt;"&amp;DATE(YEAR(TODAY()),MONTH(TODAY())+1,1),B$2:B$238,$B$290),"")</f>
        <v/>
      </c>
      <c r="E290" s="10">
        <f>IFERROR(AVERAGEIFS(E$2:E$238,A$2:A$238,"&gt;="&amp;DATE(YEAR(TODAY()),MONTH(TODAY()),1),A$2:A$238,"&lt;"&amp;DATE(YEAR(TODAY()),MONTH(TODAY())+1,1),B$2:B$238,$B$290),"")</f>
        <v/>
      </c>
      <c r="F290" s="11">
        <f>IFERROR(SUMPRODUCT((YEAR(A$2:A$238)=YEAR(TODAY()))*(MONTH(A$2:A$238)=MONTH(TODAY()))*(B$2:B$238=$B$290)*(F$2:F$238),"")</f>
        <v/>
      </c>
    </row>
    <row r="291">
      <c r="B291" s="2" t="inlineStr">
        <is>
          <t>电池级氢氧化锂(CIF韩国)</t>
        </is>
      </c>
      <c r="C291" s="10">
        <f>IFERROR(AVERAGEIFS(C$2:C$238,A$2:A$238,"&gt;="&amp;DATE(YEAR(TODAY()),MONTH(TODAY()),1),A$2:A$238,"&lt;"&amp;DATE(YEAR(TODAY()),MONTH(TODAY())+1,1),B$2:B$238,$B$291),"")</f>
        <v/>
      </c>
      <c r="D291" s="10">
        <f>IFERROR(AVERAGEIFS(D$2:D$238,A$2:A$238,"&gt;="&amp;DATE(YEAR(TODAY()),MONTH(TODAY()),1),A$2:A$238,"&lt;"&amp;DATE(YEAR(TODAY()),MONTH(TODAY())+1,1),B$2:B$238,$B$291),"")</f>
        <v/>
      </c>
      <c r="E291" s="10">
        <f>IFERROR(AVERAGEIFS(E$2:E$238,A$2:A$238,"&gt;="&amp;DATE(YEAR(TODAY()),MONTH(TODAY()),1),A$2:A$238,"&lt;"&amp;DATE(YEAR(TODAY()),MONTH(TODAY())+1,1),B$2:B$238,$B$291),"")</f>
        <v/>
      </c>
      <c r="F291" s="11">
        <f>IFERROR(SUMPRODUCT((YEAR(A$2:A$238)=YEAR(TODAY()))*(MONTH(A$2:A$238)=MONTH(TODAY()))*(B$2:B$238=$B$291)*(F$2:F$238),"")</f>
        <v/>
      </c>
    </row>
    <row r="292">
      <c r="B292" s="2" t="inlineStr">
        <is>
          <t>电池级氢氧化锂(微粉）</t>
        </is>
      </c>
      <c r="C292" s="10">
        <f>IFERROR(AVERAGEIFS(C$2:C$238,A$2:A$238,"&gt;="&amp;DATE(YEAR(TODAY()),MONTH(TODAY()),1),A$2:A$238,"&lt;"&amp;DATE(YEAR(TODAY()),MONTH(TODAY())+1,1),B$2:B$238,$B$292),"")</f>
        <v/>
      </c>
      <c r="D292" s="10">
        <f>IFERROR(AVERAGEIFS(D$2:D$238,A$2:A$238,"&gt;="&amp;DATE(YEAR(TODAY()),MONTH(TODAY()),1),A$2:A$238,"&lt;"&amp;DATE(YEAR(TODAY()),MONTH(TODAY())+1,1),B$2:B$238,$B$292),"")</f>
        <v/>
      </c>
      <c r="E292" s="10">
        <f>IFERROR(AVERAGEIFS(E$2:E$238,A$2:A$238,"&gt;="&amp;DATE(YEAR(TODAY()),MONTH(TODAY()),1),A$2:A$238,"&lt;"&amp;DATE(YEAR(TODAY()),MONTH(TODAY())+1,1),B$2:B$238,$B$292),"")</f>
        <v/>
      </c>
      <c r="F292" s="11">
        <f>IFERROR(SUMPRODUCT((YEAR(A$2:A$238)=YEAR(TODAY()))*(MONTH(A$2:A$238)=MONTH(TODAY()))*(B$2:B$238=$B$292)*(F$2:F$238),"")</f>
        <v/>
      </c>
    </row>
    <row r="293">
      <c r="B293" s="2" t="inlineStr">
        <is>
          <t>电池级氢氧化锂（粗颗粒）</t>
        </is>
      </c>
      <c r="C293" s="10">
        <f>IFERROR(AVERAGEIFS(C$2:C$238,A$2:A$238,"&gt;="&amp;DATE(YEAR(TODAY()),MONTH(TODAY()),1),A$2:A$238,"&lt;"&amp;DATE(YEAR(TODAY()),MONTH(TODAY())+1,1),B$2:B$238,$B$293),"")</f>
        <v/>
      </c>
      <c r="D293" s="10">
        <f>IFERROR(AVERAGEIFS(D$2:D$238,A$2:A$238,"&gt;="&amp;DATE(YEAR(TODAY()),MONTH(TODAY()),1),A$2:A$238,"&lt;"&amp;DATE(YEAR(TODAY()),MONTH(TODAY())+1,1),B$2:B$238,$B$293),"")</f>
        <v/>
      </c>
      <c r="E293" s="10">
        <f>IFERROR(AVERAGEIFS(E$2:E$238,A$2:A$238,"&gt;="&amp;DATE(YEAR(TODAY()),MONTH(TODAY()),1),A$2:A$238,"&lt;"&amp;DATE(YEAR(TODAY()),MONTH(TODAY())+1,1),B$2:B$238,$B$293),"")</f>
        <v/>
      </c>
      <c r="F293" s="11">
        <f>IFERROR(SUMPRODUCT((YEAR(A$2:A$238)=YEAR(TODAY()))*(MONTH(A$2:A$238)=MONTH(TODAY()))*(B$2:B$238=$B$293)*(F$2:F$238),"")</f>
        <v/>
      </c>
    </row>
    <row r="294">
      <c r="B294" s="2" t="inlineStr">
        <is>
          <t>电池级硫酸锰（出厂价）</t>
        </is>
      </c>
      <c r="C294" s="10">
        <f>IFERROR(AVERAGEIFS(C$2:C$238,A$2:A$238,"&gt;="&amp;DATE(YEAR(TODAY()),MONTH(TODAY()),1),A$2:A$238,"&lt;"&amp;DATE(YEAR(TODAY()),MONTH(TODAY())+1,1),B$2:B$238,$B$294),"")</f>
        <v/>
      </c>
      <c r="D294" s="10">
        <f>IFERROR(AVERAGEIFS(D$2:D$238,A$2:A$238,"&gt;="&amp;DATE(YEAR(TODAY()),MONTH(TODAY()),1),A$2:A$238,"&lt;"&amp;DATE(YEAR(TODAY()),MONTH(TODAY())+1,1),B$2:B$238,$B$294),"")</f>
        <v/>
      </c>
      <c r="E294" s="10">
        <f>IFERROR(AVERAGEIFS(E$2:E$238,A$2:A$238,"&gt;="&amp;DATE(YEAR(TODAY()),MONTH(TODAY()),1),A$2:A$238,"&lt;"&amp;DATE(YEAR(TODAY()),MONTH(TODAY())+1,1),B$2:B$238,$B$294),"")</f>
        <v/>
      </c>
      <c r="F294" s="11">
        <f>IFERROR(SUMPRODUCT((YEAR(A$2:A$238)=YEAR(TODAY()))*(MONTH(A$2:A$238)=MONTH(TODAY()))*(B$2:B$238=$B$294)*(F$2:F$238),"")</f>
        <v/>
      </c>
    </row>
    <row r="295">
      <c r="B295" s="2" t="inlineStr">
        <is>
          <t>电池级硫酸镍</t>
        </is>
      </c>
      <c r="C295" s="10">
        <f>IFERROR(AVERAGEIFS(C$2:C$238,A$2:A$238,"&gt;="&amp;DATE(YEAR(TODAY()),MONTH(TODAY()),1),A$2:A$238,"&lt;"&amp;DATE(YEAR(TODAY()),MONTH(TODAY())+1,1),B$2:B$238,$B$295),"")</f>
        <v/>
      </c>
      <c r="D295" s="10">
        <f>IFERROR(AVERAGEIFS(D$2:D$238,A$2:A$238,"&gt;="&amp;DATE(YEAR(TODAY()),MONTH(TODAY()),1),A$2:A$238,"&lt;"&amp;DATE(YEAR(TODAY()),MONTH(TODAY())+1,1),B$2:B$238,$B$295),"")</f>
        <v/>
      </c>
      <c r="E295" s="10">
        <f>IFERROR(AVERAGEIFS(E$2:E$238,A$2:A$238,"&gt;="&amp;DATE(YEAR(TODAY()),MONTH(TODAY()),1),A$2:A$238,"&lt;"&amp;DATE(YEAR(TODAY()),MONTH(TODAY())+1,1),B$2:B$238,$B$295),"")</f>
        <v/>
      </c>
      <c r="F295" s="11">
        <f>IFERROR(SUMPRODUCT((YEAR(A$2:A$238)=YEAR(TODAY()))*(MONTH(A$2:A$238)=MONTH(TODAY()))*(B$2:B$238=$B$295)*(F$2:F$238),"")</f>
        <v/>
      </c>
    </row>
    <row r="296">
      <c r="B296" s="2" t="inlineStr">
        <is>
          <t>电池级碳酸锂</t>
        </is>
      </c>
      <c r="C296" s="10">
        <f>IFERROR(AVERAGEIFS(C$2:C$238,A$2:A$238,"&gt;="&amp;DATE(YEAR(TODAY()),MONTH(TODAY()),1),A$2:A$238,"&lt;"&amp;DATE(YEAR(TODAY()),MONTH(TODAY())+1,1),B$2:B$238,$B$296),"")</f>
        <v/>
      </c>
      <c r="D296" s="10">
        <f>IFERROR(AVERAGEIFS(D$2:D$238,A$2:A$238,"&gt;="&amp;DATE(YEAR(TODAY()),MONTH(TODAY()),1),A$2:A$238,"&lt;"&amp;DATE(YEAR(TODAY()),MONTH(TODAY())+1,1),B$2:B$238,$B$296),"")</f>
        <v/>
      </c>
      <c r="E296" s="10">
        <f>IFERROR(AVERAGEIFS(E$2:E$238,A$2:A$238,"&gt;="&amp;DATE(YEAR(TODAY()),MONTH(TODAY()),1),A$2:A$238,"&lt;"&amp;DATE(YEAR(TODAY()),MONTH(TODAY())+1,1),B$2:B$238,$B$296),"")</f>
        <v/>
      </c>
      <c r="F296" s="11">
        <f>IFERROR(SUMPRODUCT((YEAR(A$2:A$238)=YEAR(TODAY()))*(MONTH(A$2:A$238)=MONTH(TODAY()))*(B$2:B$238=$B$296)*(F$2:F$238),"")</f>
        <v/>
      </c>
    </row>
    <row r="297">
      <c r="B297" s="2" t="inlineStr">
        <is>
          <t>电池级碳酸锂(CIF韩国)</t>
        </is>
      </c>
      <c r="C297" s="10">
        <f>IFERROR(AVERAGEIFS(C$2:C$238,A$2:A$238,"&gt;="&amp;DATE(YEAR(TODAY()),MONTH(TODAY()),1),A$2:A$238,"&lt;"&amp;DATE(YEAR(TODAY()),MONTH(TODAY())+1,1),B$2:B$238,$B$297),"")</f>
        <v/>
      </c>
      <c r="D297" s="10">
        <f>IFERROR(AVERAGEIFS(D$2:D$238,A$2:A$238,"&gt;="&amp;DATE(YEAR(TODAY()),MONTH(TODAY()),1),A$2:A$238,"&lt;"&amp;DATE(YEAR(TODAY()),MONTH(TODAY())+1,1),B$2:B$238,$B$297),"")</f>
        <v/>
      </c>
      <c r="E297" s="10">
        <f>IFERROR(AVERAGEIFS(E$2:E$238,A$2:A$238,"&gt;="&amp;DATE(YEAR(TODAY()),MONTH(TODAY()),1),A$2:A$238,"&lt;"&amp;DATE(YEAR(TODAY()),MONTH(TODAY())+1,1),B$2:B$238,$B$297),"")</f>
        <v/>
      </c>
      <c r="F297" s="11">
        <f>IFERROR(SUMPRODUCT((YEAR(A$2:A$238)=YEAR(TODAY()))*(MONTH(A$2:A$238)=MONTH(TODAY()))*(B$2:B$238=$B$297)*(F$2:F$238),"")</f>
        <v/>
      </c>
    </row>
    <row r="298">
      <c r="B298" s="2" t="inlineStr">
        <is>
          <t>电池级碳酸锂（CIF中日韩）</t>
        </is>
      </c>
      <c r="C298" s="10">
        <f>IFERROR(AVERAGEIFS(C$2:C$238,A$2:A$238,"&gt;="&amp;DATE(YEAR(TODAY()),MONTH(TODAY()),1),A$2:A$238,"&lt;"&amp;DATE(YEAR(TODAY()),MONTH(TODAY())+1,1),B$2:B$238,$B$298),"")</f>
        <v/>
      </c>
      <c r="D298" s="10">
        <f>IFERROR(AVERAGEIFS(D$2:D$238,A$2:A$238,"&gt;="&amp;DATE(YEAR(TODAY()),MONTH(TODAY()),1),A$2:A$238,"&lt;"&amp;DATE(YEAR(TODAY()),MONTH(TODAY())+1,1),B$2:B$238,$B$298),"")</f>
        <v/>
      </c>
      <c r="E298" s="10">
        <f>IFERROR(AVERAGEIFS(E$2:E$238,A$2:A$238,"&gt;="&amp;DATE(YEAR(TODAY()),MONTH(TODAY()),1),A$2:A$238,"&lt;"&amp;DATE(YEAR(TODAY()),MONTH(TODAY())+1,1),B$2:B$238,$B$298),"")</f>
        <v/>
      </c>
      <c r="F298" s="11">
        <f>IFERROR(SUMPRODUCT((YEAR(A$2:A$238)=YEAR(TODAY()))*(MONTH(A$2:A$238)=MONTH(TODAY()))*(B$2:B$238=$B$298)*(F$2:F$238),"")</f>
        <v/>
      </c>
    </row>
    <row r="299">
      <c r="B299" s="2" t="inlineStr">
        <is>
          <t>电池级金属锂</t>
        </is>
      </c>
      <c r="C299" s="10">
        <f>IFERROR(AVERAGEIFS(C$2:C$238,A$2:A$238,"&gt;="&amp;DATE(YEAR(TODAY()),MONTH(TODAY()),1),A$2:A$238,"&lt;"&amp;DATE(YEAR(TODAY()),MONTH(TODAY())+1,1),B$2:B$238,$B$299),"")</f>
        <v/>
      </c>
      <c r="D299" s="10">
        <f>IFERROR(AVERAGEIFS(D$2:D$238,A$2:A$238,"&gt;="&amp;DATE(YEAR(TODAY()),MONTH(TODAY()),1),A$2:A$238,"&lt;"&amp;DATE(YEAR(TODAY()),MONTH(TODAY())+1,1),B$2:B$238,$B$299),"")</f>
        <v/>
      </c>
      <c r="E299" s="10">
        <f>IFERROR(AVERAGEIFS(E$2:E$238,A$2:A$238,"&gt;="&amp;DATE(YEAR(TODAY()),MONTH(TODAY()),1),A$2:A$238,"&lt;"&amp;DATE(YEAR(TODAY()),MONTH(TODAY())+1,1),B$2:B$238,$B$299),"")</f>
        <v/>
      </c>
      <c r="F299" s="11">
        <f>IFERROR(SUMPRODUCT((YEAR(A$2:A$238)=YEAR(TODAY()))*(MONTH(A$2:A$238)=MONTH(TODAY()))*(B$2:B$238=$B$299)*(F$2:F$238),"")</f>
        <v/>
      </c>
    </row>
    <row r="300">
      <c r="B300" s="2" t="inlineStr">
        <is>
          <t>电解钴</t>
        </is>
      </c>
      <c r="C300" s="10">
        <f>IFERROR(AVERAGEIFS(C$2:C$238,A$2:A$238,"&gt;="&amp;DATE(YEAR(TODAY()),MONTH(TODAY()),1),A$2:A$238,"&lt;"&amp;DATE(YEAR(TODAY()),MONTH(TODAY())+1,1),B$2:B$238,$B$300),"")</f>
        <v/>
      </c>
      <c r="D300" s="10">
        <f>IFERROR(AVERAGEIFS(D$2:D$238,A$2:A$238,"&gt;="&amp;DATE(YEAR(TODAY()),MONTH(TODAY()),1),A$2:A$238,"&lt;"&amp;DATE(YEAR(TODAY()),MONTH(TODAY())+1,1),B$2:B$238,$B$300),"")</f>
        <v/>
      </c>
      <c r="E300" s="10">
        <f>IFERROR(AVERAGEIFS(E$2:E$238,A$2:A$238,"&gt;="&amp;DATE(YEAR(TODAY()),MONTH(TODAY()),1),A$2:A$238,"&lt;"&amp;DATE(YEAR(TODAY()),MONTH(TODAY())+1,1),B$2:B$238,$B$300),"")</f>
        <v/>
      </c>
      <c r="F300" s="11">
        <f>IFERROR(SUMPRODUCT((YEAR(A$2:A$238)=YEAR(TODAY()))*(MONTH(A$2:A$238)=MONTH(TODAY()))*(B$2:B$238=$B$300)*(F$2:F$238),"")</f>
        <v/>
      </c>
    </row>
    <row r="301">
      <c r="B301" s="2" t="inlineStr">
        <is>
          <t>电解钴（鹿特丹仓库）</t>
        </is>
      </c>
      <c r="C301" s="10">
        <f>IFERROR(AVERAGEIFS(C$2:C$238,A$2:A$238,"&gt;="&amp;DATE(YEAR(TODAY()),MONTH(TODAY()),1),A$2:A$238,"&lt;"&amp;DATE(YEAR(TODAY()),MONTH(TODAY())+1,1),B$2:B$238,$B$301),"")</f>
        <v/>
      </c>
      <c r="D301" s="10">
        <f>IFERROR(AVERAGEIFS(D$2:D$238,A$2:A$238,"&gt;="&amp;DATE(YEAR(TODAY()),MONTH(TODAY()),1),A$2:A$238,"&lt;"&amp;DATE(YEAR(TODAY()),MONTH(TODAY())+1,1),B$2:B$238,$B$301),"")</f>
        <v/>
      </c>
      <c r="E301" s="10">
        <f>IFERROR(AVERAGEIFS(E$2:E$238,A$2:A$238,"&gt;="&amp;DATE(YEAR(TODAY()),MONTH(TODAY()),1),A$2:A$238,"&lt;"&amp;DATE(YEAR(TODAY()),MONTH(TODAY())+1,1),B$2:B$238,$B$301),"")</f>
        <v/>
      </c>
      <c r="F301" s="11">
        <f>IFERROR(SUMPRODUCT((YEAR(A$2:A$238)=YEAR(TODAY()))*(MONTH(A$2:A$238)=MONTH(TODAY()))*(B$2:B$238=$B$301)*(F$2:F$238),"")</f>
        <v/>
      </c>
    </row>
    <row r="302">
      <c r="B302" s="2" t="inlineStr">
        <is>
          <t>电镀级硫酸镍</t>
        </is>
      </c>
      <c r="C302" s="10">
        <f>IFERROR(AVERAGEIFS(C$2:C$238,A$2:A$238,"&gt;="&amp;DATE(YEAR(TODAY()),MONTH(TODAY()),1),A$2:A$238,"&lt;"&amp;DATE(YEAR(TODAY()),MONTH(TODAY())+1,1),B$2:B$238,$B$302),"")</f>
        <v/>
      </c>
      <c r="D302" s="10">
        <f>IFERROR(AVERAGEIFS(D$2:D$238,A$2:A$238,"&gt;="&amp;DATE(YEAR(TODAY()),MONTH(TODAY()),1),A$2:A$238,"&lt;"&amp;DATE(YEAR(TODAY()),MONTH(TODAY())+1,1),B$2:B$238,$B$302),"")</f>
        <v/>
      </c>
      <c r="E302" s="10">
        <f>IFERROR(AVERAGEIFS(E$2:E$238,A$2:A$238,"&gt;="&amp;DATE(YEAR(TODAY()),MONTH(TODAY()),1),A$2:A$238,"&lt;"&amp;DATE(YEAR(TODAY()),MONTH(TODAY())+1,1),B$2:B$238,$B$302),"")</f>
        <v/>
      </c>
      <c r="F302" s="11">
        <f>IFERROR(SUMPRODUCT((YEAR(A$2:A$238)=YEAR(TODAY()))*(MONTH(A$2:A$238)=MONTH(TODAY()))*(B$2:B$238=$B$302)*(F$2:F$238),"")</f>
        <v/>
      </c>
    </row>
    <row r="303">
      <c r="B303" s="2" t="inlineStr">
        <is>
          <t>硫酸钴</t>
        </is>
      </c>
      <c r="C303" s="10">
        <f>IFERROR(AVERAGEIFS(C$2:C$238,A$2:A$238,"&gt;="&amp;DATE(YEAR(TODAY()),MONTH(TODAY()),1),A$2:A$238,"&lt;"&amp;DATE(YEAR(TODAY()),MONTH(TODAY())+1,1),B$2:B$238,$B$303),"")</f>
        <v/>
      </c>
      <c r="D303" s="10">
        <f>IFERROR(AVERAGEIFS(D$2:D$238,A$2:A$238,"&gt;="&amp;DATE(YEAR(TODAY()),MONTH(TODAY()),1),A$2:A$238,"&lt;"&amp;DATE(YEAR(TODAY()),MONTH(TODAY())+1,1),B$2:B$238,$B$303),"")</f>
        <v/>
      </c>
      <c r="E303" s="10">
        <f>IFERROR(AVERAGEIFS(E$2:E$238,A$2:A$238,"&gt;="&amp;DATE(YEAR(TODAY()),MONTH(TODAY()),1),A$2:A$238,"&lt;"&amp;DATE(YEAR(TODAY()),MONTH(TODAY())+1,1),B$2:B$238,$B$303),"")</f>
        <v/>
      </c>
      <c r="F303" s="11">
        <f>IFERROR(SUMPRODUCT((YEAR(A$2:A$238)=YEAR(TODAY()))*(MONTH(A$2:A$238)=MONTH(TODAY()))*(B$2:B$238=$B$303)*(F$2:F$238),"")</f>
        <v/>
      </c>
    </row>
    <row r="304">
      <c r="B304" s="2" t="inlineStr">
        <is>
          <t>碳酸钴</t>
        </is>
      </c>
      <c r="C304" s="10">
        <f>IFERROR(AVERAGEIFS(C$2:C$238,A$2:A$238,"&gt;="&amp;DATE(YEAR(TODAY()),MONTH(TODAY()),1),A$2:A$238,"&lt;"&amp;DATE(YEAR(TODAY()),MONTH(TODAY())+1,1),B$2:B$238,$B$304),"")</f>
        <v/>
      </c>
      <c r="D304" s="10">
        <f>IFERROR(AVERAGEIFS(D$2:D$238,A$2:A$238,"&gt;="&amp;DATE(YEAR(TODAY()),MONTH(TODAY()),1),A$2:A$238,"&lt;"&amp;DATE(YEAR(TODAY()),MONTH(TODAY())+1,1),B$2:B$238,$B$304),"")</f>
        <v/>
      </c>
      <c r="E304" s="10">
        <f>IFERROR(AVERAGEIFS(E$2:E$238,A$2:A$238,"&gt;="&amp;DATE(YEAR(TODAY()),MONTH(TODAY()),1),A$2:A$238,"&lt;"&amp;DATE(YEAR(TODAY()),MONTH(TODAY())+1,1),B$2:B$238,$B$304),"")</f>
        <v/>
      </c>
      <c r="F304" s="11">
        <f>IFERROR(SUMPRODUCT((YEAR(A$2:A$238)=YEAR(TODAY()))*(MONTH(A$2:A$238)=MONTH(TODAY()))*(B$2:B$238=$B$304)*(F$2:F$238),"")</f>
        <v/>
      </c>
    </row>
    <row r="305">
      <c r="B305" s="2" t="inlineStr">
        <is>
          <t>磷酸铁锂</t>
        </is>
      </c>
      <c r="C305" s="10">
        <f>IFERROR(AVERAGEIFS(C$2:C$238,A$2:A$238,"&gt;="&amp;DATE(YEAR(TODAY()),MONTH(TODAY()),1),A$2:A$238,"&lt;"&amp;DATE(YEAR(TODAY()),MONTH(TODAY())+1,1),B$2:B$238,$B$305),"")</f>
        <v/>
      </c>
      <c r="D305" s="10">
        <f>IFERROR(AVERAGEIFS(D$2:D$238,A$2:A$238,"&gt;="&amp;DATE(YEAR(TODAY()),MONTH(TODAY()),1),A$2:A$238,"&lt;"&amp;DATE(YEAR(TODAY()),MONTH(TODAY())+1,1),B$2:B$238,$B$305),"")</f>
        <v/>
      </c>
      <c r="E305" s="10">
        <f>IFERROR(AVERAGEIFS(E$2:E$238,A$2:A$238,"&gt;="&amp;DATE(YEAR(TODAY()),MONTH(TODAY()),1),A$2:A$238,"&lt;"&amp;DATE(YEAR(TODAY()),MONTH(TODAY())+1,1),B$2:B$238,$B$305),"")</f>
        <v/>
      </c>
      <c r="F305" s="11">
        <f>IFERROR(SUMPRODUCT((YEAR(A$2:A$238)=YEAR(TODAY()))*(MONTH(A$2:A$238)=MONTH(TODAY()))*(B$2:B$238=$B$305)*(F$2:F$238),"")</f>
        <v/>
      </c>
    </row>
    <row r="306">
      <c r="B306" s="2" t="inlineStr">
        <is>
          <t>磷酸锰铁锂</t>
        </is>
      </c>
      <c r="C306" s="10">
        <f>IFERROR(AVERAGEIFS(C$2:C$238,A$2:A$238,"&gt;="&amp;DATE(YEAR(TODAY()),MONTH(TODAY()),1),A$2:A$238,"&lt;"&amp;DATE(YEAR(TODAY()),MONTH(TODAY())+1,1),B$2:B$238,$B$306),"")</f>
        <v/>
      </c>
      <c r="D306" s="10">
        <f>IFERROR(AVERAGEIFS(D$2:D$238,A$2:A$238,"&gt;="&amp;DATE(YEAR(TODAY()),MONTH(TODAY()),1),A$2:A$238,"&lt;"&amp;DATE(YEAR(TODAY()),MONTH(TODAY())+1,1),B$2:B$238,$B$306),"")</f>
        <v/>
      </c>
      <c r="E306" s="10">
        <f>IFERROR(AVERAGEIFS(E$2:E$238,A$2:A$238,"&gt;="&amp;DATE(YEAR(TODAY()),MONTH(TODAY()),1),A$2:A$238,"&lt;"&amp;DATE(YEAR(TODAY()),MONTH(TODAY())+1,1),B$2:B$238,$B$306),"")</f>
        <v/>
      </c>
      <c r="F306" s="11">
        <f>IFERROR(SUMPRODUCT((YEAR(A$2:A$238)=YEAR(TODAY()))*(MONTH(A$2:A$238)=MONTH(TODAY()))*(B$2:B$238=$B$306)*(F$2:F$238),"")</f>
        <v/>
      </c>
    </row>
    <row r="307">
      <c r="B307" s="2" t="inlineStr">
        <is>
          <t>金属钴FOB</t>
        </is>
      </c>
      <c r="C307" s="10">
        <f>IFERROR(AVERAGEIFS(C$2:C$238,A$2:A$238,"&gt;="&amp;DATE(YEAR(TODAY()),MONTH(TODAY()),1),A$2:A$238,"&lt;"&amp;DATE(YEAR(TODAY()),MONTH(TODAY())+1,1),B$2:B$238,$B$307),"")</f>
        <v/>
      </c>
      <c r="D307" s="10">
        <f>IFERROR(AVERAGEIFS(D$2:D$238,A$2:A$238,"&gt;="&amp;DATE(YEAR(TODAY()),MONTH(TODAY()),1),A$2:A$238,"&lt;"&amp;DATE(YEAR(TODAY()),MONTH(TODAY())+1,1),B$2:B$238,$B$307),"")</f>
        <v/>
      </c>
      <c r="E307" s="10">
        <f>IFERROR(AVERAGEIFS(E$2:E$238,A$2:A$238,"&gt;="&amp;DATE(YEAR(TODAY()),MONTH(TODAY()),1),A$2:A$238,"&lt;"&amp;DATE(YEAR(TODAY()),MONTH(TODAY())+1,1),B$2:B$238,$B$307),"")</f>
        <v/>
      </c>
      <c r="F307" s="11">
        <f>IFERROR(SUMPRODUCT((YEAR(A$2:A$238)=YEAR(TODAY()))*(MONTH(A$2:A$238)=MONTH(TODAY()))*(B$2:B$238=$B$307)*(F$2:F$238),"")</f>
        <v/>
      </c>
    </row>
    <row r="308">
      <c r="B308" s="2" t="inlineStr">
        <is>
          <t>钴中间品中钴含量≥30%</t>
        </is>
      </c>
      <c r="C308" s="10">
        <f>IFERROR(AVERAGEIFS(C$2:C$238,A$2:A$238,"&gt;="&amp;DATE(YEAR(TODAY()),MONTH(TODAY()),1),A$2:A$238,"&lt;"&amp;DATE(YEAR(TODAY()),MONTH(TODAY())+1,1),B$2:B$238,$B$308),"")</f>
        <v/>
      </c>
      <c r="D308" s="10">
        <f>IFERROR(AVERAGEIFS(D$2:D$238,A$2:A$238,"&gt;="&amp;DATE(YEAR(TODAY()),MONTH(TODAY()),1),A$2:A$238,"&lt;"&amp;DATE(YEAR(TODAY()),MONTH(TODAY())+1,1),B$2:B$238,$B$308),"")</f>
        <v/>
      </c>
      <c r="E308" s="10">
        <f>IFERROR(AVERAGEIFS(E$2:E$238,A$2:A$238,"&gt;="&amp;DATE(YEAR(TODAY()),MONTH(TODAY()),1),A$2:A$238,"&lt;"&amp;DATE(YEAR(TODAY()),MONTH(TODAY())+1,1),B$2:B$238,$B$308),"")</f>
        <v/>
      </c>
      <c r="F308" s="11">
        <f>IFERROR(SUMPRODUCT((YEAR(A$2:A$238)=YEAR(TODAY()))*(MONTH(A$2:A$238)=MONTH(TODAY()))*(B$2:B$238=$B$308)*(F$2:F$238),"")</f>
        <v/>
      </c>
    </row>
    <row r="309">
      <c r="B309" s="2" t="inlineStr">
        <is>
          <t>钴中间品原料计价系数（对SMM硫酸钴均价）</t>
        </is>
      </c>
      <c r="C309" s="10">
        <f>IFERROR(AVERAGEIFS(C$2:C$238,A$2:A$238,"&gt;="&amp;DATE(YEAR(TODAY()),MONTH(TODAY()),1),A$2:A$238,"&lt;"&amp;DATE(YEAR(TODAY()),MONTH(TODAY())+1,1),B$2:B$238,$B$309),"")</f>
        <v/>
      </c>
      <c r="D309" s="10">
        <f>IFERROR(AVERAGEIFS(D$2:D$238,A$2:A$238,"&gt;="&amp;DATE(YEAR(TODAY()),MONTH(TODAY()),1),A$2:A$238,"&lt;"&amp;DATE(YEAR(TODAY()),MONTH(TODAY())+1,1),B$2:B$238,$B$309),"")</f>
        <v/>
      </c>
      <c r="E309" s="10">
        <f>IFERROR(AVERAGEIFS(E$2:E$238,A$2:A$238,"&gt;="&amp;DATE(YEAR(TODAY()),MONTH(TODAY()),1),A$2:A$238,"&lt;"&amp;DATE(YEAR(TODAY()),MONTH(TODAY())+1,1),B$2:B$238,$B$309),"")</f>
        <v/>
      </c>
      <c r="F309" s="11">
        <f>IFERROR(SUMPRODUCT((YEAR(A$2:A$238)=YEAR(TODAY()))*(MONTH(A$2:A$238)=MONTH(TODAY()))*(B$2:B$238=$B$309)*(F$2:F$238),"")</f>
        <v/>
      </c>
    </row>
    <row r="310">
      <c r="B310" s="2" t="inlineStr">
        <is>
          <t>钴酸锂</t>
        </is>
      </c>
      <c r="C310" s="10">
        <f>IFERROR(AVERAGEIFS(C$2:C$238,A$2:A$238,"&gt;="&amp;DATE(YEAR(TODAY()),MONTH(TODAY()),1),A$2:A$238,"&lt;"&amp;DATE(YEAR(TODAY()),MONTH(TODAY())+1,1),B$2:B$238,$B$310),"")</f>
        <v/>
      </c>
      <c r="D310" s="10">
        <f>IFERROR(AVERAGEIFS(D$2:D$238,A$2:A$238,"&gt;="&amp;DATE(YEAR(TODAY()),MONTH(TODAY()),1),A$2:A$238,"&lt;"&amp;DATE(YEAR(TODAY()),MONTH(TODAY())+1,1),B$2:B$238,$B$310),"")</f>
        <v/>
      </c>
      <c r="E310" s="10">
        <f>IFERROR(AVERAGEIFS(E$2:E$238,A$2:A$238,"&gt;="&amp;DATE(YEAR(TODAY()),MONTH(TODAY()),1),A$2:A$238,"&lt;"&amp;DATE(YEAR(TODAY()),MONTH(TODAY())+1,1),B$2:B$238,$B$310),"")</f>
        <v/>
      </c>
      <c r="F310" s="11">
        <f>IFERROR(SUMPRODUCT((YEAR(A$2:A$238)=YEAR(TODAY()))*(MONTH(A$2:A$238)=MONTH(TODAY()))*(B$2:B$238=$B$310)*(F$2:F$238),"")</f>
        <v/>
      </c>
    </row>
    <row r="311">
      <c r="B311" s="2" t="inlineStr">
        <is>
          <t>钴酸锂聚合物软包</t>
        </is>
      </c>
      <c r="C311" s="10">
        <f>IFERROR(AVERAGEIFS(C$2:C$238,A$2:A$238,"&gt;="&amp;DATE(YEAR(TODAY()),MONTH(TODAY()),1),A$2:A$238,"&lt;"&amp;DATE(YEAR(TODAY()),MONTH(TODAY())+1,1),B$2:B$238,$B$311),"")</f>
        <v/>
      </c>
      <c r="D311" s="10">
        <f>IFERROR(AVERAGEIFS(D$2:D$238,A$2:A$238,"&gt;="&amp;DATE(YEAR(TODAY()),MONTH(TODAY()),1),A$2:A$238,"&lt;"&amp;DATE(YEAR(TODAY()),MONTH(TODAY())+1,1),B$2:B$238,$B$311),"")</f>
        <v/>
      </c>
      <c r="E311" s="10">
        <f>IFERROR(AVERAGEIFS(E$2:E$238,A$2:A$238,"&gt;="&amp;DATE(YEAR(TODAY()),MONTH(TODAY()),1),A$2:A$238,"&lt;"&amp;DATE(YEAR(TODAY()),MONTH(TODAY())+1,1),B$2:B$238,$B$311),"")</f>
        <v/>
      </c>
      <c r="F311" s="11">
        <f>IFERROR(SUMPRODUCT((YEAR(A$2:A$238)=YEAR(TODAY()))*(MONTH(A$2:A$238)=MONTH(TODAY()))*(B$2:B$238=$B$311)*(F$2:F$238),"")</f>
        <v/>
      </c>
    </row>
    <row r="312">
      <c r="B312" s="2" t="inlineStr">
        <is>
          <t>钴酸锂铝壳</t>
        </is>
      </c>
      <c r="C312" s="10">
        <f>IFERROR(AVERAGEIFS(C$2:C$238,A$2:A$238,"&gt;="&amp;DATE(YEAR(TODAY()),MONTH(TODAY()),1),A$2:A$238,"&lt;"&amp;DATE(YEAR(TODAY()),MONTH(TODAY())+1,1),B$2:B$238,$B$312),"")</f>
        <v/>
      </c>
      <c r="D312" s="10">
        <f>IFERROR(AVERAGEIFS(D$2:D$238,A$2:A$238,"&gt;="&amp;DATE(YEAR(TODAY()),MONTH(TODAY()),1),A$2:A$238,"&lt;"&amp;DATE(YEAR(TODAY()),MONTH(TODAY())+1,1),B$2:B$238,$B$312),"")</f>
        <v/>
      </c>
      <c r="E312" s="10">
        <f>IFERROR(AVERAGEIFS(E$2:E$238,A$2:A$238,"&gt;="&amp;DATE(YEAR(TODAY()),MONTH(TODAY()),1),A$2:A$238,"&lt;"&amp;DATE(YEAR(TODAY()),MONTH(TODAY())+1,1),B$2:B$238,$B$312),"")</f>
        <v/>
      </c>
      <c r="F312" s="11">
        <f>IFERROR(SUMPRODUCT((YEAR(A$2:A$238)=YEAR(TODAY()))*(MONTH(A$2:A$238)=MONTH(TODAY()))*(B$2:B$238=$B$312)*(F$2:F$238),"")</f>
        <v/>
      </c>
    </row>
    <row r="313">
      <c r="B313" s="2" t="inlineStr">
        <is>
          <t>锰酸锂圆柱钢壳</t>
        </is>
      </c>
      <c r="C313" s="10">
        <f>IFERROR(AVERAGEIFS(C$2:C$238,A$2:A$238,"&gt;="&amp;DATE(YEAR(TODAY()),MONTH(TODAY()),1),A$2:A$238,"&lt;"&amp;DATE(YEAR(TODAY()),MONTH(TODAY())+1,1),B$2:B$238,$B$313),"")</f>
        <v/>
      </c>
      <c r="D313" s="10">
        <f>IFERROR(AVERAGEIFS(D$2:D$238,A$2:A$238,"&gt;="&amp;DATE(YEAR(TODAY()),MONTH(TODAY()),1),A$2:A$238,"&lt;"&amp;DATE(YEAR(TODAY()),MONTH(TODAY())+1,1),B$2:B$238,$B$313),"")</f>
        <v/>
      </c>
      <c r="E313" s="10">
        <f>IFERROR(AVERAGEIFS(E$2:E$238,A$2:A$238,"&gt;="&amp;DATE(YEAR(TODAY()),MONTH(TODAY()),1),A$2:A$238,"&lt;"&amp;DATE(YEAR(TODAY()),MONTH(TODAY())+1,1),B$2:B$238,$B$313),"")</f>
        <v/>
      </c>
      <c r="F313" s="11">
        <f>IFERROR(SUMPRODUCT((YEAR(A$2:A$238)=YEAR(TODAY()))*(MONTH(A$2:A$238)=MONTH(TODAY()))*(B$2:B$238=$B$313)*(F$2:F$238),"")</f>
        <v/>
      </c>
    </row>
    <row r="314">
      <c r="B314" s="2" t="inlineStr">
        <is>
          <t>非洲硫酸锂(CIF中国)</t>
        </is>
      </c>
      <c r="C314" s="10">
        <f>IFERROR(AVERAGEIFS(C$2:C$238,A$2:A$238,"&gt;="&amp;DATE(YEAR(TODAY()),MONTH(TODAY()),1),A$2:A$238,"&lt;"&amp;DATE(YEAR(TODAY()),MONTH(TODAY())+1,1),B$2:B$238,$B$314),"")</f>
        <v/>
      </c>
      <c r="D314" s="10">
        <f>IFERROR(AVERAGEIFS(D$2:D$238,A$2:A$238,"&gt;="&amp;DATE(YEAR(TODAY()),MONTH(TODAY()),1),A$2:A$238,"&lt;"&amp;DATE(YEAR(TODAY()),MONTH(TODAY())+1,1),B$2:B$238,$B$314),"")</f>
        <v/>
      </c>
      <c r="E314" s="10">
        <f>IFERROR(AVERAGEIFS(E$2:E$238,A$2:A$238,"&gt;="&amp;DATE(YEAR(TODAY()),MONTH(TODAY()),1),A$2:A$238,"&lt;"&amp;DATE(YEAR(TODAY()),MONTH(TODAY())+1,1),B$2:B$238,$B$314),"")</f>
        <v/>
      </c>
      <c r="F314" s="11">
        <f>IFERROR(SUMPRODUCT((YEAR(A$2:A$238)=YEAR(TODAY()))*(MONTH(A$2:A$238)=MONTH(TODAY()))*(B$2:B$238=$B$314)*(F$2:F$238),"")</f>
        <v/>
      </c>
    </row>
    <row r="315">
      <c r="B315" s="2" t="inlineStr">
        <is>
          <t>非洲锂辉石精矿（CIF中国）指数</t>
        </is>
      </c>
      <c r="C315" s="10">
        <f>IFERROR(AVERAGEIFS(C$2:C$238,A$2:A$238,"&gt;="&amp;DATE(YEAR(TODAY()),MONTH(TODAY()),1),A$2:A$238,"&lt;"&amp;DATE(YEAR(TODAY()),MONTH(TODAY())+1,1),B$2:B$238,$B$315),"")</f>
        <v/>
      </c>
      <c r="D315" s="10">
        <f>IFERROR(AVERAGEIFS(D$2:D$238,A$2:A$238,"&gt;="&amp;DATE(YEAR(TODAY()),MONTH(TODAY()),1),A$2:A$238,"&lt;"&amp;DATE(YEAR(TODAY()),MONTH(TODAY())+1,1),B$2:B$238,$B$315),"")</f>
        <v/>
      </c>
      <c r="E315" s="10">
        <f>IFERROR(AVERAGEIFS(E$2:E$238,A$2:A$238,"&gt;="&amp;DATE(YEAR(TODAY()),MONTH(TODAY()),1),A$2:A$238,"&lt;"&amp;DATE(YEAR(TODAY()),MONTH(TODAY())+1,1),B$2:B$238,$B$315),"")</f>
        <v/>
      </c>
      <c r="F315" s="11">
        <f>IFERROR(SUMPRODUCT((YEAR(A$2:A$238)=YEAR(TODAY()))*(MONTH(A$2:A$238)=MONTH(TODAY()))*(B$2:B$238=$B$315)*(F$2:F$238),"")</f>
        <v/>
      </c>
    </row>
  </sheetData>
  <autoFilter ref="A1:H238"/>
  <mergeCells count="1">
    <mergeCell ref="A240:H2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165820</v>
      </c>
      <c r="E16" s="4" t="n">
        <v>171800</v>
      </c>
      <c r="F16" s="4" t="n">
        <v>0</v>
      </c>
      <c r="G16" s="4" t="n">
        <v>168140</v>
      </c>
      <c r="H16" s="4" t="n">
        <v>-6680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6.763</v>
      </c>
      <c r="E17" s="5" t="n"/>
      <c r="F17" s="6" t="n">
        <v>6.7572</v>
      </c>
      <c r="G17" s="6" t="n">
        <v>6.7572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21.02</v>
      </c>
      <c r="E18" s="5" t="n"/>
      <c r="F18" s="5" t="n"/>
      <c r="G18" s="5" t="n"/>
      <c r="H18" s="6" t="n">
        <v>0.03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1">
      <c r="A21" s="8" t="inlineStr">
        <is>
          <t>当月均价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C22" s="2" t="inlineStr">
        <is>
          <t>CME氢氧化锂</t>
        </is>
      </c>
      <c r="D22" s="10">
        <f>IFERROR(AVERAGEIFS(D$2:D$19,A$2:A$19,"&gt;="&amp;DATE(YEAR(TODAY()),MONTH(TODAY()),1),A$2:A$19,"&lt;"&amp;DATE(YEAR(TODAY()),MONTH(TODAY())+1,1),C$2:C$19,$C$22),"")</f>
        <v/>
      </c>
      <c r="E22" s="10">
        <f>IFERROR(AVERAGEIFS(E$2:E$19,A$2:A$19,"&gt;="&amp;DATE(YEAR(TODAY()),MONTH(TODAY()),1),A$2:A$19,"&lt;"&amp;DATE(YEAR(TODAY()),MONTH(TODAY())+1,1),C$2:C$19,$C$22),"")</f>
        <v/>
      </c>
      <c r="F22" s="10">
        <f>IFERROR(AVERAGEIFS(F$2:F$19,A$2:A$19,"&gt;="&amp;DATE(YEAR(TODAY()),MONTH(TODAY()),1),A$2:A$19,"&lt;"&amp;DATE(YEAR(TODAY()),MONTH(TODAY())+1,1),C$2:C$19,$C$22),"")</f>
        <v/>
      </c>
      <c r="G22" s="10">
        <f>IFERROR(AVERAGEIFS(G$2:G$19,A$2:A$19,"&gt;="&amp;DATE(YEAR(TODAY()),MONTH(TODAY()),1),A$2:A$19,"&lt;"&amp;DATE(YEAR(TODAY()),MONTH(TODAY())+1,1),C$2:C$19,$C$22),"")</f>
        <v/>
      </c>
      <c r="H22" s="11">
        <f>IFERROR(SUMPRODUCT((YEAR(A$2:A$19)=YEAR(TODAY()))*(MONTH(A$2:A$19)=MONTH(TODAY()))*(C$2:C$19=$C$22)*(H$2:H$19),"")</f>
        <v/>
      </c>
    </row>
    <row r="23">
      <c r="C23" s="2" t="inlineStr">
        <is>
          <t>CME钴</t>
        </is>
      </c>
      <c r="D23" s="10">
        <f>IFERROR(AVERAGEIFS(D$2:D$19,A$2:A$19,"&gt;="&amp;DATE(YEAR(TODAY()),MONTH(TODAY()),1),A$2:A$19,"&lt;"&amp;DATE(YEAR(TODAY()),MONTH(TODAY())+1,1),C$2:C$19,$C$23),"")</f>
        <v/>
      </c>
      <c r="E23" s="10">
        <f>IFERROR(AVERAGEIFS(E$2:E$19,A$2:A$19,"&gt;="&amp;DATE(YEAR(TODAY()),MONTH(TODAY()),1),A$2:A$19,"&lt;"&amp;DATE(YEAR(TODAY()),MONTH(TODAY())+1,1),C$2:C$19,$C$23),"")</f>
        <v/>
      </c>
      <c r="F23" s="10">
        <f>IFERROR(AVERAGEIFS(F$2:F$19,A$2:A$19,"&gt;="&amp;DATE(YEAR(TODAY()),MONTH(TODAY()),1),A$2:A$19,"&lt;"&amp;DATE(YEAR(TODAY()),MONTH(TODAY())+1,1),C$2:C$19,$C$23),"")</f>
        <v/>
      </c>
      <c r="G23" s="10">
        <f>IFERROR(AVERAGEIFS(G$2:G$19,A$2:A$19,"&gt;="&amp;DATE(YEAR(TODAY()),MONTH(TODAY()),1),A$2:A$19,"&lt;"&amp;DATE(YEAR(TODAY()),MONTH(TODAY())+1,1),C$2:C$19,$C$23),"")</f>
        <v/>
      </c>
      <c r="H23" s="11">
        <f>IFERROR(SUMPRODUCT((YEAR(A$2:A$19)=YEAR(TODAY()))*(MONTH(A$2:A$19)=MONTH(TODAY()))*(C$2:C$19=$C$23)*(H$2:H$19),"")</f>
        <v/>
      </c>
    </row>
    <row r="24">
      <c r="C24" s="2" t="inlineStr">
        <is>
          <t>沪镍(NI)连续</t>
        </is>
      </c>
      <c r="D24" s="10">
        <f>IFERROR(AVERAGEIFS(D$2:D$19,A$2:A$19,"&gt;="&amp;DATE(YEAR(TODAY()),MONTH(TODAY()),1),A$2:A$19,"&lt;"&amp;DATE(YEAR(TODAY()),MONTH(TODAY())+1,1),C$2:C$19,$C$24),"")</f>
        <v/>
      </c>
      <c r="E24" s="10">
        <f>IFERROR(AVERAGEIFS(E$2:E$19,A$2:A$19,"&gt;="&amp;DATE(YEAR(TODAY()),MONTH(TODAY()),1),A$2:A$19,"&lt;"&amp;DATE(YEAR(TODAY()),MONTH(TODAY())+1,1),C$2:C$19,$C$24),"")</f>
        <v/>
      </c>
      <c r="F24" s="10">
        <f>IFERROR(AVERAGEIFS(F$2:F$19,A$2:A$19,"&gt;="&amp;DATE(YEAR(TODAY()),MONTH(TODAY()),1),A$2:A$19,"&lt;"&amp;DATE(YEAR(TODAY()),MONTH(TODAY())+1,1),C$2:C$19,$C$24),"")</f>
        <v/>
      </c>
      <c r="G24" s="10">
        <f>IFERROR(AVERAGEIFS(G$2:G$19,A$2:A$19,"&gt;="&amp;DATE(YEAR(TODAY()),MONTH(TODAY()),1),A$2:A$19,"&lt;"&amp;DATE(YEAR(TODAY()),MONTH(TODAY())+1,1),C$2:C$19,$C$24),"")</f>
        <v/>
      </c>
      <c r="H24" s="11">
        <f>IFERROR(SUMPRODUCT((YEAR(A$2:A$19)=YEAR(TODAY()))*(MONTH(A$2:A$19)=MONTH(TODAY()))*(C$2:C$19=$C$24)*(H$2:H$19),"")</f>
        <v/>
      </c>
    </row>
    <row r="25">
      <c r="C25" s="2" t="inlineStr">
        <is>
          <t>碳酸锂(LC)连续</t>
        </is>
      </c>
      <c r="D25" s="10">
        <f>IFERROR(AVERAGEIFS(D$2:D$19,A$2:A$19,"&gt;="&amp;DATE(YEAR(TODAY()),MONTH(TODAY()),1),A$2:A$19,"&lt;"&amp;DATE(YEAR(TODAY()),MONTH(TODAY())+1,1),C$2:C$19,$C$25),"")</f>
        <v/>
      </c>
      <c r="E25" s="10">
        <f>IFERROR(AVERAGEIFS(E$2:E$19,A$2:A$19,"&gt;="&amp;DATE(YEAR(TODAY()),MONTH(TODAY()),1),A$2:A$19,"&lt;"&amp;DATE(YEAR(TODAY()),MONTH(TODAY())+1,1),C$2:C$19,$C$25),"")</f>
        <v/>
      </c>
      <c r="F25" s="10">
        <f>IFERROR(AVERAGEIFS(F$2:F$19,A$2:A$19,"&gt;="&amp;DATE(YEAR(TODAY()),MONTH(TODAY()),1),A$2:A$19,"&lt;"&amp;DATE(YEAR(TODAY()),MONTH(TODAY())+1,1),C$2:C$19,$C$25),"")</f>
        <v/>
      </c>
      <c r="G25" s="10">
        <f>IFERROR(AVERAGEIFS(G$2:G$19,A$2:A$19,"&gt;="&amp;DATE(YEAR(TODAY()),MONTH(TODAY()),1),A$2:A$19,"&lt;"&amp;DATE(YEAR(TODAY()),MONTH(TODAY())+1,1),C$2:C$19,$C$25),"")</f>
        <v/>
      </c>
      <c r="H25" s="11">
        <f>IFERROR(SUMPRODUCT((YEAR(A$2:A$19)=YEAR(TODAY()))*(MONTH(A$2:A$19)=MONTH(TODAY()))*(C$2:C$19=$C$25)*(H$2:H$19),"")</f>
        <v/>
      </c>
    </row>
    <row r="26">
      <c r="C26" s="2" t="inlineStr">
        <is>
          <t>美元/人民币(USDCNY)</t>
        </is>
      </c>
      <c r="D26" s="10">
        <f>IFERROR(AVERAGEIFS(D$2:D$19,A$2:A$19,"&gt;="&amp;DATE(YEAR(TODAY()),MONTH(TODAY()),1),A$2:A$19,"&lt;"&amp;DATE(YEAR(TODAY()),MONTH(TODAY())+1,1),C$2:C$19,$C$26),"")</f>
        <v/>
      </c>
      <c r="E26" s="10">
        <f>IFERROR(AVERAGEIFS(E$2:E$19,A$2:A$19,"&gt;="&amp;DATE(YEAR(TODAY()),MONTH(TODAY()),1),A$2:A$19,"&lt;"&amp;DATE(YEAR(TODAY()),MONTH(TODAY())+1,1),C$2:C$19,$C$26),"")</f>
        <v/>
      </c>
      <c r="F26" s="10">
        <f>IFERROR(AVERAGEIFS(F$2:F$19,A$2:A$19,"&gt;="&amp;DATE(YEAR(TODAY()),MONTH(TODAY()),1),A$2:A$19,"&lt;"&amp;DATE(YEAR(TODAY()),MONTH(TODAY())+1,1),C$2:C$19,$C$26),"")</f>
        <v/>
      </c>
      <c r="G26" s="10">
        <f>IFERROR(AVERAGEIFS(G$2:G$19,A$2:A$19,"&gt;="&amp;DATE(YEAR(TODAY()),MONTH(TODAY()),1),A$2:A$19,"&lt;"&amp;DATE(YEAR(TODAY()),MONTH(TODAY())+1,1),C$2:C$19,$C$26),"")</f>
        <v/>
      </c>
      <c r="H26" s="11">
        <f>IFERROR(SUMPRODUCT((YEAR(A$2:A$19)=YEAR(TODAY()))*(MONTH(A$2:A$19)=MONTH(TODAY()))*(C$2:C$19=$C$26)*(H$2:H$19),"")</f>
        <v/>
      </c>
    </row>
  </sheetData>
  <autoFilter ref="A1:J19"/>
  <mergeCells count="1">
    <mergeCell ref="A21:J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2026-06-18T02:07:29Z</dcterms:created>
  <dcterms:modified xmlns:dcterms="http://purl.org/dc/terms/" xmlns:xsi="http://www.w3.org/2001/XMLSchema-instance" xsi:type="dcterms:W3CDTF">2026-06-18T02:07:29Z</dcterms:modified>
</cp:coreProperties>
</file>