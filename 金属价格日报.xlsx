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'现货'!$A$1:$H$463</definedName>
    <definedName name="_xlnm._FilterDatabase" localSheetId="1" hidden="1">'期货'!$A$1:$J$34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89">
      <c r="A389" s="2" t="inlineStr">
        <is>
          <t>2026/06/24</t>
        </is>
      </c>
      <c r="B389" s="2" t="inlineStr">
        <is>
          <t>5系三元前驱体</t>
        </is>
      </c>
      <c r="C389" s="3" t="n">
        <v>99350</v>
      </c>
      <c r="D389" s="4" t="n">
        <v>104450</v>
      </c>
      <c r="E389" s="4" t="n">
        <v>101900</v>
      </c>
      <c r="F389" s="4" t="n">
        <v>-650</v>
      </c>
      <c r="G389" s="5" t="inlineStr">
        <is>
          <t>元/吨</t>
        </is>
      </c>
      <c r="H389" s="5" t="inlineStr">
        <is>
          <t>SMM</t>
        </is>
      </c>
    </row>
    <row r="390">
      <c r="A390" s="2" t="inlineStr">
        <is>
          <t>2026/06/24</t>
        </is>
      </c>
      <c r="B390" s="2" t="inlineStr">
        <is>
          <t>5系三元材料</t>
        </is>
      </c>
      <c r="C390" s="3" t="n">
        <v>181800</v>
      </c>
      <c r="D390" s="4" t="n">
        <v>188900</v>
      </c>
      <c r="E390" s="4" t="n">
        <v>185350</v>
      </c>
      <c r="F390" s="4" t="n">
        <v>-400</v>
      </c>
      <c r="G390" s="5" t="inlineStr">
        <is>
          <t>元/吨</t>
        </is>
      </c>
      <c r="H390" s="5" t="inlineStr">
        <is>
          <t>SMM</t>
        </is>
      </c>
    </row>
    <row r="391">
      <c r="A391" s="2" t="inlineStr">
        <is>
          <t>2026/06/24</t>
        </is>
      </c>
      <c r="B391" s="2" t="inlineStr">
        <is>
          <t>6系三元前驱体（单晶/动力型）</t>
        </is>
      </c>
      <c r="C391" s="3" t="n">
        <v>92200</v>
      </c>
      <c r="D391" s="4" t="n">
        <v>96900</v>
      </c>
      <c r="E391" s="4" t="n">
        <v>94550</v>
      </c>
      <c r="F391" s="4" t="n">
        <v>-650</v>
      </c>
      <c r="G391" s="5" t="inlineStr">
        <is>
          <t>元/吨</t>
        </is>
      </c>
      <c r="H391" s="5" t="inlineStr">
        <is>
          <t>SMM</t>
        </is>
      </c>
    </row>
    <row r="392">
      <c r="A392" s="2" t="inlineStr">
        <is>
          <t>2026/06/24</t>
        </is>
      </c>
      <c r="B392" s="2" t="inlineStr">
        <is>
          <t>6系三元材料（单晶/动力型）</t>
        </is>
      </c>
      <c r="C392" s="3" t="n">
        <v>185600</v>
      </c>
      <c r="D392" s="4" t="n">
        <v>195100</v>
      </c>
      <c r="E392" s="4" t="n">
        <v>190350</v>
      </c>
      <c r="F392" s="4" t="n">
        <v>-800</v>
      </c>
      <c r="G392" s="5" t="inlineStr">
        <is>
          <t>元/吨</t>
        </is>
      </c>
      <c r="H392" s="5" t="inlineStr">
        <is>
          <t>SMM</t>
        </is>
      </c>
    </row>
    <row r="393">
      <c r="A393" s="2" t="inlineStr">
        <is>
          <t>2026/06/24</t>
        </is>
      </c>
      <c r="B393" s="2" t="inlineStr">
        <is>
          <t>8系三元前驱体（多晶/动力型）</t>
        </is>
      </c>
      <c r="C393" s="3" t="n">
        <v>114100</v>
      </c>
      <c r="D393" s="4" t="n">
        <v>119800</v>
      </c>
      <c r="E393" s="4" t="n">
        <v>116950</v>
      </c>
      <c r="F393" s="4" t="n">
        <v>-900</v>
      </c>
      <c r="G393" s="5" t="inlineStr">
        <is>
          <t>元/吨</t>
        </is>
      </c>
      <c r="H393" s="5" t="inlineStr">
        <is>
          <t>SMM</t>
        </is>
      </c>
    </row>
    <row r="394">
      <c r="A394" s="2" t="inlineStr">
        <is>
          <t>2026/06/24</t>
        </is>
      </c>
      <c r="B394" s="2" t="inlineStr">
        <is>
          <t>8系三元材料</t>
        </is>
      </c>
      <c r="C394" s="3" t="n">
        <v>208600</v>
      </c>
      <c r="D394" s="4" t="n">
        <v>218200</v>
      </c>
      <c r="E394" s="4" t="n">
        <v>213400</v>
      </c>
      <c r="F394" s="4" t="n">
        <v>-900</v>
      </c>
      <c r="G394" s="5" t="inlineStr">
        <is>
          <t>元/吨</t>
        </is>
      </c>
      <c r="H394" s="5" t="inlineStr">
        <is>
          <t>SMM</t>
        </is>
      </c>
    </row>
    <row r="395">
      <c r="A395" s="2" t="inlineStr">
        <is>
          <t>2026/06/24</t>
        </is>
      </c>
      <c r="B395" s="2" t="inlineStr">
        <is>
          <t>MHP系数（对SMM电池级硫酸镍指数）</t>
        </is>
      </c>
      <c r="C395" s="7" t="n">
        <v>83.5</v>
      </c>
      <c r="D395" s="6" t="n">
        <v>84.5</v>
      </c>
      <c r="E395" s="6" t="n">
        <v>84</v>
      </c>
      <c r="F395" s="6" t="n">
        <v>-2</v>
      </c>
      <c r="G395" s="5" t="inlineStr">
        <is>
          <t>%</t>
        </is>
      </c>
      <c r="H395" s="5" t="inlineStr">
        <is>
          <t>SMM</t>
        </is>
      </c>
    </row>
    <row r="396">
      <c r="A396" s="2" t="inlineStr">
        <is>
          <t>2026/06/24</t>
        </is>
      </c>
      <c r="B396" s="2" t="inlineStr">
        <is>
          <t>MHP钴元素计价系数（对SMM硫酸钴均价）</t>
        </is>
      </c>
      <c r="C396" s="7" t="n">
        <v>92</v>
      </c>
      <c r="D396" s="6" t="n">
        <v>93</v>
      </c>
      <c r="E396" s="6" t="n">
        <v>92.5</v>
      </c>
      <c r="F396" s="4" t="n">
        <v>0</v>
      </c>
      <c r="G396" s="5" t="inlineStr">
        <is>
          <t>%</t>
        </is>
      </c>
      <c r="H396" s="5" t="inlineStr">
        <is>
          <t>SMM</t>
        </is>
      </c>
    </row>
    <row r="397">
      <c r="A397" s="2" t="inlineStr">
        <is>
          <t>2026/06/24</t>
        </is>
      </c>
      <c r="B397" s="2" t="inlineStr">
        <is>
          <t>NCA三元材料</t>
        </is>
      </c>
      <c r="C397" s="3" t="n">
        <v>205400</v>
      </c>
      <c r="D397" s="4" t="n">
        <v>213700</v>
      </c>
      <c r="E397" s="4" t="n">
        <v>209550</v>
      </c>
      <c r="F397" s="4" t="n">
        <v>-900</v>
      </c>
      <c r="G397" s="5" t="inlineStr">
        <is>
          <t>元/吨</t>
        </is>
      </c>
      <c r="H397" s="5" t="inlineStr">
        <is>
          <t>SMM</t>
        </is>
      </c>
    </row>
    <row r="398">
      <c r="A398" s="2" t="inlineStr">
        <is>
          <t>2026/06/24</t>
        </is>
      </c>
      <c r="B398" s="2" t="inlineStr">
        <is>
          <t>SMM三元极片粉钴系数指数</t>
        </is>
      </c>
      <c r="C398" s="7" t="n">
        <v>78.34999999999999</v>
      </c>
      <c r="D398" s="6" t="n">
        <v>78.34999999999999</v>
      </c>
      <c r="E398" s="6" t="n">
        <v>78.34999999999999</v>
      </c>
      <c r="F398" s="6" t="n">
        <v>-0.36</v>
      </c>
      <c r="G398" s="5" t="inlineStr">
        <is>
          <t>%</t>
        </is>
      </c>
      <c r="H398" s="5" t="inlineStr">
        <is>
          <t>SMM</t>
        </is>
      </c>
    </row>
    <row r="399">
      <c r="A399" s="2" t="inlineStr">
        <is>
          <t>2026/06/24</t>
        </is>
      </c>
      <c r="B399" s="2" t="inlineStr">
        <is>
          <t>SMM三元极片粉锂系数指数</t>
        </is>
      </c>
      <c r="C399" s="7" t="n">
        <v>78.36</v>
      </c>
      <c r="D399" s="6" t="n">
        <v>78.36</v>
      </c>
      <c r="E399" s="6" t="n">
        <v>78.36</v>
      </c>
      <c r="F399" s="6" t="n">
        <v>-0.36</v>
      </c>
      <c r="G399" s="5" t="inlineStr">
        <is>
          <t>%</t>
        </is>
      </c>
      <c r="H399" s="5" t="inlineStr">
        <is>
          <t>SMM</t>
        </is>
      </c>
    </row>
    <row r="400">
      <c r="A400" s="2" t="inlineStr">
        <is>
          <t>2026/06/24</t>
        </is>
      </c>
      <c r="B400" s="2" t="inlineStr">
        <is>
          <t>SMM三元极片粉镍系数指数</t>
        </is>
      </c>
      <c r="C400" s="7" t="n">
        <v>78.36</v>
      </c>
      <c r="D400" s="6" t="n">
        <v>78.36</v>
      </c>
      <c r="E400" s="6" t="n">
        <v>78.36</v>
      </c>
      <c r="F400" s="6" t="n">
        <v>-0.36</v>
      </c>
      <c r="G400" s="5" t="inlineStr">
        <is>
          <t>%</t>
        </is>
      </c>
      <c r="H400" s="5" t="inlineStr">
        <is>
          <t>SMM</t>
        </is>
      </c>
    </row>
    <row r="401">
      <c r="A401" s="2" t="inlineStr">
        <is>
          <t>2026/06/24</t>
        </is>
      </c>
      <c r="B401" s="2" t="inlineStr">
        <is>
          <t>SMM三元电池粉钴系数指数</t>
        </is>
      </c>
      <c r="C401" s="7" t="n">
        <v>74.84999999999999</v>
      </c>
      <c r="D401" s="6" t="n">
        <v>74.84999999999999</v>
      </c>
      <c r="E401" s="6" t="n">
        <v>74.84999999999999</v>
      </c>
      <c r="F401" s="6" t="n">
        <v>-0.35</v>
      </c>
      <c r="G401" s="5" t="inlineStr">
        <is>
          <t>%</t>
        </is>
      </c>
      <c r="H401" s="5" t="inlineStr">
        <is>
          <t>SMM</t>
        </is>
      </c>
    </row>
    <row r="402">
      <c r="A402" s="2" t="inlineStr">
        <is>
          <t>2026/06/24</t>
        </is>
      </c>
      <c r="B402" s="2" t="inlineStr">
        <is>
          <t>SMM三元电池粉锂系数指数</t>
        </is>
      </c>
      <c r="C402" s="7" t="n">
        <v>74.84999999999999</v>
      </c>
      <c r="D402" s="6" t="n">
        <v>74.84999999999999</v>
      </c>
      <c r="E402" s="6" t="n">
        <v>74.84999999999999</v>
      </c>
      <c r="F402" s="6" t="n">
        <v>-0.37</v>
      </c>
      <c r="G402" s="5" t="inlineStr">
        <is>
          <t>%</t>
        </is>
      </c>
      <c r="H402" s="5" t="inlineStr">
        <is>
          <t>SMM</t>
        </is>
      </c>
    </row>
    <row r="403">
      <c r="A403" s="2" t="inlineStr">
        <is>
          <t>2026/06/24</t>
        </is>
      </c>
      <c r="B403" s="2" t="inlineStr">
        <is>
          <t>SMM三元电池粉镍系数指数</t>
        </is>
      </c>
      <c r="C403" s="7" t="n">
        <v>74.84999999999999</v>
      </c>
      <c r="D403" s="6" t="n">
        <v>74.84999999999999</v>
      </c>
      <c r="E403" s="6" t="n">
        <v>74.84999999999999</v>
      </c>
      <c r="F403" s="6" t="n">
        <v>-0.37</v>
      </c>
      <c r="G403" s="5" t="inlineStr">
        <is>
          <t>%</t>
        </is>
      </c>
      <c r="H403" s="5" t="inlineStr">
        <is>
          <t>SMM</t>
        </is>
      </c>
    </row>
    <row r="404">
      <c r="A404" s="2" t="inlineStr">
        <is>
          <t>2026/06/24</t>
        </is>
      </c>
      <c r="B404" s="2" t="inlineStr">
        <is>
          <t>SMM六氟磷酸锂指数</t>
        </is>
      </c>
      <c r="C404" s="3" t="n">
        <v>100926</v>
      </c>
      <c r="D404" s="4" t="n">
        <v>105045</v>
      </c>
      <c r="E404" s="4" t="n">
        <v>102985.5</v>
      </c>
      <c r="F404" s="4" t="n">
        <v>-420.5</v>
      </c>
      <c r="G404" s="5" t="inlineStr">
        <is>
          <t>元/吨</t>
        </is>
      </c>
      <c r="H404" s="5" t="inlineStr">
        <is>
          <t>SMM</t>
        </is>
      </c>
    </row>
    <row r="405">
      <c r="A405" s="2" t="inlineStr">
        <is>
          <t>2026/06/24</t>
        </is>
      </c>
      <c r="B405" s="2" t="inlineStr">
        <is>
          <t>SMM电池级氢氧化锂指数</t>
        </is>
      </c>
      <c r="C405" s="3" t="n">
        <v>144252</v>
      </c>
      <c r="D405" s="4" t="n">
        <v>144252</v>
      </c>
      <c r="E405" s="4" t="n">
        <v>144252</v>
      </c>
      <c r="F405" s="4" t="n">
        <v>-1498</v>
      </c>
      <c r="G405" s="5" t="inlineStr">
        <is>
          <t>元/吨</t>
        </is>
      </c>
      <c r="H405" s="5" t="inlineStr">
        <is>
          <t>SMM</t>
        </is>
      </c>
    </row>
    <row r="406">
      <c r="A406" s="2" t="inlineStr">
        <is>
          <t>2026/06/24</t>
        </is>
      </c>
      <c r="B406" s="2" t="inlineStr">
        <is>
          <t>SMM电池级硫酸锰指数</t>
        </is>
      </c>
      <c r="C406" s="3" t="n">
        <v>7647</v>
      </c>
      <c r="D406" s="4" t="n">
        <v>7647</v>
      </c>
      <c r="E406" s="4" t="n">
        <v>7647</v>
      </c>
      <c r="F406" s="6" t="n">
        <v>4</v>
      </c>
      <c r="G406" s="5" t="inlineStr">
        <is>
          <t>元/吨</t>
        </is>
      </c>
      <c r="H406" s="5" t="inlineStr">
        <is>
          <t>SMM</t>
        </is>
      </c>
    </row>
    <row r="407">
      <c r="A407" s="2" t="inlineStr">
        <is>
          <t>2026/06/24</t>
        </is>
      </c>
      <c r="B407" s="2" t="inlineStr">
        <is>
          <t>SMM电池级硫酸镍指数</t>
        </is>
      </c>
      <c r="C407" s="3" t="n">
        <v>32797</v>
      </c>
      <c r="D407" s="4" t="n">
        <v>32797</v>
      </c>
      <c r="E407" s="4" t="n">
        <v>32797</v>
      </c>
      <c r="F407" s="6" t="n">
        <v>-80</v>
      </c>
      <c r="G407" s="5" t="inlineStr">
        <is>
          <t>元/吨</t>
        </is>
      </c>
      <c r="H407" s="5" t="inlineStr">
        <is>
          <t>SMM</t>
        </is>
      </c>
    </row>
    <row r="408">
      <c r="A408" s="2" t="inlineStr">
        <is>
          <t>2026/06/24</t>
        </is>
      </c>
      <c r="B408" s="2" t="inlineStr">
        <is>
          <t>SMM电池级碳酸锂指数</t>
        </is>
      </c>
      <c r="C408" s="3" t="n">
        <v>156870</v>
      </c>
      <c r="D408" s="4" t="n">
        <v>156870</v>
      </c>
      <c r="E408" s="4" t="n">
        <v>156870</v>
      </c>
      <c r="F408" s="4" t="n">
        <v>-562</v>
      </c>
      <c r="G408" s="5" t="inlineStr">
        <is>
          <t>元/吨</t>
        </is>
      </c>
      <c r="H408" s="5" t="inlineStr">
        <is>
          <t>SMM</t>
        </is>
      </c>
    </row>
    <row r="409">
      <c r="A409" s="2" t="inlineStr">
        <is>
          <t>2026/06/24</t>
        </is>
      </c>
      <c r="B409" s="2" t="inlineStr">
        <is>
          <t>SMM硫酸钴指数</t>
        </is>
      </c>
      <c r="C409" s="3" t="n">
        <v>87011</v>
      </c>
      <c r="D409" s="4" t="n">
        <v>87011</v>
      </c>
      <c r="E409" s="4" t="n">
        <v>87011</v>
      </c>
      <c r="F409" s="4" t="n">
        <v>-189</v>
      </c>
      <c r="G409" s="5" t="inlineStr">
        <is>
          <t>元/吨</t>
        </is>
      </c>
      <c r="H409" s="5" t="inlineStr">
        <is>
          <t>SMM</t>
        </is>
      </c>
    </row>
    <row r="410">
      <c r="A410" s="2" t="inlineStr">
        <is>
          <t>2026/06/24</t>
        </is>
      </c>
      <c r="B410" s="2" t="inlineStr">
        <is>
          <t>SMM磷酸铁锂极片粉指数</t>
        </is>
      </c>
      <c r="C410" s="3" t="n">
        <v>7048</v>
      </c>
      <c r="D410" s="4" t="n">
        <v>7048</v>
      </c>
      <c r="E410" s="4" t="n">
        <v>7048</v>
      </c>
      <c r="F410" s="6" t="n">
        <v>-17</v>
      </c>
      <c r="G410" s="5" t="inlineStr">
        <is>
          <t>元/锂点</t>
        </is>
      </c>
      <c r="H410" s="5" t="inlineStr">
        <is>
          <t>SMM</t>
        </is>
      </c>
    </row>
    <row r="411">
      <c r="A411" s="2" t="inlineStr">
        <is>
          <t>2026/06/24</t>
        </is>
      </c>
      <c r="B411" s="2" t="inlineStr">
        <is>
          <t>SMM磷酸铁锂电池粉指数</t>
        </is>
      </c>
      <c r="C411" s="3" t="n">
        <v>6596</v>
      </c>
      <c r="D411" s="4" t="n">
        <v>6596</v>
      </c>
      <c r="E411" s="4" t="n">
        <v>6596</v>
      </c>
      <c r="F411" s="6" t="n">
        <v>-7</v>
      </c>
      <c r="G411" s="5" t="inlineStr">
        <is>
          <t>元/锂点</t>
        </is>
      </c>
      <c r="H411" s="5" t="inlineStr">
        <is>
          <t>SMM</t>
        </is>
      </c>
    </row>
    <row r="412">
      <c r="A412" s="2" t="inlineStr">
        <is>
          <t>2026/06/24</t>
        </is>
      </c>
      <c r="B412" s="2" t="inlineStr">
        <is>
          <t>SMM钴酸锂极片粉钴系数指数</t>
        </is>
      </c>
      <c r="C412" s="7" t="n">
        <v>82.3</v>
      </c>
      <c r="D412" s="6" t="n">
        <v>82.3</v>
      </c>
      <c r="E412" s="6" t="n">
        <v>82.3</v>
      </c>
      <c r="F412" s="4" t="n">
        <v>0</v>
      </c>
      <c r="G412" s="5" t="inlineStr">
        <is>
          <t>%</t>
        </is>
      </c>
      <c r="H412" s="5" t="inlineStr">
        <is>
          <t>SMM</t>
        </is>
      </c>
    </row>
    <row r="413">
      <c r="A413" s="2" t="inlineStr">
        <is>
          <t>2026/06/24</t>
        </is>
      </c>
      <c r="B413" s="2" t="inlineStr">
        <is>
          <t>SMM钴酸锂极片粉锂系数指数</t>
        </is>
      </c>
      <c r="C413" s="7" t="n">
        <v>76.23</v>
      </c>
      <c r="D413" s="6" t="n">
        <v>76.23</v>
      </c>
      <c r="E413" s="6" t="n">
        <v>76.23</v>
      </c>
      <c r="F413" s="6" t="n">
        <v>-0.27</v>
      </c>
      <c r="G413" s="5" t="inlineStr">
        <is>
          <t>%</t>
        </is>
      </c>
      <c r="H413" s="5" t="inlineStr">
        <is>
          <t>SMM</t>
        </is>
      </c>
    </row>
    <row r="414">
      <c r="A414" s="2" t="inlineStr">
        <is>
          <t>2026/06/24</t>
        </is>
      </c>
      <c r="B414" s="2" t="inlineStr">
        <is>
          <t>SMM钴酸锂电池粉钴系数指数</t>
        </is>
      </c>
      <c r="C414" s="7" t="n">
        <v>79.97</v>
      </c>
      <c r="D414" s="6" t="n">
        <v>79.97</v>
      </c>
      <c r="E414" s="6" t="n">
        <v>79.97</v>
      </c>
      <c r="F414" s="4" t="n">
        <v>0</v>
      </c>
      <c r="G414" s="5" t="inlineStr">
        <is>
          <t>%</t>
        </is>
      </c>
      <c r="H414" s="5" t="inlineStr">
        <is>
          <t>SMM</t>
        </is>
      </c>
    </row>
    <row r="415">
      <c r="A415" s="2" t="inlineStr">
        <is>
          <t>2026/06/24</t>
        </is>
      </c>
      <c r="B415" s="2" t="inlineStr">
        <is>
          <t>SMM钴酸锂电池粉锂系数指数</t>
        </is>
      </c>
      <c r="C415" s="7" t="n">
        <v>75.92</v>
      </c>
      <c r="D415" s="6" t="n">
        <v>75.92</v>
      </c>
      <c r="E415" s="6" t="n">
        <v>75.92</v>
      </c>
      <c r="F415" s="6" t="n">
        <v>-0.19</v>
      </c>
      <c r="G415" s="5" t="inlineStr">
        <is>
          <t>%</t>
        </is>
      </c>
      <c r="H415" s="5" t="inlineStr">
        <is>
          <t>SMM</t>
        </is>
      </c>
    </row>
    <row r="416">
      <c r="A416" s="2" t="inlineStr">
        <is>
          <t>2026/06/24</t>
        </is>
      </c>
      <c r="B416" s="2" t="inlineStr">
        <is>
          <t>三元方壳锂电B品</t>
        </is>
      </c>
      <c r="C416" s="7" t="n">
        <v>0.75</v>
      </c>
      <c r="D416" s="6" t="n">
        <v>0.85</v>
      </c>
      <c r="E416" s="6" t="n">
        <v>0.8</v>
      </c>
      <c r="F416" s="4" t="n">
        <v>0</v>
      </c>
      <c r="G416" s="5" t="inlineStr">
        <is>
          <t>元/Ah</t>
        </is>
      </c>
      <c r="H416" s="5" t="inlineStr">
        <is>
          <t>SMM</t>
        </is>
      </c>
    </row>
    <row r="417">
      <c r="A417" s="2" t="inlineStr">
        <is>
          <t>2026/06/24</t>
        </is>
      </c>
      <c r="B417" s="2" t="inlineStr">
        <is>
          <t>六氟磷酸锂（国产）</t>
        </is>
      </c>
      <c r="C417" s="3" t="n">
        <v>106000</v>
      </c>
      <c r="D417" s="4" t="n">
        <v>110000</v>
      </c>
      <c r="E417" s="4" t="n">
        <v>108000</v>
      </c>
      <c r="F417" s="4" t="n">
        <v>-2000</v>
      </c>
      <c r="G417" s="5" t="inlineStr">
        <is>
          <t>元/吨</t>
        </is>
      </c>
      <c r="H417" s="5" t="inlineStr">
        <is>
          <t>SMM</t>
        </is>
      </c>
    </row>
    <row r="418">
      <c r="A418" s="2" t="inlineStr">
        <is>
          <t>2026/06/24</t>
        </is>
      </c>
      <c r="B418" s="2" t="inlineStr">
        <is>
          <t>四氧化三钴</t>
        </is>
      </c>
      <c r="C418" s="3" t="n">
        <v>330000</v>
      </c>
      <c r="D418" s="4" t="n">
        <v>342000</v>
      </c>
      <c r="E418" s="4" t="n">
        <v>336000</v>
      </c>
      <c r="F418" s="4" t="n">
        <v>0</v>
      </c>
      <c r="G418" s="5" t="inlineStr">
        <is>
          <t>元/吨</t>
        </is>
      </c>
      <c r="H418" s="5" t="inlineStr">
        <is>
          <t>SMM</t>
        </is>
      </c>
    </row>
    <row r="419">
      <c r="A419" s="2" t="inlineStr">
        <is>
          <t>2026/06/24</t>
        </is>
      </c>
      <c r="B419" s="2" t="inlineStr">
        <is>
          <t>四氧化三锰（电池级）</t>
        </is>
      </c>
      <c r="C419" s="3" t="n">
        <v>14000</v>
      </c>
      <c r="D419" s="4" t="n">
        <v>16000</v>
      </c>
      <c r="E419" s="4" t="n">
        <v>15000</v>
      </c>
      <c r="F419" s="4" t="n">
        <v>0</v>
      </c>
      <c r="G419" s="5" t="inlineStr">
        <is>
          <t>元/吨</t>
        </is>
      </c>
      <c r="H419" s="5" t="inlineStr">
        <is>
          <t>SMM</t>
        </is>
      </c>
    </row>
    <row r="420">
      <c r="A420" s="2" t="inlineStr">
        <is>
          <t>2026/06/24</t>
        </is>
      </c>
      <c r="B420" s="2" t="inlineStr">
        <is>
          <t>工业级氢氧化锂</t>
        </is>
      </c>
      <c r="C420" s="3" t="n">
        <v>128500</v>
      </c>
      <c r="D420" s="4" t="n">
        <v>134500</v>
      </c>
      <c r="E420" s="4" t="n">
        <v>131500</v>
      </c>
      <c r="F420" s="4" t="n">
        <v>-750</v>
      </c>
      <c r="G420" s="5" t="inlineStr">
        <is>
          <t>元/吨</t>
        </is>
      </c>
      <c r="H420" s="5" t="inlineStr">
        <is>
          <t>SMM</t>
        </is>
      </c>
    </row>
    <row r="421">
      <c r="A421" s="2" t="inlineStr">
        <is>
          <t>2026/06/24</t>
        </is>
      </c>
      <c r="B421" s="2" t="inlineStr">
        <is>
          <t>工业级碳酸锂</t>
        </is>
      </c>
      <c r="C421" s="3" t="n">
        <v>150000</v>
      </c>
      <c r="D421" s="4" t="n">
        <v>157000</v>
      </c>
      <c r="E421" s="4" t="n">
        <v>153500</v>
      </c>
      <c r="F421" s="4" t="n">
        <v>-1000</v>
      </c>
      <c r="G421" s="5" t="inlineStr">
        <is>
          <t>元/吨</t>
        </is>
      </c>
      <c r="H421" s="5" t="inlineStr">
        <is>
          <t>SMM</t>
        </is>
      </c>
    </row>
    <row r="422">
      <c r="A422" s="2" t="inlineStr">
        <is>
          <t>2026/06/24</t>
        </is>
      </c>
      <c r="B422" s="2" t="inlineStr">
        <is>
          <t>工业级金属锂</t>
        </is>
      </c>
      <c r="C422" s="3" t="n">
        <v>1060000</v>
      </c>
      <c r="D422" s="4" t="n">
        <v>1100000</v>
      </c>
      <c r="E422" s="4" t="n">
        <v>1080000</v>
      </c>
      <c r="F422" s="4" t="n">
        <v>0</v>
      </c>
      <c r="G422" s="5" t="inlineStr">
        <is>
          <t>元/吨</t>
        </is>
      </c>
      <c r="H422" s="5" t="inlineStr">
        <is>
          <t>SMM</t>
        </is>
      </c>
    </row>
    <row r="423">
      <c r="A423" s="2" t="inlineStr">
        <is>
          <t>2026/06/24</t>
        </is>
      </c>
      <c r="B423" s="2" t="inlineStr">
        <is>
          <t>巴西锂辉石精矿（CIF中国）现货</t>
        </is>
      </c>
      <c r="C423" s="3" t="n">
        <v>2180</v>
      </c>
      <c r="D423" s="4" t="n">
        <v>2320</v>
      </c>
      <c r="E423" s="4" t="n">
        <v>2250</v>
      </c>
      <c r="F423" s="4" t="n">
        <v>0</v>
      </c>
      <c r="G423" s="5" t="inlineStr">
        <is>
          <t>美元/吨</t>
        </is>
      </c>
      <c r="H423" s="5" t="inlineStr">
        <is>
          <t>SMM</t>
        </is>
      </c>
    </row>
    <row r="424">
      <c r="A424" s="2" t="inlineStr">
        <is>
          <t>2026/06/24</t>
        </is>
      </c>
      <c r="B424" s="2" t="inlineStr">
        <is>
          <t>废旧磷酸铁锂储能正极片</t>
        </is>
      </c>
      <c r="C424" s="3" t="n">
        <v>20700</v>
      </c>
      <c r="D424" s="4" t="n">
        <v>23750</v>
      </c>
      <c r="E424" s="4" t="n">
        <v>22225</v>
      </c>
      <c r="F424" s="4" t="n">
        <v>-225</v>
      </c>
      <c r="G424" s="5" t="inlineStr">
        <is>
          <t>元/吨</t>
        </is>
      </c>
      <c r="H424" s="5" t="inlineStr">
        <is>
          <t>SMM</t>
        </is>
      </c>
    </row>
    <row r="425">
      <c r="A425" s="2" t="inlineStr">
        <is>
          <t>2026/06/24</t>
        </is>
      </c>
      <c r="B425" s="2" t="inlineStr">
        <is>
          <t>废旧磷酸铁锂动力正极片</t>
        </is>
      </c>
      <c r="C425" s="3" t="n">
        <v>24600</v>
      </c>
      <c r="D425" s="4" t="n">
        <v>28650</v>
      </c>
      <c r="E425" s="4" t="n">
        <v>26625</v>
      </c>
      <c r="F425" s="4" t="n">
        <v>-150</v>
      </c>
      <c r="G425" s="5" t="inlineStr">
        <is>
          <t>元/吨</t>
        </is>
      </c>
      <c r="H425" s="5" t="inlineStr">
        <is>
          <t>SMM</t>
        </is>
      </c>
    </row>
    <row r="426">
      <c r="A426" s="2" t="inlineStr">
        <is>
          <t>2026/06/24</t>
        </is>
      </c>
      <c r="B426" s="2" t="inlineStr">
        <is>
          <t>废旧磷酸铁锂软包电池</t>
        </is>
      </c>
      <c r="C426" s="3" t="n">
        <v>15700</v>
      </c>
      <c r="D426" s="4" t="n">
        <v>17000</v>
      </c>
      <c r="E426" s="4" t="n">
        <v>16350</v>
      </c>
      <c r="F426" s="4" t="n">
        <v>-100</v>
      </c>
      <c r="G426" s="5" t="inlineStr">
        <is>
          <t>元/吨</t>
        </is>
      </c>
      <c r="H426" s="5" t="inlineStr">
        <is>
          <t>SMM</t>
        </is>
      </c>
    </row>
    <row r="427">
      <c r="A427" s="2" t="inlineStr">
        <is>
          <t>2026/06/24</t>
        </is>
      </c>
      <c r="B427" s="2" t="inlineStr">
        <is>
          <t>废旧磷酸铁锂钢壳电池</t>
        </is>
      </c>
      <c r="C427" s="3" t="n">
        <v>9800</v>
      </c>
      <c r="D427" s="4" t="n">
        <v>11300</v>
      </c>
      <c r="E427" s="4" t="n">
        <v>10550</v>
      </c>
      <c r="F427" s="4" t="n">
        <v>-100</v>
      </c>
      <c r="G427" s="5" t="inlineStr">
        <is>
          <t>元/吨</t>
        </is>
      </c>
      <c r="H427" s="5" t="inlineStr">
        <is>
          <t>SMM</t>
        </is>
      </c>
    </row>
    <row r="428">
      <c r="A428" s="2" t="inlineStr">
        <is>
          <t>2026/06/24</t>
        </is>
      </c>
      <c r="B428" s="2" t="inlineStr">
        <is>
          <t>废旧磷酸铁锂铝壳电池</t>
        </is>
      </c>
      <c r="C428" s="3" t="n">
        <v>17000</v>
      </c>
      <c r="D428" s="4" t="n">
        <v>18100</v>
      </c>
      <c r="E428" s="4" t="n">
        <v>17550</v>
      </c>
      <c r="F428" s="4" t="n">
        <v>-100</v>
      </c>
      <c r="G428" s="5" t="inlineStr">
        <is>
          <t>元/吨</t>
        </is>
      </c>
      <c r="H428" s="5" t="inlineStr">
        <is>
          <t>SMM</t>
        </is>
      </c>
    </row>
    <row r="429">
      <c r="A429" s="2" t="inlineStr">
        <is>
          <t>2026/06/24</t>
        </is>
      </c>
      <c r="B429" s="2" t="inlineStr">
        <is>
          <t>方形磷酸铁锂电池B品</t>
        </is>
      </c>
      <c r="C429" s="7" t="n">
        <v>0.68</v>
      </c>
      <c r="D429" s="6" t="n">
        <v>0.8</v>
      </c>
      <c r="E429" s="6" t="n">
        <v>0.74</v>
      </c>
      <c r="F429" s="4" t="n">
        <v>0</v>
      </c>
      <c r="G429" s="5" t="inlineStr">
        <is>
          <t>元/Ah</t>
        </is>
      </c>
      <c r="H429" s="5" t="inlineStr">
        <is>
          <t>SMM</t>
        </is>
      </c>
    </row>
    <row r="430">
      <c r="A430" s="2" t="inlineStr">
        <is>
          <t>2026/06/24</t>
        </is>
      </c>
      <c r="B430" s="2" t="inlineStr">
        <is>
          <t>氧化亚镍</t>
        </is>
      </c>
      <c r="C430" s="3" t="n">
        <v>118000</v>
      </c>
      <c r="D430" s="4" t="n">
        <v>126000</v>
      </c>
      <c r="E430" s="4" t="n">
        <v>122000</v>
      </c>
      <c r="F430" s="4" t="n">
        <v>0</v>
      </c>
      <c r="G430" s="5" t="inlineStr">
        <is>
          <t>元/吨</t>
        </is>
      </c>
      <c r="H430" s="5" t="inlineStr">
        <is>
          <t>SMM</t>
        </is>
      </c>
    </row>
    <row r="431">
      <c r="A431" s="2" t="inlineStr">
        <is>
          <t>2026/06/24</t>
        </is>
      </c>
      <c r="B431" s="2" t="inlineStr">
        <is>
          <t>氧化钴</t>
        </is>
      </c>
      <c r="C431" s="3" t="n">
        <v>302000</v>
      </c>
      <c r="D431" s="4" t="n">
        <v>315000</v>
      </c>
      <c r="E431" s="4" t="n">
        <v>308500</v>
      </c>
      <c r="F431" s="4" t="n">
        <v>-1000</v>
      </c>
      <c r="G431" s="5" t="inlineStr">
        <is>
          <t>元/吨</t>
        </is>
      </c>
      <c r="H431" s="5" t="inlineStr">
        <is>
          <t>SMM</t>
        </is>
      </c>
    </row>
    <row r="432">
      <c r="A432" s="2" t="inlineStr">
        <is>
          <t>2026/06/24</t>
        </is>
      </c>
      <c r="B432" s="2" t="inlineStr">
        <is>
          <t>氯化钴</t>
        </is>
      </c>
      <c r="C432" s="3" t="n">
        <v>105300</v>
      </c>
      <c r="D432" s="4" t="n">
        <v>109000</v>
      </c>
      <c r="E432" s="4" t="n">
        <v>107150</v>
      </c>
      <c r="F432" s="4" t="n">
        <v>-100</v>
      </c>
      <c r="G432" s="5" t="inlineStr">
        <is>
          <t>元/吨</t>
        </is>
      </c>
      <c r="H432" s="5" t="inlineStr">
        <is>
          <t>SMM</t>
        </is>
      </c>
    </row>
    <row r="433">
      <c r="A433" s="2" t="inlineStr">
        <is>
          <t>2026/06/24</t>
        </is>
      </c>
      <c r="B433" s="2" t="inlineStr">
        <is>
          <t>氯化镍NiCl₂·6H₂O</t>
        </is>
      </c>
      <c r="C433" s="3" t="n">
        <v>38500</v>
      </c>
      <c r="D433" s="4" t="n">
        <v>41000</v>
      </c>
      <c r="E433" s="4" t="n">
        <v>39750</v>
      </c>
      <c r="F433" s="4" t="n">
        <v>0</v>
      </c>
      <c r="G433" s="5" t="inlineStr">
        <is>
          <t>元/吨</t>
        </is>
      </c>
      <c r="H433" s="5" t="inlineStr">
        <is>
          <t>SMM</t>
        </is>
      </c>
    </row>
    <row r="434">
      <c r="A434" s="2" t="inlineStr">
        <is>
          <t>2026/06/24</t>
        </is>
      </c>
      <c r="B434" s="2" t="inlineStr">
        <is>
          <t>津巴布韦锂辉石精矿（CIF中国）现货</t>
        </is>
      </c>
      <c r="C434" s="3" t="n">
        <v>2380</v>
      </c>
      <c r="D434" s="4" t="n">
        <v>2450</v>
      </c>
      <c r="E434" s="4" t="n">
        <v>2415</v>
      </c>
      <c r="F434" s="6" t="n">
        <v>-60</v>
      </c>
      <c r="G434" s="5" t="inlineStr">
        <is>
          <t>美元/吨</t>
        </is>
      </c>
      <c r="H434" s="5" t="inlineStr">
        <is>
          <t>SMM</t>
        </is>
      </c>
    </row>
    <row r="435">
      <c r="A435" s="2" t="inlineStr">
        <is>
          <t>2026/06/24</t>
        </is>
      </c>
      <c r="B435" s="2" t="inlineStr">
        <is>
          <t>澳大利亚锂辉石精矿（CIF中国）现货</t>
        </is>
      </c>
      <c r="C435" s="3" t="n">
        <v>2200</v>
      </c>
      <c r="D435" s="4" t="n">
        <v>2330</v>
      </c>
      <c r="E435" s="4" t="n">
        <v>2265</v>
      </c>
      <c r="F435" s="4" t="n">
        <v>0</v>
      </c>
      <c r="G435" s="5" t="inlineStr">
        <is>
          <t>美元/吨</t>
        </is>
      </c>
      <c r="H435" s="5" t="inlineStr">
        <is>
          <t>SMM</t>
        </is>
      </c>
    </row>
    <row r="436">
      <c r="A436" s="2" t="inlineStr">
        <is>
          <t>2026/06/24</t>
        </is>
      </c>
      <c r="B436" s="2" t="inlineStr">
        <is>
          <t>电池级无水氯化锂</t>
        </is>
      </c>
      <c r="C436" s="3" t="n">
        <v>230</v>
      </c>
      <c r="D436" s="4" t="n">
        <v>290</v>
      </c>
      <c r="E436" s="4" t="n">
        <v>260</v>
      </c>
      <c r="F436" s="4" t="n">
        <v>0</v>
      </c>
      <c r="G436" s="5" t="inlineStr">
        <is>
          <t>元/千克</t>
        </is>
      </c>
      <c r="H436" s="5" t="inlineStr">
        <is>
          <t>SMM</t>
        </is>
      </c>
    </row>
    <row r="437">
      <c r="A437" s="2" t="inlineStr">
        <is>
          <t>2026/06/24</t>
        </is>
      </c>
      <c r="B437" s="2" t="inlineStr">
        <is>
          <t>电池级氟化锂</t>
        </is>
      </c>
      <c r="C437" s="3" t="n">
        <v>272000</v>
      </c>
      <c r="D437" s="4" t="n">
        <v>280000</v>
      </c>
      <c r="E437" s="4" t="n">
        <v>276000</v>
      </c>
      <c r="F437" s="4" t="n">
        <v>-1500</v>
      </c>
      <c r="G437" s="5" t="inlineStr">
        <is>
          <t>元/吨</t>
        </is>
      </c>
      <c r="H437" s="5" t="inlineStr">
        <is>
          <t>SMM</t>
        </is>
      </c>
    </row>
    <row r="438">
      <c r="A438" s="2" t="inlineStr">
        <is>
          <t>2026/06/24</t>
        </is>
      </c>
      <c r="B438" s="2" t="inlineStr">
        <is>
          <t>电池级氢氧化锂(CIF中日韩)</t>
        </is>
      </c>
      <c r="C438" s="7" t="n">
        <v>17.4</v>
      </c>
      <c r="D438" s="6" t="n">
        <v>20.3</v>
      </c>
      <c r="E438" s="6" t="n">
        <v>18.85</v>
      </c>
      <c r="F438" s="4" t="n">
        <v>0</v>
      </c>
      <c r="G438" s="5" t="inlineStr">
        <is>
          <t>美元/千克</t>
        </is>
      </c>
      <c r="H438" s="5" t="inlineStr">
        <is>
          <t>SMM</t>
        </is>
      </c>
    </row>
    <row r="439">
      <c r="A439" s="2" t="inlineStr">
        <is>
          <t>2026/06/24</t>
        </is>
      </c>
      <c r="B439" s="2" t="inlineStr">
        <is>
          <t>电池级氢氧化锂(CIF韩国)</t>
        </is>
      </c>
      <c r="C439" s="7" t="n">
        <v>17.1</v>
      </c>
      <c r="D439" s="6" t="n">
        <v>20.4</v>
      </c>
      <c r="E439" s="6" t="n">
        <v>18.75</v>
      </c>
      <c r="F439" s="4" t="n">
        <v>0</v>
      </c>
      <c r="G439" s="5" t="inlineStr">
        <is>
          <t>美元/千克</t>
        </is>
      </c>
      <c r="H439" s="5" t="inlineStr">
        <is>
          <t>SMM</t>
        </is>
      </c>
    </row>
    <row r="440">
      <c r="A440" s="2" t="inlineStr">
        <is>
          <t>2026/06/24</t>
        </is>
      </c>
      <c r="B440" s="2" t="inlineStr">
        <is>
          <t>电池级氢氧化锂(微粉）</t>
        </is>
      </c>
      <c r="C440" s="3" t="n">
        <v>142000</v>
      </c>
      <c r="D440" s="4" t="n">
        <v>158000</v>
      </c>
      <c r="E440" s="4" t="n">
        <v>150000</v>
      </c>
      <c r="F440" s="4" t="n">
        <v>-750</v>
      </c>
      <c r="G440" s="5" t="inlineStr">
        <is>
          <t>元/吨</t>
        </is>
      </c>
      <c r="H440" s="5" t="inlineStr">
        <is>
          <t>SMM</t>
        </is>
      </c>
    </row>
    <row r="441">
      <c r="A441" s="2" t="inlineStr">
        <is>
          <t>2026/06/24</t>
        </is>
      </c>
      <c r="B441" s="2" t="inlineStr">
        <is>
          <t>电池级氢氧化锂（粗颗粒）</t>
        </is>
      </c>
      <c r="C441" s="3" t="n">
        <v>134000</v>
      </c>
      <c r="D441" s="4" t="n">
        <v>154000</v>
      </c>
      <c r="E441" s="4" t="n">
        <v>144000</v>
      </c>
      <c r="F441" s="4" t="n">
        <v>-750</v>
      </c>
      <c r="G441" s="5" t="inlineStr">
        <is>
          <t>元/吨</t>
        </is>
      </c>
      <c r="H441" s="5" t="inlineStr">
        <is>
          <t>SMM</t>
        </is>
      </c>
    </row>
    <row r="442">
      <c r="A442" s="2" t="inlineStr">
        <is>
          <t>2026/06/24</t>
        </is>
      </c>
      <c r="B442" s="2" t="inlineStr">
        <is>
          <t>电池级硫酸锰（出厂价）</t>
        </is>
      </c>
      <c r="C442" s="3" t="n">
        <v>7570</v>
      </c>
      <c r="D442" s="4" t="n">
        <v>7770</v>
      </c>
      <c r="E442" s="4" t="n">
        <v>7670</v>
      </c>
      <c r="F442" s="4" t="n">
        <v>0</v>
      </c>
      <c r="G442" s="5" t="inlineStr">
        <is>
          <t>元/吨</t>
        </is>
      </c>
      <c r="H442" s="5" t="inlineStr">
        <is>
          <t>SMM</t>
        </is>
      </c>
    </row>
    <row r="443">
      <c r="A443" s="2" t="inlineStr">
        <is>
          <t>2026/06/24</t>
        </is>
      </c>
      <c r="B443" s="2" t="inlineStr">
        <is>
          <t>电池级硫酸镍</t>
        </is>
      </c>
      <c r="C443" s="3" t="n">
        <v>32600</v>
      </c>
      <c r="D443" s="4" t="n">
        <v>33000</v>
      </c>
      <c r="E443" s="4" t="n">
        <v>32800</v>
      </c>
      <c r="F443" s="4" t="n">
        <v>-450</v>
      </c>
      <c r="G443" s="5" t="inlineStr">
        <is>
          <t>元/吨</t>
        </is>
      </c>
      <c r="H443" s="5" t="inlineStr">
        <is>
          <t>SMM</t>
        </is>
      </c>
    </row>
    <row r="444">
      <c r="A444" s="2" t="inlineStr">
        <is>
          <t>2026/06/24</t>
        </is>
      </c>
      <c r="B444" s="2" t="inlineStr">
        <is>
          <t>电池级碳酸锂</t>
        </is>
      </c>
      <c r="C444" s="3" t="n">
        <v>154000</v>
      </c>
      <c r="D444" s="4" t="n">
        <v>161000</v>
      </c>
      <c r="E444" s="4" t="n">
        <v>157500</v>
      </c>
      <c r="F444" s="4" t="n">
        <v>-1000</v>
      </c>
      <c r="G444" s="5" t="inlineStr">
        <is>
          <t>元/吨</t>
        </is>
      </c>
      <c r="H444" s="5" t="inlineStr">
        <is>
          <t>SMM</t>
        </is>
      </c>
    </row>
    <row r="445">
      <c r="A445" s="2" t="inlineStr">
        <is>
          <t>2026/06/24</t>
        </is>
      </c>
      <c r="B445" s="2" t="inlineStr">
        <is>
          <t>电池级碳酸锂(CIF韩国)</t>
        </is>
      </c>
      <c r="C445" s="7" t="n">
        <v>19.2</v>
      </c>
      <c r="D445" s="6" t="n">
        <v>21.5</v>
      </c>
      <c r="E445" s="6" t="n">
        <v>20.35</v>
      </c>
      <c r="F445" s="4" t="n">
        <v>0</v>
      </c>
      <c r="G445" s="5" t="inlineStr">
        <is>
          <t>美元/千克</t>
        </is>
      </c>
      <c r="H445" s="5" t="inlineStr">
        <is>
          <t>SMM</t>
        </is>
      </c>
    </row>
    <row r="446">
      <c r="A446" s="2" t="inlineStr">
        <is>
          <t>2026/06/24</t>
        </is>
      </c>
      <c r="B446" s="2" t="inlineStr">
        <is>
          <t>电池级碳酸锂（CIF中日韩）</t>
        </is>
      </c>
      <c r="C446" s="7" t="n">
        <v>19.3</v>
      </c>
      <c r="D446" s="6" t="n">
        <v>21.5</v>
      </c>
      <c r="E446" s="6" t="n">
        <v>20.4</v>
      </c>
      <c r="F446" s="4" t="n">
        <v>0</v>
      </c>
      <c r="G446" s="5" t="inlineStr">
        <is>
          <t>美元/千克</t>
        </is>
      </c>
      <c r="H446" s="5" t="inlineStr">
        <is>
          <t>SMM</t>
        </is>
      </c>
    </row>
    <row r="447">
      <c r="A447" s="2" t="inlineStr">
        <is>
          <t>2026/06/24</t>
        </is>
      </c>
      <c r="B447" s="2" t="inlineStr">
        <is>
          <t>电池级金属锂</t>
        </is>
      </c>
      <c r="C447" s="3" t="n">
        <v>1090000</v>
      </c>
      <c r="D447" s="4" t="n">
        <v>1130000</v>
      </c>
      <c r="E447" s="4" t="n">
        <v>1110000</v>
      </c>
      <c r="F447" s="4" t="n">
        <v>0</v>
      </c>
      <c r="G447" s="5" t="inlineStr">
        <is>
          <t>元/吨</t>
        </is>
      </c>
      <c r="H447" s="5" t="inlineStr">
        <is>
          <t>SMM</t>
        </is>
      </c>
    </row>
    <row r="448">
      <c r="A448" s="2" t="inlineStr">
        <is>
          <t>2026/06/24</t>
        </is>
      </c>
      <c r="B448" s="2" t="inlineStr">
        <is>
          <t>电解钴</t>
        </is>
      </c>
      <c r="C448" s="3" t="n">
        <v>370000</v>
      </c>
      <c r="D448" s="4" t="n">
        <v>385000</v>
      </c>
      <c r="E448" s="4" t="n">
        <v>377500</v>
      </c>
      <c r="F448" s="4" t="n">
        <v>0</v>
      </c>
      <c r="G448" s="5" t="inlineStr">
        <is>
          <t>元/吨</t>
        </is>
      </c>
      <c r="H448" s="5" t="inlineStr">
        <is>
          <t>SMM</t>
        </is>
      </c>
    </row>
    <row r="449">
      <c r="A449" s="2" t="inlineStr">
        <is>
          <t>2026/06/24</t>
        </is>
      </c>
      <c r="B449" s="2" t="inlineStr">
        <is>
          <t>电解钴（鹿特丹仓库）</t>
        </is>
      </c>
      <c r="C449" s="7" t="n">
        <v>25.5</v>
      </c>
      <c r="D449" s="6" t="n">
        <v>27</v>
      </c>
      <c r="E449" s="6" t="n">
        <v>26.25</v>
      </c>
      <c r="F449" s="4" t="n">
        <v>0</v>
      </c>
      <c r="G449" s="5" t="inlineStr">
        <is>
          <t>美元/磅</t>
        </is>
      </c>
      <c r="H449" s="5" t="inlineStr">
        <is>
          <t>SMM</t>
        </is>
      </c>
    </row>
    <row r="450">
      <c r="A450" s="2" t="inlineStr">
        <is>
          <t>2026/06/24</t>
        </is>
      </c>
      <c r="B450" s="2" t="inlineStr">
        <is>
          <t>电镀级硫酸镍</t>
        </is>
      </c>
      <c r="C450" s="3" t="n">
        <v>32500</v>
      </c>
      <c r="D450" s="4" t="n">
        <v>37000</v>
      </c>
      <c r="E450" s="4" t="n">
        <v>34750</v>
      </c>
      <c r="F450" s="4" t="n">
        <v>0</v>
      </c>
      <c r="G450" s="5" t="inlineStr">
        <is>
          <t>元/吨</t>
        </is>
      </c>
      <c r="H450" s="5" t="inlineStr">
        <is>
          <t>SMM</t>
        </is>
      </c>
    </row>
    <row r="451">
      <c r="A451" s="2" t="inlineStr">
        <is>
          <t>2026/06/24</t>
        </is>
      </c>
      <c r="B451" s="2" t="inlineStr">
        <is>
          <t>硫酸钴</t>
        </is>
      </c>
      <c r="C451" s="3" t="n">
        <v>86000</v>
      </c>
      <c r="D451" s="4" t="n">
        <v>88500</v>
      </c>
      <c r="E451" s="4" t="n">
        <v>87250</v>
      </c>
      <c r="F451" s="4" t="n">
        <v>-150</v>
      </c>
      <c r="G451" s="5" t="inlineStr">
        <is>
          <t>元/吨</t>
        </is>
      </c>
      <c r="H451" s="5" t="inlineStr">
        <is>
          <t>SMM</t>
        </is>
      </c>
    </row>
    <row r="452">
      <c r="A452" s="2" t="inlineStr">
        <is>
          <t>2026/06/24</t>
        </is>
      </c>
      <c r="B452" s="2" t="inlineStr">
        <is>
          <t>碳酸钴</t>
        </is>
      </c>
      <c r="C452" s="3" t="n">
        <v>208000</v>
      </c>
      <c r="D452" s="4" t="n">
        <v>218000</v>
      </c>
      <c r="E452" s="4" t="n">
        <v>213000</v>
      </c>
      <c r="F452" s="4" t="n">
        <v>0</v>
      </c>
      <c r="G452" s="5" t="inlineStr">
        <is>
          <t>元/吨</t>
        </is>
      </c>
      <c r="H452" s="5" t="inlineStr">
        <is>
          <t>SMM</t>
        </is>
      </c>
    </row>
    <row r="453">
      <c r="A453" s="2" t="inlineStr">
        <is>
          <t>2026/06/24</t>
        </is>
      </c>
      <c r="B453" s="2" t="inlineStr">
        <is>
          <t>磷酸铁锂</t>
        </is>
      </c>
      <c r="C453" s="3" t="n">
        <v>56790</v>
      </c>
      <c r="D453" s="4" t="n">
        <v>57390</v>
      </c>
      <c r="E453" s="4" t="n">
        <v>57090</v>
      </c>
      <c r="F453" s="4" t="n">
        <v>-240</v>
      </c>
      <c r="G453" s="5" t="inlineStr">
        <is>
          <t>元/吨</t>
        </is>
      </c>
      <c r="H453" s="5" t="inlineStr">
        <is>
          <t>SMM</t>
        </is>
      </c>
    </row>
    <row r="454">
      <c r="A454" s="2" t="inlineStr">
        <is>
          <t>2026/06/24</t>
        </is>
      </c>
      <c r="B454" s="2" t="inlineStr">
        <is>
          <t>磷酸锰铁锂</t>
        </is>
      </c>
      <c r="C454" s="3" t="n">
        <v>62500</v>
      </c>
      <c r="D454" s="4" t="n">
        <v>67500</v>
      </c>
      <c r="E454" s="4" t="n">
        <v>65000</v>
      </c>
      <c r="F454" s="4" t="n">
        <v>0</v>
      </c>
      <c r="G454" s="5" t="inlineStr">
        <is>
          <t>元/吨</t>
        </is>
      </c>
      <c r="H454" s="5" t="inlineStr">
        <is>
          <t>SMM</t>
        </is>
      </c>
    </row>
    <row r="455">
      <c r="A455" s="2" t="inlineStr">
        <is>
          <t>2026/06/24</t>
        </is>
      </c>
      <c r="B455" s="2" t="inlineStr">
        <is>
          <t>金属钴FOB</t>
        </is>
      </c>
      <c r="C455" s="7" t="n">
        <v>24</v>
      </c>
      <c r="D455" s="6" t="n">
        <v>25</v>
      </c>
      <c r="E455" s="6" t="n">
        <v>24.5</v>
      </c>
      <c r="F455" s="6" t="n">
        <v>-0.25</v>
      </c>
      <c r="G455" s="5" t="inlineStr">
        <is>
          <t>美元/磅</t>
        </is>
      </c>
      <c r="H455" s="5" t="inlineStr">
        <is>
          <t>SMM</t>
        </is>
      </c>
    </row>
    <row r="456">
      <c r="A456" s="2" t="inlineStr">
        <is>
          <t>2026/06/24</t>
        </is>
      </c>
      <c r="B456" s="2" t="inlineStr">
        <is>
          <t>钴中间品中钴含量≥30%</t>
        </is>
      </c>
      <c r="C456" s="3" t="n">
        <v>26122</v>
      </c>
      <c r="D456" s="4" t="n">
        <v>26122</v>
      </c>
      <c r="E456" s="4" t="n">
        <v>26122</v>
      </c>
      <c r="F456" s="4" t="n">
        <v>-661</v>
      </c>
      <c r="G456" s="5" t="inlineStr">
        <is>
          <t>元/金属吨</t>
        </is>
      </c>
      <c r="H456" s="5" t="inlineStr">
        <is>
          <t>SMM</t>
        </is>
      </c>
    </row>
    <row r="457">
      <c r="A457" s="2" t="inlineStr">
        <is>
          <t>2026/06/24</t>
        </is>
      </c>
      <c r="B457" s="2" t="inlineStr">
        <is>
          <t>钴中间品原料计价系数（对SMM硫酸钴均价）</t>
        </is>
      </c>
      <c r="C457" s="7" t="n">
        <v>99</v>
      </c>
      <c r="D457" s="4" t="n">
        <v>100</v>
      </c>
      <c r="E457" s="6" t="n">
        <v>99.5</v>
      </c>
      <c r="F457" s="4" t="n">
        <v>0</v>
      </c>
      <c r="G457" s="5" t="inlineStr">
        <is>
          <t>%</t>
        </is>
      </c>
      <c r="H457" s="5" t="inlineStr">
        <is>
          <t>SMM</t>
        </is>
      </c>
    </row>
    <row r="458">
      <c r="A458" s="2" t="inlineStr">
        <is>
          <t>2026/06/24</t>
        </is>
      </c>
      <c r="B458" s="2" t="inlineStr">
        <is>
          <t>钴酸锂</t>
        </is>
      </c>
      <c r="C458" s="3" t="n">
        <v>376000</v>
      </c>
      <c r="D458" s="4" t="n">
        <v>379000</v>
      </c>
      <c r="E458" s="4" t="n">
        <v>377500</v>
      </c>
      <c r="F458" s="4" t="n">
        <v>-3000</v>
      </c>
      <c r="G458" s="5" t="inlineStr">
        <is>
          <t>元/吨</t>
        </is>
      </c>
      <c r="H458" s="5" t="inlineStr">
        <is>
          <t>SMM</t>
        </is>
      </c>
    </row>
    <row r="459">
      <c r="A459" s="2" t="inlineStr">
        <is>
          <t>2026/06/24</t>
        </is>
      </c>
      <c r="B459" s="2" t="inlineStr">
        <is>
          <t>钴酸锂聚合物软包</t>
        </is>
      </c>
      <c r="C459" s="3" t="n">
        <v>97500</v>
      </c>
      <c r="D459" s="4" t="n">
        <v>99500</v>
      </c>
      <c r="E459" s="4" t="n">
        <v>98500</v>
      </c>
      <c r="F459" s="4" t="n">
        <v>-200</v>
      </c>
      <c r="G459" s="5" t="inlineStr">
        <is>
          <t>元/吨</t>
        </is>
      </c>
      <c r="H459" s="5" t="inlineStr">
        <is>
          <t>SMM</t>
        </is>
      </c>
    </row>
    <row r="460">
      <c r="A460" s="2" t="inlineStr">
        <is>
          <t>2026/06/24</t>
        </is>
      </c>
      <c r="B460" s="2" t="inlineStr">
        <is>
          <t>钴酸锂铝壳</t>
        </is>
      </c>
      <c r="C460" s="3" t="n">
        <v>84200</v>
      </c>
      <c r="D460" s="4" t="n">
        <v>92000</v>
      </c>
      <c r="E460" s="4" t="n">
        <v>88100</v>
      </c>
      <c r="F460" s="4" t="n">
        <v>-200</v>
      </c>
      <c r="G460" s="5" t="inlineStr">
        <is>
          <t>元/吨</t>
        </is>
      </c>
      <c r="H460" s="5" t="inlineStr">
        <is>
          <t>SMM</t>
        </is>
      </c>
    </row>
    <row r="461">
      <c r="A461" s="2" t="inlineStr">
        <is>
          <t>2026/06/24</t>
        </is>
      </c>
      <c r="B461" s="2" t="inlineStr">
        <is>
          <t>锰酸锂圆柱钢壳</t>
        </is>
      </c>
      <c r="C461" s="3" t="n">
        <v>5000</v>
      </c>
      <c r="D461" s="4" t="n">
        <v>7400</v>
      </c>
      <c r="E461" s="4" t="n">
        <v>6200</v>
      </c>
      <c r="F461" s="4" t="n">
        <v>0</v>
      </c>
      <c r="G461" s="5" t="inlineStr">
        <is>
          <t>元/吨</t>
        </is>
      </c>
      <c r="H461" s="5" t="inlineStr">
        <is>
          <t>SMM</t>
        </is>
      </c>
    </row>
    <row r="462">
      <c r="A462" s="2" t="inlineStr">
        <is>
          <t>2026/06/24</t>
        </is>
      </c>
      <c r="B462" s="2" t="inlineStr">
        <is>
          <t>非洲硫酸锂(CIF中国)</t>
        </is>
      </c>
      <c r="C462" s="3" t="n">
        <v>7419</v>
      </c>
      <c r="D462" s="4" t="n">
        <v>7799</v>
      </c>
      <c r="E462" s="4" t="n">
        <v>7609</v>
      </c>
      <c r="F462" s="6" t="n">
        <v>-71.5</v>
      </c>
      <c r="G462" s="5" t="inlineStr">
        <is>
          <t>美元/吨</t>
        </is>
      </c>
      <c r="H462" s="5" t="inlineStr">
        <is>
          <t>SMM</t>
        </is>
      </c>
    </row>
    <row r="463">
      <c r="A463" s="2" t="inlineStr">
        <is>
          <t>2026/06/24</t>
        </is>
      </c>
      <c r="B463" s="2" t="inlineStr">
        <is>
          <t>非洲锂辉石精矿（CIF中国）指数</t>
        </is>
      </c>
      <c r="C463" s="3" t="n">
        <v>2398</v>
      </c>
      <c r="D463" s="4" t="n">
        <v>2398</v>
      </c>
      <c r="E463" s="4" t="n">
        <v>2398</v>
      </c>
      <c r="F463" s="6" t="n">
        <v>-72</v>
      </c>
      <c r="G463" s="5" t="inlineStr">
        <is>
          <t>美元/吨</t>
        </is>
      </c>
      <c r="H463" s="5" t="inlineStr">
        <is>
          <t>SMM</t>
        </is>
      </c>
    </row>
    <row r="465">
      <c r="A465" s="8" t="inlineStr">
        <is>
          <t>当月均价</t>
        </is>
      </c>
      <c r="B465" s="9" t="n"/>
      <c r="C465" s="9" t="n"/>
      <c r="D465" s="9" t="n"/>
      <c r="E465" s="9" t="n"/>
      <c r="F465" s="9" t="n"/>
      <c r="G465" s="9" t="n"/>
      <c r="H465" s="9" t="n"/>
    </row>
    <row r="466">
      <c r="B466" s="2" t="inlineStr">
        <is>
          <t>5系三元前驱体</t>
        </is>
      </c>
      <c r="C466" s="10">
        <f>IFERROR(AVERAGEIFS(C$2:C$463,A$2:A$463,"&gt;="&amp;DATE(YEAR(TODAY()),MONTH(TODAY()),1),A$2:A$463,"&lt;"&amp;DATE(YEAR(TODAY()),MONTH(TODAY())+1,1),B$2:B$463,$B$466),"")</f>
        <v/>
      </c>
      <c r="D466" s="10">
        <f>IFERROR(AVERAGEIFS(D$2:D$463,A$2:A$463,"&gt;="&amp;DATE(YEAR(TODAY()),MONTH(TODAY()),1),A$2:A$463,"&lt;"&amp;DATE(YEAR(TODAY()),MONTH(TODAY())+1,1),B$2:B$463,$B$466),"")</f>
        <v/>
      </c>
      <c r="E466" s="10">
        <f>IFERROR(AVERAGEIFS(E$2:E$463,A$2:A$463,"&gt;="&amp;DATE(YEAR(TODAY()),MONTH(TODAY()),1),A$2:A$463,"&lt;"&amp;DATE(YEAR(TODAY()),MONTH(TODAY())+1,1),B$2:B$463,$B$466),"")</f>
        <v/>
      </c>
      <c r="F466" s="11">
        <f>IFERROR(SUMPRODUCT((YEAR(A$2:A$463)=YEAR(TODAY()))*(MONTH(A$2:A$463)=MONTH(TODAY()))*(B$2:B$463=$B$466)*(F$2:F$463),"")</f>
        <v/>
      </c>
    </row>
    <row r="467">
      <c r="B467" s="2" t="inlineStr">
        <is>
          <t>5系三元材料</t>
        </is>
      </c>
      <c r="C467" s="10">
        <f>IFERROR(AVERAGEIFS(C$2:C$463,A$2:A$463,"&gt;="&amp;DATE(YEAR(TODAY()),MONTH(TODAY()),1),A$2:A$463,"&lt;"&amp;DATE(YEAR(TODAY()),MONTH(TODAY())+1,1),B$2:B$463,$B$467),"")</f>
        <v/>
      </c>
      <c r="D467" s="10">
        <f>IFERROR(AVERAGEIFS(D$2:D$463,A$2:A$463,"&gt;="&amp;DATE(YEAR(TODAY()),MONTH(TODAY()),1),A$2:A$463,"&lt;"&amp;DATE(YEAR(TODAY()),MONTH(TODAY())+1,1),B$2:B$463,$B$467),"")</f>
        <v/>
      </c>
      <c r="E467" s="10">
        <f>IFERROR(AVERAGEIFS(E$2:E$463,A$2:A$463,"&gt;="&amp;DATE(YEAR(TODAY()),MONTH(TODAY()),1),A$2:A$463,"&lt;"&amp;DATE(YEAR(TODAY()),MONTH(TODAY())+1,1),B$2:B$463,$B$467),"")</f>
        <v/>
      </c>
      <c r="F467" s="11">
        <f>IFERROR(SUMPRODUCT((YEAR(A$2:A$463)=YEAR(TODAY()))*(MONTH(A$2:A$463)=MONTH(TODAY()))*(B$2:B$463=$B$467)*(F$2:F$463),"")</f>
        <v/>
      </c>
    </row>
    <row r="468">
      <c r="B468" s="2" t="inlineStr">
        <is>
          <t>6系三元前驱体（单晶/动力型）</t>
        </is>
      </c>
      <c r="C468" s="10">
        <f>IFERROR(AVERAGEIFS(C$2:C$463,A$2:A$463,"&gt;="&amp;DATE(YEAR(TODAY()),MONTH(TODAY()),1),A$2:A$463,"&lt;"&amp;DATE(YEAR(TODAY()),MONTH(TODAY())+1,1),B$2:B$463,$B$468),"")</f>
        <v/>
      </c>
      <c r="D468" s="10">
        <f>IFERROR(AVERAGEIFS(D$2:D$463,A$2:A$463,"&gt;="&amp;DATE(YEAR(TODAY()),MONTH(TODAY()),1),A$2:A$463,"&lt;"&amp;DATE(YEAR(TODAY()),MONTH(TODAY())+1,1),B$2:B$463,$B$468),"")</f>
        <v/>
      </c>
      <c r="E468" s="10">
        <f>IFERROR(AVERAGEIFS(E$2:E$463,A$2:A$463,"&gt;="&amp;DATE(YEAR(TODAY()),MONTH(TODAY()),1),A$2:A$463,"&lt;"&amp;DATE(YEAR(TODAY()),MONTH(TODAY())+1,1),B$2:B$463,$B$468),"")</f>
        <v/>
      </c>
      <c r="F468" s="11">
        <f>IFERROR(SUMPRODUCT((YEAR(A$2:A$463)=YEAR(TODAY()))*(MONTH(A$2:A$463)=MONTH(TODAY()))*(B$2:B$463=$B$468)*(F$2:F$463),"")</f>
        <v/>
      </c>
    </row>
    <row r="469">
      <c r="B469" s="2" t="inlineStr">
        <is>
          <t>6系三元材料（单晶/动力型）</t>
        </is>
      </c>
      <c r="C469" s="10">
        <f>IFERROR(AVERAGEIFS(C$2:C$463,A$2:A$463,"&gt;="&amp;DATE(YEAR(TODAY()),MONTH(TODAY()),1),A$2:A$463,"&lt;"&amp;DATE(YEAR(TODAY()),MONTH(TODAY())+1,1),B$2:B$463,$B$469),"")</f>
        <v/>
      </c>
      <c r="D469" s="10">
        <f>IFERROR(AVERAGEIFS(D$2:D$463,A$2:A$463,"&gt;="&amp;DATE(YEAR(TODAY()),MONTH(TODAY()),1),A$2:A$463,"&lt;"&amp;DATE(YEAR(TODAY()),MONTH(TODAY())+1,1),B$2:B$463,$B$469),"")</f>
        <v/>
      </c>
      <c r="E469" s="10">
        <f>IFERROR(AVERAGEIFS(E$2:E$463,A$2:A$463,"&gt;="&amp;DATE(YEAR(TODAY()),MONTH(TODAY()),1),A$2:A$463,"&lt;"&amp;DATE(YEAR(TODAY()),MONTH(TODAY())+1,1),B$2:B$463,$B$469),"")</f>
        <v/>
      </c>
      <c r="F469" s="11">
        <f>IFERROR(SUMPRODUCT((YEAR(A$2:A$463)=YEAR(TODAY()))*(MONTH(A$2:A$463)=MONTH(TODAY()))*(B$2:B$463=$B$469)*(F$2:F$463),"")</f>
        <v/>
      </c>
    </row>
    <row r="470">
      <c r="B470" s="2" t="inlineStr">
        <is>
          <t>8系三元前驱体（多晶/动力型）</t>
        </is>
      </c>
      <c r="C470" s="10">
        <f>IFERROR(AVERAGEIFS(C$2:C$463,A$2:A$463,"&gt;="&amp;DATE(YEAR(TODAY()),MONTH(TODAY()),1),A$2:A$463,"&lt;"&amp;DATE(YEAR(TODAY()),MONTH(TODAY())+1,1),B$2:B$463,$B$470),"")</f>
        <v/>
      </c>
      <c r="D470" s="10">
        <f>IFERROR(AVERAGEIFS(D$2:D$463,A$2:A$463,"&gt;="&amp;DATE(YEAR(TODAY()),MONTH(TODAY()),1),A$2:A$463,"&lt;"&amp;DATE(YEAR(TODAY()),MONTH(TODAY())+1,1),B$2:B$463,$B$470),"")</f>
        <v/>
      </c>
      <c r="E470" s="10">
        <f>IFERROR(AVERAGEIFS(E$2:E$463,A$2:A$463,"&gt;="&amp;DATE(YEAR(TODAY()),MONTH(TODAY()),1),A$2:A$463,"&lt;"&amp;DATE(YEAR(TODAY()),MONTH(TODAY())+1,1),B$2:B$463,$B$470),"")</f>
        <v/>
      </c>
      <c r="F470" s="11">
        <f>IFERROR(SUMPRODUCT((YEAR(A$2:A$463)=YEAR(TODAY()))*(MONTH(A$2:A$463)=MONTH(TODAY()))*(B$2:B$463=$B$470)*(F$2:F$463),"")</f>
        <v/>
      </c>
    </row>
    <row r="471">
      <c r="B471" s="2" t="inlineStr">
        <is>
          <t>8系三元材料</t>
        </is>
      </c>
      <c r="C471" s="10">
        <f>IFERROR(AVERAGEIFS(C$2:C$463,A$2:A$463,"&gt;="&amp;DATE(YEAR(TODAY()),MONTH(TODAY()),1),A$2:A$463,"&lt;"&amp;DATE(YEAR(TODAY()),MONTH(TODAY())+1,1),B$2:B$463,$B$471),"")</f>
        <v/>
      </c>
      <c r="D471" s="10">
        <f>IFERROR(AVERAGEIFS(D$2:D$463,A$2:A$463,"&gt;="&amp;DATE(YEAR(TODAY()),MONTH(TODAY()),1),A$2:A$463,"&lt;"&amp;DATE(YEAR(TODAY()),MONTH(TODAY())+1,1),B$2:B$463,$B$471),"")</f>
        <v/>
      </c>
      <c r="E471" s="10">
        <f>IFERROR(AVERAGEIFS(E$2:E$463,A$2:A$463,"&gt;="&amp;DATE(YEAR(TODAY()),MONTH(TODAY()),1),A$2:A$463,"&lt;"&amp;DATE(YEAR(TODAY()),MONTH(TODAY())+1,1),B$2:B$463,$B$471),"")</f>
        <v/>
      </c>
      <c r="F471" s="11">
        <f>IFERROR(SUMPRODUCT((YEAR(A$2:A$463)=YEAR(TODAY()))*(MONTH(A$2:A$463)=MONTH(TODAY()))*(B$2:B$463=$B$471)*(F$2:F$463),"")</f>
        <v/>
      </c>
    </row>
    <row r="472">
      <c r="B472" s="2" t="inlineStr">
        <is>
          <t>MHP系数（对SMM电池级硫酸镍指数）</t>
        </is>
      </c>
      <c r="C472" s="10">
        <f>IFERROR(AVERAGEIFS(C$2:C$463,A$2:A$463,"&gt;="&amp;DATE(YEAR(TODAY()),MONTH(TODAY()),1),A$2:A$463,"&lt;"&amp;DATE(YEAR(TODAY()),MONTH(TODAY())+1,1),B$2:B$463,$B$472),"")</f>
        <v/>
      </c>
      <c r="D472" s="10">
        <f>IFERROR(AVERAGEIFS(D$2:D$463,A$2:A$463,"&gt;="&amp;DATE(YEAR(TODAY()),MONTH(TODAY()),1),A$2:A$463,"&lt;"&amp;DATE(YEAR(TODAY()),MONTH(TODAY())+1,1),B$2:B$463,$B$472),"")</f>
        <v/>
      </c>
      <c r="E472" s="10">
        <f>IFERROR(AVERAGEIFS(E$2:E$463,A$2:A$463,"&gt;="&amp;DATE(YEAR(TODAY()),MONTH(TODAY()),1),A$2:A$463,"&lt;"&amp;DATE(YEAR(TODAY()),MONTH(TODAY())+1,1),B$2:B$463,$B$472),"")</f>
        <v/>
      </c>
      <c r="F472" s="11">
        <f>IFERROR(SUMPRODUCT((YEAR(A$2:A$463)=YEAR(TODAY()))*(MONTH(A$2:A$463)=MONTH(TODAY()))*(B$2:B$463=$B$472)*(F$2:F$463),"")</f>
        <v/>
      </c>
    </row>
    <row r="473">
      <c r="B473" s="2" t="inlineStr">
        <is>
          <t>MHP钴元素计价系数（对SMM硫酸钴均价）</t>
        </is>
      </c>
      <c r="C473" s="10">
        <f>IFERROR(AVERAGEIFS(C$2:C$463,A$2:A$463,"&gt;="&amp;DATE(YEAR(TODAY()),MONTH(TODAY()),1),A$2:A$463,"&lt;"&amp;DATE(YEAR(TODAY()),MONTH(TODAY())+1,1),B$2:B$463,$B$473),"")</f>
        <v/>
      </c>
      <c r="D473" s="10">
        <f>IFERROR(AVERAGEIFS(D$2:D$463,A$2:A$463,"&gt;="&amp;DATE(YEAR(TODAY()),MONTH(TODAY()),1),A$2:A$463,"&lt;"&amp;DATE(YEAR(TODAY()),MONTH(TODAY())+1,1),B$2:B$463,$B$473),"")</f>
        <v/>
      </c>
      <c r="E473" s="10">
        <f>IFERROR(AVERAGEIFS(E$2:E$463,A$2:A$463,"&gt;="&amp;DATE(YEAR(TODAY()),MONTH(TODAY()),1),A$2:A$463,"&lt;"&amp;DATE(YEAR(TODAY()),MONTH(TODAY())+1,1),B$2:B$463,$B$473),"")</f>
        <v/>
      </c>
      <c r="F473" s="11">
        <f>IFERROR(SUMPRODUCT((YEAR(A$2:A$463)=YEAR(TODAY()))*(MONTH(A$2:A$463)=MONTH(TODAY()))*(B$2:B$463=$B$473)*(F$2:F$463),"")</f>
        <v/>
      </c>
    </row>
    <row r="474">
      <c r="B474" s="2" t="inlineStr">
        <is>
          <t>NCA三元材料</t>
        </is>
      </c>
      <c r="C474" s="10">
        <f>IFERROR(AVERAGEIFS(C$2:C$463,A$2:A$463,"&gt;="&amp;DATE(YEAR(TODAY()),MONTH(TODAY()),1),A$2:A$463,"&lt;"&amp;DATE(YEAR(TODAY()),MONTH(TODAY())+1,1),B$2:B$463,$B$474),"")</f>
        <v/>
      </c>
      <c r="D474" s="10">
        <f>IFERROR(AVERAGEIFS(D$2:D$463,A$2:A$463,"&gt;="&amp;DATE(YEAR(TODAY()),MONTH(TODAY()),1),A$2:A$463,"&lt;"&amp;DATE(YEAR(TODAY()),MONTH(TODAY())+1,1),B$2:B$463,$B$474),"")</f>
        <v/>
      </c>
      <c r="E474" s="10">
        <f>IFERROR(AVERAGEIFS(E$2:E$463,A$2:A$463,"&gt;="&amp;DATE(YEAR(TODAY()),MONTH(TODAY()),1),A$2:A$463,"&lt;"&amp;DATE(YEAR(TODAY()),MONTH(TODAY())+1,1),B$2:B$463,$B$474),"")</f>
        <v/>
      </c>
      <c r="F474" s="11">
        <f>IFERROR(SUMPRODUCT((YEAR(A$2:A$463)=YEAR(TODAY()))*(MONTH(A$2:A$463)=MONTH(TODAY()))*(B$2:B$463=$B$474)*(F$2:F$463),"")</f>
        <v/>
      </c>
    </row>
    <row r="475">
      <c r="B475" s="2" t="inlineStr">
        <is>
          <t>SMM三元极片粉钴系数指数</t>
        </is>
      </c>
      <c r="C475" s="10">
        <f>IFERROR(AVERAGEIFS(C$2:C$463,A$2:A$463,"&gt;="&amp;DATE(YEAR(TODAY()),MONTH(TODAY()),1),A$2:A$463,"&lt;"&amp;DATE(YEAR(TODAY()),MONTH(TODAY())+1,1),B$2:B$463,$B$475),"")</f>
        <v/>
      </c>
      <c r="D475" s="10">
        <f>IFERROR(AVERAGEIFS(D$2:D$463,A$2:A$463,"&gt;="&amp;DATE(YEAR(TODAY()),MONTH(TODAY()),1),A$2:A$463,"&lt;"&amp;DATE(YEAR(TODAY()),MONTH(TODAY())+1,1),B$2:B$463,$B$475),"")</f>
        <v/>
      </c>
      <c r="E475" s="10">
        <f>IFERROR(AVERAGEIFS(E$2:E$463,A$2:A$463,"&gt;="&amp;DATE(YEAR(TODAY()),MONTH(TODAY()),1),A$2:A$463,"&lt;"&amp;DATE(YEAR(TODAY()),MONTH(TODAY())+1,1),B$2:B$463,$B$475),"")</f>
        <v/>
      </c>
      <c r="F475" s="11">
        <f>IFERROR(SUMPRODUCT((YEAR(A$2:A$463)=YEAR(TODAY()))*(MONTH(A$2:A$463)=MONTH(TODAY()))*(B$2:B$463=$B$475)*(F$2:F$463),"")</f>
        <v/>
      </c>
    </row>
    <row r="476">
      <c r="B476" s="2" t="inlineStr">
        <is>
          <t>SMM三元极片粉锂系数指数</t>
        </is>
      </c>
      <c r="C476" s="10">
        <f>IFERROR(AVERAGEIFS(C$2:C$463,A$2:A$463,"&gt;="&amp;DATE(YEAR(TODAY()),MONTH(TODAY()),1),A$2:A$463,"&lt;"&amp;DATE(YEAR(TODAY()),MONTH(TODAY())+1,1),B$2:B$463,$B$476),"")</f>
        <v/>
      </c>
      <c r="D476" s="10">
        <f>IFERROR(AVERAGEIFS(D$2:D$463,A$2:A$463,"&gt;="&amp;DATE(YEAR(TODAY()),MONTH(TODAY()),1),A$2:A$463,"&lt;"&amp;DATE(YEAR(TODAY()),MONTH(TODAY())+1,1),B$2:B$463,$B$476),"")</f>
        <v/>
      </c>
      <c r="E476" s="10">
        <f>IFERROR(AVERAGEIFS(E$2:E$463,A$2:A$463,"&gt;="&amp;DATE(YEAR(TODAY()),MONTH(TODAY()),1),A$2:A$463,"&lt;"&amp;DATE(YEAR(TODAY()),MONTH(TODAY())+1,1),B$2:B$463,$B$476),"")</f>
        <v/>
      </c>
      <c r="F476" s="11">
        <f>IFERROR(SUMPRODUCT((YEAR(A$2:A$463)=YEAR(TODAY()))*(MONTH(A$2:A$463)=MONTH(TODAY()))*(B$2:B$463=$B$476)*(F$2:F$463),"")</f>
        <v/>
      </c>
    </row>
    <row r="477">
      <c r="B477" s="2" t="inlineStr">
        <is>
          <t>SMM三元极片粉镍系数指数</t>
        </is>
      </c>
      <c r="C477" s="10">
        <f>IFERROR(AVERAGEIFS(C$2:C$463,A$2:A$463,"&gt;="&amp;DATE(YEAR(TODAY()),MONTH(TODAY()),1),A$2:A$463,"&lt;"&amp;DATE(YEAR(TODAY()),MONTH(TODAY())+1,1),B$2:B$463,$B$477),"")</f>
        <v/>
      </c>
      <c r="D477" s="10">
        <f>IFERROR(AVERAGEIFS(D$2:D$463,A$2:A$463,"&gt;="&amp;DATE(YEAR(TODAY()),MONTH(TODAY()),1),A$2:A$463,"&lt;"&amp;DATE(YEAR(TODAY()),MONTH(TODAY())+1,1),B$2:B$463,$B$477),"")</f>
        <v/>
      </c>
      <c r="E477" s="10">
        <f>IFERROR(AVERAGEIFS(E$2:E$463,A$2:A$463,"&gt;="&amp;DATE(YEAR(TODAY()),MONTH(TODAY()),1),A$2:A$463,"&lt;"&amp;DATE(YEAR(TODAY()),MONTH(TODAY())+1,1),B$2:B$463,$B$477),"")</f>
        <v/>
      </c>
      <c r="F477" s="11">
        <f>IFERROR(SUMPRODUCT((YEAR(A$2:A$463)=YEAR(TODAY()))*(MONTH(A$2:A$463)=MONTH(TODAY()))*(B$2:B$463=$B$477)*(F$2:F$463),"")</f>
        <v/>
      </c>
    </row>
    <row r="478">
      <c r="B478" s="2" t="inlineStr">
        <is>
          <t>SMM三元电池粉钴系数指数</t>
        </is>
      </c>
      <c r="C478" s="10">
        <f>IFERROR(AVERAGEIFS(C$2:C$463,A$2:A$463,"&gt;="&amp;DATE(YEAR(TODAY()),MONTH(TODAY()),1),A$2:A$463,"&lt;"&amp;DATE(YEAR(TODAY()),MONTH(TODAY())+1,1),B$2:B$463,$B$478),"")</f>
        <v/>
      </c>
      <c r="D478" s="10">
        <f>IFERROR(AVERAGEIFS(D$2:D$463,A$2:A$463,"&gt;="&amp;DATE(YEAR(TODAY()),MONTH(TODAY()),1),A$2:A$463,"&lt;"&amp;DATE(YEAR(TODAY()),MONTH(TODAY())+1,1),B$2:B$463,$B$478),"")</f>
        <v/>
      </c>
      <c r="E478" s="10">
        <f>IFERROR(AVERAGEIFS(E$2:E$463,A$2:A$463,"&gt;="&amp;DATE(YEAR(TODAY()),MONTH(TODAY()),1),A$2:A$463,"&lt;"&amp;DATE(YEAR(TODAY()),MONTH(TODAY())+1,1),B$2:B$463,$B$478),"")</f>
        <v/>
      </c>
      <c r="F478" s="11">
        <f>IFERROR(SUMPRODUCT((YEAR(A$2:A$463)=YEAR(TODAY()))*(MONTH(A$2:A$463)=MONTH(TODAY()))*(B$2:B$463=$B$478)*(F$2:F$463),"")</f>
        <v/>
      </c>
    </row>
    <row r="479">
      <c r="B479" s="2" t="inlineStr">
        <is>
          <t>SMM三元电池粉锂系数指数</t>
        </is>
      </c>
      <c r="C479" s="10">
        <f>IFERROR(AVERAGEIFS(C$2:C$463,A$2:A$463,"&gt;="&amp;DATE(YEAR(TODAY()),MONTH(TODAY()),1),A$2:A$463,"&lt;"&amp;DATE(YEAR(TODAY()),MONTH(TODAY())+1,1),B$2:B$463,$B$479),"")</f>
        <v/>
      </c>
      <c r="D479" s="10">
        <f>IFERROR(AVERAGEIFS(D$2:D$463,A$2:A$463,"&gt;="&amp;DATE(YEAR(TODAY()),MONTH(TODAY()),1),A$2:A$463,"&lt;"&amp;DATE(YEAR(TODAY()),MONTH(TODAY())+1,1),B$2:B$463,$B$479),"")</f>
        <v/>
      </c>
      <c r="E479" s="10">
        <f>IFERROR(AVERAGEIFS(E$2:E$463,A$2:A$463,"&gt;="&amp;DATE(YEAR(TODAY()),MONTH(TODAY()),1),A$2:A$463,"&lt;"&amp;DATE(YEAR(TODAY()),MONTH(TODAY())+1,1),B$2:B$463,$B$479),"")</f>
        <v/>
      </c>
      <c r="F479" s="11">
        <f>IFERROR(SUMPRODUCT((YEAR(A$2:A$463)=YEAR(TODAY()))*(MONTH(A$2:A$463)=MONTH(TODAY()))*(B$2:B$463=$B$479)*(F$2:F$463),"")</f>
        <v/>
      </c>
    </row>
    <row r="480">
      <c r="B480" s="2" t="inlineStr">
        <is>
          <t>SMM三元电池粉镍系数指数</t>
        </is>
      </c>
      <c r="C480" s="10">
        <f>IFERROR(AVERAGEIFS(C$2:C$463,A$2:A$463,"&gt;="&amp;DATE(YEAR(TODAY()),MONTH(TODAY()),1),A$2:A$463,"&lt;"&amp;DATE(YEAR(TODAY()),MONTH(TODAY())+1,1),B$2:B$463,$B$480),"")</f>
        <v/>
      </c>
      <c r="D480" s="10">
        <f>IFERROR(AVERAGEIFS(D$2:D$463,A$2:A$463,"&gt;="&amp;DATE(YEAR(TODAY()),MONTH(TODAY()),1),A$2:A$463,"&lt;"&amp;DATE(YEAR(TODAY()),MONTH(TODAY())+1,1),B$2:B$463,$B$480),"")</f>
        <v/>
      </c>
      <c r="E480" s="10">
        <f>IFERROR(AVERAGEIFS(E$2:E$463,A$2:A$463,"&gt;="&amp;DATE(YEAR(TODAY()),MONTH(TODAY()),1),A$2:A$463,"&lt;"&amp;DATE(YEAR(TODAY()),MONTH(TODAY())+1,1),B$2:B$463,$B$480),"")</f>
        <v/>
      </c>
      <c r="F480" s="11">
        <f>IFERROR(SUMPRODUCT((YEAR(A$2:A$463)=YEAR(TODAY()))*(MONTH(A$2:A$463)=MONTH(TODAY()))*(B$2:B$463=$B$480)*(F$2:F$463),"")</f>
        <v/>
      </c>
    </row>
    <row r="481">
      <c r="B481" s="2" t="inlineStr">
        <is>
          <t>SMM六氟磷酸锂指数</t>
        </is>
      </c>
      <c r="C481" s="10">
        <f>IFERROR(AVERAGEIFS(C$2:C$463,A$2:A$463,"&gt;="&amp;DATE(YEAR(TODAY()),MONTH(TODAY()),1),A$2:A$463,"&lt;"&amp;DATE(YEAR(TODAY()),MONTH(TODAY())+1,1),B$2:B$463,$B$481),"")</f>
        <v/>
      </c>
      <c r="D481" s="10">
        <f>IFERROR(AVERAGEIFS(D$2:D$463,A$2:A$463,"&gt;="&amp;DATE(YEAR(TODAY()),MONTH(TODAY()),1),A$2:A$463,"&lt;"&amp;DATE(YEAR(TODAY()),MONTH(TODAY())+1,1),B$2:B$463,$B$481),"")</f>
        <v/>
      </c>
      <c r="E481" s="10">
        <f>IFERROR(AVERAGEIFS(E$2:E$463,A$2:A$463,"&gt;="&amp;DATE(YEAR(TODAY()),MONTH(TODAY()),1),A$2:A$463,"&lt;"&amp;DATE(YEAR(TODAY()),MONTH(TODAY())+1,1),B$2:B$463,$B$481),"")</f>
        <v/>
      </c>
      <c r="F481" s="11">
        <f>IFERROR(SUMPRODUCT((YEAR(A$2:A$463)=YEAR(TODAY()))*(MONTH(A$2:A$463)=MONTH(TODAY()))*(B$2:B$463=$B$481)*(F$2:F$463),"")</f>
        <v/>
      </c>
    </row>
    <row r="482">
      <c r="B482" s="2" t="inlineStr">
        <is>
          <t>SMM电池级氢氧化锂指数</t>
        </is>
      </c>
      <c r="C482" s="10">
        <f>IFERROR(AVERAGEIFS(C$2:C$463,A$2:A$463,"&gt;="&amp;DATE(YEAR(TODAY()),MONTH(TODAY()),1),A$2:A$463,"&lt;"&amp;DATE(YEAR(TODAY()),MONTH(TODAY())+1,1),B$2:B$463,$B$482),"")</f>
        <v/>
      </c>
      <c r="D482" s="10">
        <f>IFERROR(AVERAGEIFS(D$2:D$463,A$2:A$463,"&gt;="&amp;DATE(YEAR(TODAY()),MONTH(TODAY()),1),A$2:A$463,"&lt;"&amp;DATE(YEAR(TODAY()),MONTH(TODAY())+1,1),B$2:B$463,$B$482),"")</f>
        <v/>
      </c>
      <c r="E482" s="10">
        <f>IFERROR(AVERAGEIFS(E$2:E$463,A$2:A$463,"&gt;="&amp;DATE(YEAR(TODAY()),MONTH(TODAY()),1),A$2:A$463,"&lt;"&amp;DATE(YEAR(TODAY()),MONTH(TODAY())+1,1),B$2:B$463,$B$482),"")</f>
        <v/>
      </c>
      <c r="F482" s="11">
        <f>IFERROR(SUMPRODUCT((YEAR(A$2:A$463)=YEAR(TODAY()))*(MONTH(A$2:A$463)=MONTH(TODAY()))*(B$2:B$463=$B$482)*(F$2:F$463),"")</f>
        <v/>
      </c>
    </row>
    <row r="483">
      <c r="B483" s="2" t="inlineStr">
        <is>
          <t>SMM电池级硫酸锰指数</t>
        </is>
      </c>
      <c r="C483" s="10">
        <f>IFERROR(AVERAGEIFS(C$2:C$463,A$2:A$463,"&gt;="&amp;DATE(YEAR(TODAY()),MONTH(TODAY()),1),A$2:A$463,"&lt;"&amp;DATE(YEAR(TODAY()),MONTH(TODAY())+1,1),B$2:B$463,$B$483),"")</f>
        <v/>
      </c>
      <c r="D483" s="10">
        <f>IFERROR(AVERAGEIFS(D$2:D$463,A$2:A$463,"&gt;="&amp;DATE(YEAR(TODAY()),MONTH(TODAY()),1),A$2:A$463,"&lt;"&amp;DATE(YEAR(TODAY()),MONTH(TODAY())+1,1),B$2:B$463,$B$483),"")</f>
        <v/>
      </c>
      <c r="E483" s="10">
        <f>IFERROR(AVERAGEIFS(E$2:E$463,A$2:A$463,"&gt;="&amp;DATE(YEAR(TODAY()),MONTH(TODAY()),1),A$2:A$463,"&lt;"&amp;DATE(YEAR(TODAY()),MONTH(TODAY())+1,1),B$2:B$463,$B$483),"")</f>
        <v/>
      </c>
      <c r="F483" s="11">
        <f>IFERROR(SUMPRODUCT((YEAR(A$2:A$463)=YEAR(TODAY()))*(MONTH(A$2:A$463)=MONTH(TODAY()))*(B$2:B$463=$B$483)*(F$2:F$463),"")</f>
        <v/>
      </c>
    </row>
    <row r="484">
      <c r="B484" s="2" t="inlineStr">
        <is>
          <t>SMM电池级硫酸镍指数</t>
        </is>
      </c>
      <c r="C484" s="10">
        <f>IFERROR(AVERAGEIFS(C$2:C$463,A$2:A$463,"&gt;="&amp;DATE(YEAR(TODAY()),MONTH(TODAY()),1),A$2:A$463,"&lt;"&amp;DATE(YEAR(TODAY()),MONTH(TODAY())+1,1),B$2:B$463,$B$484),"")</f>
        <v/>
      </c>
      <c r="D484" s="10">
        <f>IFERROR(AVERAGEIFS(D$2:D$463,A$2:A$463,"&gt;="&amp;DATE(YEAR(TODAY()),MONTH(TODAY()),1),A$2:A$463,"&lt;"&amp;DATE(YEAR(TODAY()),MONTH(TODAY())+1,1),B$2:B$463,$B$484),"")</f>
        <v/>
      </c>
      <c r="E484" s="10">
        <f>IFERROR(AVERAGEIFS(E$2:E$463,A$2:A$463,"&gt;="&amp;DATE(YEAR(TODAY()),MONTH(TODAY()),1),A$2:A$463,"&lt;"&amp;DATE(YEAR(TODAY()),MONTH(TODAY())+1,1),B$2:B$463,$B$484),"")</f>
        <v/>
      </c>
      <c r="F484" s="11">
        <f>IFERROR(SUMPRODUCT((YEAR(A$2:A$463)=YEAR(TODAY()))*(MONTH(A$2:A$463)=MONTH(TODAY()))*(B$2:B$463=$B$484)*(F$2:F$463),"")</f>
        <v/>
      </c>
    </row>
    <row r="485">
      <c r="B485" s="2" t="inlineStr">
        <is>
          <t>SMM电池级碳酸锂指数</t>
        </is>
      </c>
      <c r="C485" s="10">
        <f>IFERROR(AVERAGEIFS(C$2:C$463,A$2:A$463,"&gt;="&amp;DATE(YEAR(TODAY()),MONTH(TODAY()),1),A$2:A$463,"&lt;"&amp;DATE(YEAR(TODAY()),MONTH(TODAY())+1,1),B$2:B$463,$B$485),"")</f>
        <v/>
      </c>
      <c r="D485" s="10">
        <f>IFERROR(AVERAGEIFS(D$2:D$463,A$2:A$463,"&gt;="&amp;DATE(YEAR(TODAY()),MONTH(TODAY()),1),A$2:A$463,"&lt;"&amp;DATE(YEAR(TODAY()),MONTH(TODAY())+1,1),B$2:B$463,$B$485),"")</f>
        <v/>
      </c>
      <c r="E485" s="10">
        <f>IFERROR(AVERAGEIFS(E$2:E$463,A$2:A$463,"&gt;="&amp;DATE(YEAR(TODAY()),MONTH(TODAY()),1),A$2:A$463,"&lt;"&amp;DATE(YEAR(TODAY()),MONTH(TODAY())+1,1),B$2:B$463,$B$485),"")</f>
        <v/>
      </c>
      <c r="F485" s="11">
        <f>IFERROR(SUMPRODUCT((YEAR(A$2:A$463)=YEAR(TODAY()))*(MONTH(A$2:A$463)=MONTH(TODAY()))*(B$2:B$463=$B$485)*(F$2:F$463),"")</f>
        <v/>
      </c>
    </row>
    <row r="486">
      <c r="B486" s="2" t="inlineStr">
        <is>
          <t>SMM硫酸钴指数</t>
        </is>
      </c>
      <c r="C486" s="10">
        <f>IFERROR(AVERAGEIFS(C$2:C$463,A$2:A$463,"&gt;="&amp;DATE(YEAR(TODAY()),MONTH(TODAY()),1),A$2:A$463,"&lt;"&amp;DATE(YEAR(TODAY()),MONTH(TODAY())+1,1),B$2:B$463,$B$486),"")</f>
        <v/>
      </c>
      <c r="D486" s="10">
        <f>IFERROR(AVERAGEIFS(D$2:D$463,A$2:A$463,"&gt;="&amp;DATE(YEAR(TODAY()),MONTH(TODAY()),1),A$2:A$463,"&lt;"&amp;DATE(YEAR(TODAY()),MONTH(TODAY())+1,1),B$2:B$463,$B$486),"")</f>
        <v/>
      </c>
      <c r="E486" s="10">
        <f>IFERROR(AVERAGEIFS(E$2:E$463,A$2:A$463,"&gt;="&amp;DATE(YEAR(TODAY()),MONTH(TODAY()),1),A$2:A$463,"&lt;"&amp;DATE(YEAR(TODAY()),MONTH(TODAY())+1,1),B$2:B$463,$B$486),"")</f>
        <v/>
      </c>
      <c r="F486" s="11">
        <f>IFERROR(SUMPRODUCT((YEAR(A$2:A$463)=YEAR(TODAY()))*(MONTH(A$2:A$463)=MONTH(TODAY()))*(B$2:B$463=$B$486)*(F$2:F$463),"")</f>
        <v/>
      </c>
    </row>
    <row r="487">
      <c r="B487" s="2" t="inlineStr">
        <is>
          <t>SMM磷酸铁锂极片粉指数</t>
        </is>
      </c>
      <c r="C487" s="10">
        <f>IFERROR(AVERAGEIFS(C$2:C$463,A$2:A$463,"&gt;="&amp;DATE(YEAR(TODAY()),MONTH(TODAY()),1),A$2:A$463,"&lt;"&amp;DATE(YEAR(TODAY()),MONTH(TODAY())+1,1),B$2:B$463,$B$487),"")</f>
        <v/>
      </c>
      <c r="D487" s="10">
        <f>IFERROR(AVERAGEIFS(D$2:D$463,A$2:A$463,"&gt;="&amp;DATE(YEAR(TODAY()),MONTH(TODAY()),1),A$2:A$463,"&lt;"&amp;DATE(YEAR(TODAY()),MONTH(TODAY())+1,1),B$2:B$463,$B$487),"")</f>
        <v/>
      </c>
      <c r="E487" s="10">
        <f>IFERROR(AVERAGEIFS(E$2:E$463,A$2:A$463,"&gt;="&amp;DATE(YEAR(TODAY()),MONTH(TODAY()),1),A$2:A$463,"&lt;"&amp;DATE(YEAR(TODAY()),MONTH(TODAY())+1,1),B$2:B$463,$B$487),"")</f>
        <v/>
      </c>
      <c r="F487" s="11">
        <f>IFERROR(SUMPRODUCT((YEAR(A$2:A$463)=YEAR(TODAY()))*(MONTH(A$2:A$463)=MONTH(TODAY()))*(B$2:B$463=$B$487)*(F$2:F$463),"")</f>
        <v/>
      </c>
    </row>
    <row r="488">
      <c r="B488" s="2" t="inlineStr">
        <is>
          <t>SMM磷酸铁锂电池粉指数</t>
        </is>
      </c>
      <c r="C488" s="10">
        <f>IFERROR(AVERAGEIFS(C$2:C$463,A$2:A$463,"&gt;="&amp;DATE(YEAR(TODAY()),MONTH(TODAY()),1),A$2:A$463,"&lt;"&amp;DATE(YEAR(TODAY()),MONTH(TODAY())+1,1),B$2:B$463,$B$488),"")</f>
        <v/>
      </c>
      <c r="D488" s="10">
        <f>IFERROR(AVERAGEIFS(D$2:D$463,A$2:A$463,"&gt;="&amp;DATE(YEAR(TODAY()),MONTH(TODAY()),1),A$2:A$463,"&lt;"&amp;DATE(YEAR(TODAY()),MONTH(TODAY())+1,1),B$2:B$463,$B$488),"")</f>
        <v/>
      </c>
      <c r="E488" s="10">
        <f>IFERROR(AVERAGEIFS(E$2:E$463,A$2:A$463,"&gt;="&amp;DATE(YEAR(TODAY()),MONTH(TODAY()),1),A$2:A$463,"&lt;"&amp;DATE(YEAR(TODAY()),MONTH(TODAY())+1,1),B$2:B$463,$B$488),"")</f>
        <v/>
      </c>
      <c r="F488" s="11">
        <f>IFERROR(SUMPRODUCT((YEAR(A$2:A$463)=YEAR(TODAY()))*(MONTH(A$2:A$463)=MONTH(TODAY()))*(B$2:B$463=$B$488)*(F$2:F$463),"")</f>
        <v/>
      </c>
    </row>
    <row r="489">
      <c r="B489" s="2" t="inlineStr">
        <is>
          <t>SMM钴酸锂极片粉钴系数指数</t>
        </is>
      </c>
      <c r="C489" s="10">
        <f>IFERROR(AVERAGEIFS(C$2:C$463,A$2:A$463,"&gt;="&amp;DATE(YEAR(TODAY()),MONTH(TODAY()),1),A$2:A$463,"&lt;"&amp;DATE(YEAR(TODAY()),MONTH(TODAY())+1,1),B$2:B$463,$B$489),"")</f>
        <v/>
      </c>
      <c r="D489" s="10">
        <f>IFERROR(AVERAGEIFS(D$2:D$463,A$2:A$463,"&gt;="&amp;DATE(YEAR(TODAY()),MONTH(TODAY()),1),A$2:A$463,"&lt;"&amp;DATE(YEAR(TODAY()),MONTH(TODAY())+1,1),B$2:B$463,$B$489),"")</f>
        <v/>
      </c>
      <c r="E489" s="10">
        <f>IFERROR(AVERAGEIFS(E$2:E$463,A$2:A$463,"&gt;="&amp;DATE(YEAR(TODAY()),MONTH(TODAY()),1),A$2:A$463,"&lt;"&amp;DATE(YEAR(TODAY()),MONTH(TODAY())+1,1),B$2:B$463,$B$489),"")</f>
        <v/>
      </c>
      <c r="F489" s="11">
        <f>IFERROR(SUMPRODUCT((YEAR(A$2:A$463)=YEAR(TODAY()))*(MONTH(A$2:A$463)=MONTH(TODAY()))*(B$2:B$463=$B$489)*(F$2:F$463),"")</f>
        <v/>
      </c>
    </row>
    <row r="490">
      <c r="B490" s="2" t="inlineStr">
        <is>
          <t>SMM钴酸锂极片粉锂系数指数</t>
        </is>
      </c>
      <c r="C490" s="10">
        <f>IFERROR(AVERAGEIFS(C$2:C$463,A$2:A$463,"&gt;="&amp;DATE(YEAR(TODAY()),MONTH(TODAY()),1),A$2:A$463,"&lt;"&amp;DATE(YEAR(TODAY()),MONTH(TODAY())+1,1),B$2:B$463,$B$490),"")</f>
        <v/>
      </c>
      <c r="D490" s="10">
        <f>IFERROR(AVERAGEIFS(D$2:D$463,A$2:A$463,"&gt;="&amp;DATE(YEAR(TODAY()),MONTH(TODAY()),1),A$2:A$463,"&lt;"&amp;DATE(YEAR(TODAY()),MONTH(TODAY())+1,1),B$2:B$463,$B$490),"")</f>
        <v/>
      </c>
      <c r="E490" s="10">
        <f>IFERROR(AVERAGEIFS(E$2:E$463,A$2:A$463,"&gt;="&amp;DATE(YEAR(TODAY()),MONTH(TODAY()),1),A$2:A$463,"&lt;"&amp;DATE(YEAR(TODAY()),MONTH(TODAY())+1,1),B$2:B$463,$B$490),"")</f>
        <v/>
      </c>
      <c r="F490" s="11">
        <f>IFERROR(SUMPRODUCT((YEAR(A$2:A$463)=YEAR(TODAY()))*(MONTH(A$2:A$463)=MONTH(TODAY()))*(B$2:B$463=$B$490)*(F$2:F$463),"")</f>
        <v/>
      </c>
    </row>
    <row r="491">
      <c r="B491" s="2" t="inlineStr">
        <is>
          <t>SMM钴酸锂电池粉钴系数指数</t>
        </is>
      </c>
      <c r="C491" s="10">
        <f>IFERROR(AVERAGEIFS(C$2:C$463,A$2:A$463,"&gt;="&amp;DATE(YEAR(TODAY()),MONTH(TODAY()),1),A$2:A$463,"&lt;"&amp;DATE(YEAR(TODAY()),MONTH(TODAY())+1,1),B$2:B$463,$B$491),"")</f>
        <v/>
      </c>
      <c r="D491" s="10">
        <f>IFERROR(AVERAGEIFS(D$2:D$463,A$2:A$463,"&gt;="&amp;DATE(YEAR(TODAY()),MONTH(TODAY()),1),A$2:A$463,"&lt;"&amp;DATE(YEAR(TODAY()),MONTH(TODAY())+1,1),B$2:B$463,$B$491),"")</f>
        <v/>
      </c>
      <c r="E491" s="10">
        <f>IFERROR(AVERAGEIFS(E$2:E$463,A$2:A$463,"&gt;="&amp;DATE(YEAR(TODAY()),MONTH(TODAY()),1),A$2:A$463,"&lt;"&amp;DATE(YEAR(TODAY()),MONTH(TODAY())+1,1),B$2:B$463,$B$491),"")</f>
        <v/>
      </c>
      <c r="F491" s="11">
        <f>IFERROR(SUMPRODUCT((YEAR(A$2:A$463)=YEAR(TODAY()))*(MONTH(A$2:A$463)=MONTH(TODAY()))*(B$2:B$463=$B$491)*(F$2:F$463),"")</f>
        <v/>
      </c>
    </row>
    <row r="492">
      <c r="B492" s="2" t="inlineStr">
        <is>
          <t>SMM钴酸锂电池粉锂系数指数</t>
        </is>
      </c>
      <c r="C492" s="10">
        <f>IFERROR(AVERAGEIFS(C$2:C$463,A$2:A$463,"&gt;="&amp;DATE(YEAR(TODAY()),MONTH(TODAY()),1),A$2:A$463,"&lt;"&amp;DATE(YEAR(TODAY()),MONTH(TODAY())+1,1),B$2:B$463,$B$492),"")</f>
        <v/>
      </c>
      <c r="D492" s="10">
        <f>IFERROR(AVERAGEIFS(D$2:D$463,A$2:A$463,"&gt;="&amp;DATE(YEAR(TODAY()),MONTH(TODAY()),1),A$2:A$463,"&lt;"&amp;DATE(YEAR(TODAY()),MONTH(TODAY())+1,1),B$2:B$463,$B$492),"")</f>
        <v/>
      </c>
      <c r="E492" s="10">
        <f>IFERROR(AVERAGEIFS(E$2:E$463,A$2:A$463,"&gt;="&amp;DATE(YEAR(TODAY()),MONTH(TODAY()),1),A$2:A$463,"&lt;"&amp;DATE(YEAR(TODAY()),MONTH(TODAY())+1,1),B$2:B$463,$B$492),"")</f>
        <v/>
      </c>
      <c r="F492" s="11">
        <f>IFERROR(SUMPRODUCT((YEAR(A$2:A$463)=YEAR(TODAY()))*(MONTH(A$2:A$463)=MONTH(TODAY()))*(B$2:B$463=$B$492)*(F$2:F$463),"")</f>
        <v/>
      </c>
    </row>
    <row r="493">
      <c r="B493" s="2" t="inlineStr">
        <is>
          <t>三元方壳锂电B品</t>
        </is>
      </c>
      <c r="C493" s="10">
        <f>IFERROR(AVERAGEIFS(C$2:C$463,A$2:A$463,"&gt;="&amp;DATE(YEAR(TODAY()),MONTH(TODAY()),1),A$2:A$463,"&lt;"&amp;DATE(YEAR(TODAY()),MONTH(TODAY())+1,1),B$2:B$463,$B$493),"")</f>
        <v/>
      </c>
      <c r="D493" s="10">
        <f>IFERROR(AVERAGEIFS(D$2:D$463,A$2:A$463,"&gt;="&amp;DATE(YEAR(TODAY()),MONTH(TODAY()),1),A$2:A$463,"&lt;"&amp;DATE(YEAR(TODAY()),MONTH(TODAY())+1,1),B$2:B$463,$B$493),"")</f>
        <v/>
      </c>
      <c r="E493" s="10">
        <f>IFERROR(AVERAGEIFS(E$2:E$463,A$2:A$463,"&gt;="&amp;DATE(YEAR(TODAY()),MONTH(TODAY()),1),A$2:A$463,"&lt;"&amp;DATE(YEAR(TODAY()),MONTH(TODAY())+1,1),B$2:B$463,$B$493),"")</f>
        <v/>
      </c>
      <c r="F493" s="11">
        <f>IFERROR(SUMPRODUCT((YEAR(A$2:A$463)=YEAR(TODAY()))*(MONTH(A$2:A$463)=MONTH(TODAY()))*(B$2:B$463=$B$493)*(F$2:F$463),"")</f>
        <v/>
      </c>
    </row>
    <row r="494">
      <c r="B494" s="2" t="inlineStr">
        <is>
          <t>六氟磷酸锂（国产）</t>
        </is>
      </c>
      <c r="C494" s="10">
        <f>IFERROR(AVERAGEIFS(C$2:C$463,A$2:A$463,"&gt;="&amp;DATE(YEAR(TODAY()),MONTH(TODAY()),1),A$2:A$463,"&lt;"&amp;DATE(YEAR(TODAY()),MONTH(TODAY())+1,1),B$2:B$463,$B$494),"")</f>
        <v/>
      </c>
      <c r="D494" s="10">
        <f>IFERROR(AVERAGEIFS(D$2:D$463,A$2:A$463,"&gt;="&amp;DATE(YEAR(TODAY()),MONTH(TODAY()),1),A$2:A$463,"&lt;"&amp;DATE(YEAR(TODAY()),MONTH(TODAY())+1,1),B$2:B$463,$B$494),"")</f>
        <v/>
      </c>
      <c r="E494" s="10">
        <f>IFERROR(AVERAGEIFS(E$2:E$463,A$2:A$463,"&gt;="&amp;DATE(YEAR(TODAY()),MONTH(TODAY()),1),A$2:A$463,"&lt;"&amp;DATE(YEAR(TODAY()),MONTH(TODAY())+1,1),B$2:B$463,$B$494),"")</f>
        <v/>
      </c>
      <c r="F494" s="11">
        <f>IFERROR(SUMPRODUCT((YEAR(A$2:A$463)=YEAR(TODAY()))*(MONTH(A$2:A$463)=MONTH(TODAY()))*(B$2:B$463=$B$494)*(F$2:F$463),"")</f>
        <v/>
      </c>
    </row>
    <row r="495">
      <c r="B495" s="2" t="inlineStr">
        <is>
          <t>四氧化三钴</t>
        </is>
      </c>
      <c r="C495" s="10">
        <f>IFERROR(AVERAGEIFS(C$2:C$463,A$2:A$463,"&gt;="&amp;DATE(YEAR(TODAY()),MONTH(TODAY()),1),A$2:A$463,"&lt;"&amp;DATE(YEAR(TODAY()),MONTH(TODAY())+1,1),B$2:B$463,$B$495),"")</f>
        <v/>
      </c>
      <c r="D495" s="10">
        <f>IFERROR(AVERAGEIFS(D$2:D$463,A$2:A$463,"&gt;="&amp;DATE(YEAR(TODAY()),MONTH(TODAY()),1),A$2:A$463,"&lt;"&amp;DATE(YEAR(TODAY()),MONTH(TODAY())+1,1),B$2:B$463,$B$495),"")</f>
        <v/>
      </c>
      <c r="E495" s="10">
        <f>IFERROR(AVERAGEIFS(E$2:E$463,A$2:A$463,"&gt;="&amp;DATE(YEAR(TODAY()),MONTH(TODAY()),1),A$2:A$463,"&lt;"&amp;DATE(YEAR(TODAY()),MONTH(TODAY())+1,1),B$2:B$463,$B$495),"")</f>
        <v/>
      </c>
      <c r="F495" s="11">
        <f>IFERROR(SUMPRODUCT((YEAR(A$2:A$463)=YEAR(TODAY()))*(MONTH(A$2:A$463)=MONTH(TODAY()))*(B$2:B$463=$B$495)*(F$2:F$463),"")</f>
        <v/>
      </c>
    </row>
    <row r="496">
      <c r="B496" s="2" t="inlineStr">
        <is>
          <t>四氧化三锰（电池级）</t>
        </is>
      </c>
      <c r="C496" s="10">
        <f>IFERROR(AVERAGEIFS(C$2:C$463,A$2:A$463,"&gt;="&amp;DATE(YEAR(TODAY()),MONTH(TODAY()),1),A$2:A$463,"&lt;"&amp;DATE(YEAR(TODAY()),MONTH(TODAY())+1,1),B$2:B$463,$B$496),"")</f>
        <v/>
      </c>
      <c r="D496" s="10">
        <f>IFERROR(AVERAGEIFS(D$2:D$463,A$2:A$463,"&gt;="&amp;DATE(YEAR(TODAY()),MONTH(TODAY()),1),A$2:A$463,"&lt;"&amp;DATE(YEAR(TODAY()),MONTH(TODAY())+1,1),B$2:B$463,$B$496),"")</f>
        <v/>
      </c>
      <c r="E496" s="10">
        <f>IFERROR(AVERAGEIFS(E$2:E$463,A$2:A$463,"&gt;="&amp;DATE(YEAR(TODAY()),MONTH(TODAY()),1),A$2:A$463,"&lt;"&amp;DATE(YEAR(TODAY()),MONTH(TODAY())+1,1),B$2:B$463,$B$496),"")</f>
        <v/>
      </c>
      <c r="F496" s="11">
        <f>IFERROR(SUMPRODUCT((YEAR(A$2:A$463)=YEAR(TODAY()))*(MONTH(A$2:A$463)=MONTH(TODAY()))*(B$2:B$463=$B$496)*(F$2:F$463),"")</f>
        <v/>
      </c>
    </row>
    <row r="497">
      <c r="B497" s="2" t="inlineStr">
        <is>
          <t>工业级氢氧化锂</t>
        </is>
      </c>
      <c r="C497" s="10">
        <f>IFERROR(AVERAGEIFS(C$2:C$463,A$2:A$463,"&gt;="&amp;DATE(YEAR(TODAY()),MONTH(TODAY()),1),A$2:A$463,"&lt;"&amp;DATE(YEAR(TODAY()),MONTH(TODAY())+1,1),B$2:B$463,$B$497),"")</f>
        <v/>
      </c>
      <c r="D497" s="10">
        <f>IFERROR(AVERAGEIFS(D$2:D$463,A$2:A$463,"&gt;="&amp;DATE(YEAR(TODAY()),MONTH(TODAY()),1),A$2:A$463,"&lt;"&amp;DATE(YEAR(TODAY()),MONTH(TODAY())+1,1),B$2:B$463,$B$497),"")</f>
        <v/>
      </c>
      <c r="E497" s="10">
        <f>IFERROR(AVERAGEIFS(E$2:E$463,A$2:A$463,"&gt;="&amp;DATE(YEAR(TODAY()),MONTH(TODAY()),1),A$2:A$463,"&lt;"&amp;DATE(YEAR(TODAY()),MONTH(TODAY())+1,1),B$2:B$463,$B$497),"")</f>
        <v/>
      </c>
      <c r="F497" s="11">
        <f>IFERROR(SUMPRODUCT((YEAR(A$2:A$463)=YEAR(TODAY()))*(MONTH(A$2:A$463)=MONTH(TODAY()))*(B$2:B$463=$B$497)*(F$2:F$463),"")</f>
        <v/>
      </c>
    </row>
    <row r="498">
      <c r="B498" s="2" t="inlineStr">
        <is>
          <t>工业级碳酸锂</t>
        </is>
      </c>
      <c r="C498" s="10">
        <f>IFERROR(AVERAGEIFS(C$2:C$463,A$2:A$463,"&gt;="&amp;DATE(YEAR(TODAY()),MONTH(TODAY()),1),A$2:A$463,"&lt;"&amp;DATE(YEAR(TODAY()),MONTH(TODAY())+1,1),B$2:B$463,$B$498),"")</f>
        <v/>
      </c>
      <c r="D498" s="10">
        <f>IFERROR(AVERAGEIFS(D$2:D$463,A$2:A$463,"&gt;="&amp;DATE(YEAR(TODAY()),MONTH(TODAY()),1),A$2:A$463,"&lt;"&amp;DATE(YEAR(TODAY()),MONTH(TODAY())+1,1),B$2:B$463,$B$498),"")</f>
        <v/>
      </c>
      <c r="E498" s="10">
        <f>IFERROR(AVERAGEIFS(E$2:E$463,A$2:A$463,"&gt;="&amp;DATE(YEAR(TODAY()),MONTH(TODAY()),1),A$2:A$463,"&lt;"&amp;DATE(YEAR(TODAY()),MONTH(TODAY())+1,1),B$2:B$463,$B$498),"")</f>
        <v/>
      </c>
      <c r="F498" s="11">
        <f>IFERROR(SUMPRODUCT((YEAR(A$2:A$463)=YEAR(TODAY()))*(MONTH(A$2:A$463)=MONTH(TODAY()))*(B$2:B$463=$B$498)*(F$2:F$463),"")</f>
        <v/>
      </c>
    </row>
    <row r="499">
      <c r="B499" s="2" t="inlineStr">
        <is>
          <t>工业级金属锂</t>
        </is>
      </c>
      <c r="C499" s="10">
        <f>IFERROR(AVERAGEIFS(C$2:C$463,A$2:A$463,"&gt;="&amp;DATE(YEAR(TODAY()),MONTH(TODAY()),1),A$2:A$463,"&lt;"&amp;DATE(YEAR(TODAY()),MONTH(TODAY())+1,1),B$2:B$463,$B$499),"")</f>
        <v/>
      </c>
      <c r="D499" s="10">
        <f>IFERROR(AVERAGEIFS(D$2:D$463,A$2:A$463,"&gt;="&amp;DATE(YEAR(TODAY()),MONTH(TODAY()),1),A$2:A$463,"&lt;"&amp;DATE(YEAR(TODAY()),MONTH(TODAY())+1,1),B$2:B$463,$B$499),"")</f>
        <v/>
      </c>
      <c r="E499" s="10">
        <f>IFERROR(AVERAGEIFS(E$2:E$463,A$2:A$463,"&gt;="&amp;DATE(YEAR(TODAY()),MONTH(TODAY()),1),A$2:A$463,"&lt;"&amp;DATE(YEAR(TODAY()),MONTH(TODAY())+1,1),B$2:B$463,$B$499),"")</f>
        <v/>
      </c>
      <c r="F499" s="11">
        <f>IFERROR(SUMPRODUCT((YEAR(A$2:A$463)=YEAR(TODAY()))*(MONTH(A$2:A$463)=MONTH(TODAY()))*(B$2:B$463=$B$499)*(F$2:F$463),"")</f>
        <v/>
      </c>
    </row>
    <row r="500">
      <c r="B500" s="2" t="inlineStr">
        <is>
          <t>巴西锂辉石精矿（CIF中国）现货</t>
        </is>
      </c>
      <c r="C500" s="10">
        <f>IFERROR(AVERAGEIFS(C$2:C$463,A$2:A$463,"&gt;="&amp;DATE(YEAR(TODAY()),MONTH(TODAY()),1),A$2:A$463,"&lt;"&amp;DATE(YEAR(TODAY()),MONTH(TODAY())+1,1),B$2:B$463,$B$500),"")</f>
        <v/>
      </c>
      <c r="D500" s="10">
        <f>IFERROR(AVERAGEIFS(D$2:D$463,A$2:A$463,"&gt;="&amp;DATE(YEAR(TODAY()),MONTH(TODAY()),1),A$2:A$463,"&lt;"&amp;DATE(YEAR(TODAY()),MONTH(TODAY())+1,1),B$2:B$463,$B$500),"")</f>
        <v/>
      </c>
      <c r="E500" s="10">
        <f>IFERROR(AVERAGEIFS(E$2:E$463,A$2:A$463,"&gt;="&amp;DATE(YEAR(TODAY()),MONTH(TODAY()),1),A$2:A$463,"&lt;"&amp;DATE(YEAR(TODAY()),MONTH(TODAY())+1,1),B$2:B$463,$B$500),"")</f>
        <v/>
      </c>
      <c r="F500" s="11">
        <f>IFERROR(SUMPRODUCT((YEAR(A$2:A$463)=YEAR(TODAY()))*(MONTH(A$2:A$463)=MONTH(TODAY()))*(B$2:B$463=$B$500)*(F$2:F$463),"")</f>
        <v/>
      </c>
    </row>
    <row r="501">
      <c r="B501" s="2" t="inlineStr">
        <is>
          <t>废旧磷酸铁锂储能正极片</t>
        </is>
      </c>
      <c r="C501" s="10">
        <f>IFERROR(AVERAGEIFS(C$2:C$463,A$2:A$463,"&gt;="&amp;DATE(YEAR(TODAY()),MONTH(TODAY()),1),A$2:A$463,"&lt;"&amp;DATE(YEAR(TODAY()),MONTH(TODAY())+1,1),B$2:B$463,$B$501),"")</f>
        <v/>
      </c>
      <c r="D501" s="10">
        <f>IFERROR(AVERAGEIFS(D$2:D$463,A$2:A$463,"&gt;="&amp;DATE(YEAR(TODAY()),MONTH(TODAY()),1),A$2:A$463,"&lt;"&amp;DATE(YEAR(TODAY()),MONTH(TODAY())+1,1),B$2:B$463,$B$501),"")</f>
        <v/>
      </c>
      <c r="E501" s="10">
        <f>IFERROR(AVERAGEIFS(E$2:E$463,A$2:A$463,"&gt;="&amp;DATE(YEAR(TODAY()),MONTH(TODAY()),1),A$2:A$463,"&lt;"&amp;DATE(YEAR(TODAY()),MONTH(TODAY())+1,1),B$2:B$463,$B$501),"")</f>
        <v/>
      </c>
      <c r="F501" s="11">
        <f>IFERROR(SUMPRODUCT((YEAR(A$2:A$463)=YEAR(TODAY()))*(MONTH(A$2:A$463)=MONTH(TODAY()))*(B$2:B$463=$B$501)*(F$2:F$463),"")</f>
        <v/>
      </c>
    </row>
    <row r="502">
      <c r="B502" s="2" t="inlineStr">
        <is>
          <t>废旧磷酸铁锂动力正极片</t>
        </is>
      </c>
      <c r="C502" s="10">
        <f>IFERROR(AVERAGEIFS(C$2:C$463,A$2:A$463,"&gt;="&amp;DATE(YEAR(TODAY()),MONTH(TODAY()),1),A$2:A$463,"&lt;"&amp;DATE(YEAR(TODAY()),MONTH(TODAY())+1,1),B$2:B$463,$B$502),"")</f>
        <v/>
      </c>
      <c r="D502" s="10">
        <f>IFERROR(AVERAGEIFS(D$2:D$463,A$2:A$463,"&gt;="&amp;DATE(YEAR(TODAY()),MONTH(TODAY()),1),A$2:A$463,"&lt;"&amp;DATE(YEAR(TODAY()),MONTH(TODAY())+1,1),B$2:B$463,$B$502),"")</f>
        <v/>
      </c>
      <c r="E502" s="10">
        <f>IFERROR(AVERAGEIFS(E$2:E$463,A$2:A$463,"&gt;="&amp;DATE(YEAR(TODAY()),MONTH(TODAY()),1),A$2:A$463,"&lt;"&amp;DATE(YEAR(TODAY()),MONTH(TODAY())+1,1),B$2:B$463,$B$502),"")</f>
        <v/>
      </c>
      <c r="F502" s="11">
        <f>IFERROR(SUMPRODUCT((YEAR(A$2:A$463)=YEAR(TODAY()))*(MONTH(A$2:A$463)=MONTH(TODAY()))*(B$2:B$463=$B$502)*(F$2:F$463),"")</f>
        <v/>
      </c>
    </row>
    <row r="503">
      <c r="B503" s="2" t="inlineStr">
        <is>
          <t>废旧磷酸铁锂软包电池</t>
        </is>
      </c>
      <c r="C503" s="10">
        <f>IFERROR(AVERAGEIFS(C$2:C$463,A$2:A$463,"&gt;="&amp;DATE(YEAR(TODAY()),MONTH(TODAY()),1),A$2:A$463,"&lt;"&amp;DATE(YEAR(TODAY()),MONTH(TODAY())+1,1),B$2:B$463,$B$503),"")</f>
        <v/>
      </c>
      <c r="D503" s="10">
        <f>IFERROR(AVERAGEIFS(D$2:D$463,A$2:A$463,"&gt;="&amp;DATE(YEAR(TODAY()),MONTH(TODAY()),1),A$2:A$463,"&lt;"&amp;DATE(YEAR(TODAY()),MONTH(TODAY())+1,1),B$2:B$463,$B$503),"")</f>
        <v/>
      </c>
      <c r="E503" s="10">
        <f>IFERROR(AVERAGEIFS(E$2:E$463,A$2:A$463,"&gt;="&amp;DATE(YEAR(TODAY()),MONTH(TODAY()),1),A$2:A$463,"&lt;"&amp;DATE(YEAR(TODAY()),MONTH(TODAY())+1,1),B$2:B$463,$B$503),"")</f>
        <v/>
      </c>
      <c r="F503" s="11">
        <f>IFERROR(SUMPRODUCT((YEAR(A$2:A$463)=YEAR(TODAY()))*(MONTH(A$2:A$463)=MONTH(TODAY()))*(B$2:B$463=$B$503)*(F$2:F$463),"")</f>
        <v/>
      </c>
    </row>
    <row r="504">
      <c r="B504" s="2" t="inlineStr">
        <is>
          <t>废旧磷酸铁锂钢壳电池</t>
        </is>
      </c>
      <c r="C504" s="10">
        <f>IFERROR(AVERAGEIFS(C$2:C$463,A$2:A$463,"&gt;="&amp;DATE(YEAR(TODAY()),MONTH(TODAY()),1),A$2:A$463,"&lt;"&amp;DATE(YEAR(TODAY()),MONTH(TODAY())+1,1),B$2:B$463,$B$504),"")</f>
        <v/>
      </c>
      <c r="D504" s="10">
        <f>IFERROR(AVERAGEIFS(D$2:D$463,A$2:A$463,"&gt;="&amp;DATE(YEAR(TODAY()),MONTH(TODAY()),1),A$2:A$463,"&lt;"&amp;DATE(YEAR(TODAY()),MONTH(TODAY())+1,1),B$2:B$463,$B$504),"")</f>
        <v/>
      </c>
      <c r="E504" s="10">
        <f>IFERROR(AVERAGEIFS(E$2:E$463,A$2:A$463,"&gt;="&amp;DATE(YEAR(TODAY()),MONTH(TODAY()),1),A$2:A$463,"&lt;"&amp;DATE(YEAR(TODAY()),MONTH(TODAY())+1,1),B$2:B$463,$B$504),"")</f>
        <v/>
      </c>
      <c r="F504" s="11">
        <f>IFERROR(SUMPRODUCT((YEAR(A$2:A$463)=YEAR(TODAY()))*(MONTH(A$2:A$463)=MONTH(TODAY()))*(B$2:B$463=$B$504)*(F$2:F$463),"")</f>
        <v/>
      </c>
    </row>
    <row r="505">
      <c r="B505" s="2" t="inlineStr">
        <is>
          <t>废旧磷酸铁锂铝壳电池</t>
        </is>
      </c>
      <c r="C505" s="10">
        <f>IFERROR(AVERAGEIFS(C$2:C$463,A$2:A$463,"&gt;="&amp;DATE(YEAR(TODAY()),MONTH(TODAY()),1),A$2:A$463,"&lt;"&amp;DATE(YEAR(TODAY()),MONTH(TODAY())+1,1),B$2:B$463,$B$505),"")</f>
        <v/>
      </c>
      <c r="D505" s="10">
        <f>IFERROR(AVERAGEIFS(D$2:D$463,A$2:A$463,"&gt;="&amp;DATE(YEAR(TODAY()),MONTH(TODAY()),1),A$2:A$463,"&lt;"&amp;DATE(YEAR(TODAY()),MONTH(TODAY())+1,1),B$2:B$463,$B$505),"")</f>
        <v/>
      </c>
      <c r="E505" s="10">
        <f>IFERROR(AVERAGEIFS(E$2:E$463,A$2:A$463,"&gt;="&amp;DATE(YEAR(TODAY()),MONTH(TODAY()),1),A$2:A$463,"&lt;"&amp;DATE(YEAR(TODAY()),MONTH(TODAY())+1,1),B$2:B$463,$B$505),"")</f>
        <v/>
      </c>
      <c r="F505" s="11">
        <f>IFERROR(SUMPRODUCT((YEAR(A$2:A$463)=YEAR(TODAY()))*(MONTH(A$2:A$463)=MONTH(TODAY()))*(B$2:B$463=$B$505)*(F$2:F$463),"")</f>
        <v/>
      </c>
    </row>
    <row r="506">
      <c r="B506" s="2" t="inlineStr">
        <is>
          <t>方形磷酸铁锂电池B品</t>
        </is>
      </c>
      <c r="C506" s="10">
        <f>IFERROR(AVERAGEIFS(C$2:C$463,A$2:A$463,"&gt;="&amp;DATE(YEAR(TODAY()),MONTH(TODAY()),1),A$2:A$463,"&lt;"&amp;DATE(YEAR(TODAY()),MONTH(TODAY())+1,1),B$2:B$463,$B$506),"")</f>
        <v/>
      </c>
      <c r="D506" s="10">
        <f>IFERROR(AVERAGEIFS(D$2:D$463,A$2:A$463,"&gt;="&amp;DATE(YEAR(TODAY()),MONTH(TODAY()),1),A$2:A$463,"&lt;"&amp;DATE(YEAR(TODAY()),MONTH(TODAY())+1,1),B$2:B$463,$B$506),"")</f>
        <v/>
      </c>
      <c r="E506" s="10">
        <f>IFERROR(AVERAGEIFS(E$2:E$463,A$2:A$463,"&gt;="&amp;DATE(YEAR(TODAY()),MONTH(TODAY()),1),A$2:A$463,"&lt;"&amp;DATE(YEAR(TODAY()),MONTH(TODAY())+1,1),B$2:B$463,$B$506),"")</f>
        <v/>
      </c>
      <c r="F506" s="11">
        <f>IFERROR(SUMPRODUCT((YEAR(A$2:A$463)=YEAR(TODAY()))*(MONTH(A$2:A$463)=MONTH(TODAY()))*(B$2:B$463=$B$506)*(F$2:F$463),"")</f>
        <v/>
      </c>
    </row>
    <row r="507">
      <c r="B507" s="2" t="inlineStr">
        <is>
          <t>氧化亚镍</t>
        </is>
      </c>
      <c r="C507" s="10">
        <f>IFERROR(AVERAGEIFS(C$2:C$463,A$2:A$463,"&gt;="&amp;DATE(YEAR(TODAY()),MONTH(TODAY()),1),A$2:A$463,"&lt;"&amp;DATE(YEAR(TODAY()),MONTH(TODAY())+1,1),B$2:B$463,$B$507),"")</f>
        <v/>
      </c>
      <c r="D507" s="10">
        <f>IFERROR(AVERAGEIFS(D$2:D$463,A$2:A$463,"&gt;="&amp;DATE(YEAR(TODAY()),MONTH(TODAY()),1),A$2:A$463,"&lt;"&amp;DATE(YEAR(TODAY()),MONTH(TODAY())+1,1),B$2:B$463,$B$507),"")</f>
        <v/>
      </c>
      <c r="E507" s="10">
        <f>IFERROR(AVERAGEIFS(E$2:E$463,A$2:A$463,"&gt;="&amp;DATE(YEAR(TODAY()),MONTH(TODAY()),1),A$2:A$463,"&lt;"&amp;DATE(YEAR(TODAY()),MONTH(TODAY())+1,1),B$2:B$463,$B$507),"")</f>
        <v/>
      </c>
      <c r="F507" s="11">
        <f>IFERROR(SUMPRODUCT((YEAR(A$2:A$463)=YEAR(TODAY()))*(MONTH(A$2:A$463)=MONTH(TODAY()))*(B$2:B$463=$B$507)*(F$2:F$463),"")</f>
        <v/>
      </c>
    </row>
    <row r="508">
      <c r="B508" s="2" t="inlineStr">
        <is>
          <t>氧化钴</t>
        </is>
      </c>
      <c r="C508" s="10">
        <f>IFERROR(AVERAGEIFS(C$2:C$463,A$2:A$463,"&gt;="&amp;DATE(YEAR(TODAY()),MONTH(TODAY()),1),A$2:A$463,"&lt;"&amp;DATE(YEAR(TODAY()),MONTH(TODAY())+1,1),B$2:B$463,$B$508),"")</f>
        <v/>
      </c>
      <c r="D508" s="10">
        <f>IFERROR(AVERAGEIFS(D$2:D$463,A$2:A$463,"&gt;="&amp;DATE(YEAR(TODAY()),MONTH(TODAY()),1),A$2:A$463,"&lt;"&amp;DATE(YEAR(TODAY()),MONTH(TODAY())+1,1),B$2:B$463,$B$508),"")</f>
        <v/>
      </c>
      <c r="E508" s="10">
        <f>IFERROR(AVERAGEIFS(E$2:E$463,A$2:A$463,"&gt;="&amp;DATE(YEAR(TODAY()),MONTH(TODAY()),1),A$2:A$463,"&lt;"&amp;DATE(YEAR(TODAY()),MONTH(TODAY())+1,1),B$2:B$463,$B$508),"")</f>
        <v/>
      </c>
      <c r="F508" s="11">
        <f>IFERROR(SUMPRODUCT((YEAR(A$2:A$463)=YEAR(TODAY()))*(MONTH(A$2:A$463)=MONTH(TODAY()))*(B$2:B$463=$B$508)*(F$2:F$463),"")</f>
        <v/>
      </c>
    </row>
    <row r="509">
      <c r="B509" s="2" t="inlineStr">
        <is>
          <t>氯化钴</t>
        </is>
      </c>
      <c r="C509" s="10">
        <f>IFERROR(AVERAGEIFS(C$2:C$463,A$2:A$463,"&gt;="&amp;DATE(YEAR(TODAY()),MONTH(TODAY()),1),A$2:A$463,"&lt;"&amp;DATE(YEAR(TODAY()),MONTH(TODAY())+1,1),B$2:B$463,$B$509),"")</f>
        <v/>
      </c>
      <c r="D509" s="10">
        <f>IFERROR(AVERAGEIFS(D$2:D$463,A$2:A$463,"&gt;="&amp;DATE(YEAR(TODAY()),MONTH(TODAY()),1),A$2:A$463,"&lt;"&amp;DATE(YEAR(TODAY()),MONTH(TODAY())+1,1),B$2:B$463,$B$509),"")</f>
        <v/>
      </c>
      <c r="E509" s="10">
        <f>IFERROR(AVERAGEIFS(E$2:E$463,A$2:A$463,"&gt;="&amp;DATE(YEAR(TODAY()),MONTH(TODAY()),1),A$2:A$463,"&lt;"&amp;DATE(YEAR(TODAY()),MONTH(TODAY())+1,1),B$2:B$463,$B$509),"")</f>
        <v/>
      </c>
      <c r="F509" s="11">
        <f>IFERROR(SUMPRODUCT((YEAR(A$2:A$463)=YEAR(TODAY()))*(MONTH(A$2:A$463)=MONTH(TODAY()))*(B$2:B$463=$B$509)*(F$2:F$463),"")</f>
        <v/>
      </c>
    </row>
    <row r="510">
      <c r="B510" s="2" t="inlineStr">
        <is>
          <t>氯化镍NiCl₂·6H₂O</t>
        </is>
      </c>
      <c r="C510" s="10">
        <f>IFERROR(AVERAGEIFS(C$2:C$463,A$2:A$463,"&gt;="&amp;DATE(YEAR(TODAY()),MONTH(TODAY()),1),A$2:A$463,"&lt;"&amp;DATE(YEAR(TODAY()),MONTH(TODAY())+1,1),B$2:B$463,$B$510),"")</f>
        <v/>
      </c>
      <c r="D510" s="10">
        <f>IFERROR(AVERAGEIFS(D$2:D$463,A$2:A$463,"&gt;="&amp;DATE(YEAR(TODAY()),MONTH(TODAY()),1),A$2:A$463,"&lt;"&amp;DATE(YEAR(TODAY()),MONTH(TODAY())+1,1),B$2:B$463,$B$510),"")</f>
        <v/>
      </c>
      <c r="E510" s="10">
        <f>IFERROR(AVERAGEIFS(E$2:E$463,A$2:A$463,"&gt;="&amp;DATE(YEAR(TODAY()),MONTH(TODAY()),1),A$2:A$463,"&lt;"&amp;DATE(YEAR(TODAY()),MONTH(TODAY())+1,1),B$2:B$463,$B$510),"")</f>
        <v/>
      </c>
      <c r="F510" s="11">
        <f>IFERROR(SUMPRODUCT((YEAR(A$2:A$463)=YEAR(TODAY()))*(MONTH(A$2:A$463)=MONTH(TODAY()))*(B$2:B$463=$B$510)*(F$2:F$463),"")</f>
        <v/>
      </c>
    </row>
    <row r="511">
      <c r="B511" s="2" t="inlineStr">
        <is>
          <t>津巴布韦锂辉石精矿（CIF中国）现货</t>
        </is>
      </c>
      <c r="C511" s="10">
        <f>IFERROR(AVERAGEIFS(C$2:C$463,A$2:A$463,"&gt;="&amp;DATE(YEAR(TODAY()),MONTH(TODAY()),1),A$2:A$463,"&lt;"&amp;DATE(YEAR(TODAY()),MONTH(TODAY())+1,1),B$2:B$463,$B$511),"")</f>
        <v/>
      </c>
      <c r="D511" s="10">
        <f>IFERROR(AVERAGEIFS(D$2:D$463,A$2:A$463,"&gt;="&amp;DATE(YEAR(TODAY()),MONTH(TODAY()),1),A$2:A$463,"&lt;"&amp;DATE(YEAR(TODAY()),MONTH(TODAY())+1,1),B$2:B$463,$B$511),"")</f>
        <v/>
      </c>
      <c r="E511" s="10">
        <f>IFERROR(AVERAGEIFS(E$2:E$463,A$2:A$463,"&gt;="&amp;DATE(YEAR(TODAY()),MONTH(TODAY()),1),A$2:A$463,"&lt;"&amp;DATE(YEAR(TODAY()),MONTH(TODAY())+1,1),B$2:B$463,$B$511),"")</f>
        <v/>
      </c>
      <c r="F511" s="11">
        <f>IFERROR(SUMPRODUCT((YEAR(A$2:A$463)=YEAR(TODAY()))*(MONTH(A$2:A$463)=MONTH(TODAY()))*(B$2:B$463=$B$511)*(F$2:F$463),"")</f>
        <v/>
      </c>
    </row>
    <row r="512">
      <c r="B512" s="2" t="inlineStr">
        <is>
          <t>澳大利亚锂辉石精矿（CIF中国）现货</t>
        </is>
      </c>
      <c r="C512" s="10">
        <f>IFERROR(AVERAGEIFS(C$2:C$463,A$2:A$463,"&gt;="&amp;DATE(YEAR(TODAY()),MONTH(TODAY()),1),A$2:A$463,"&lt;"&amp;DATE(YEAR(TODAY()),MONTH(TODAY())+1,1),B$2:B$463,$B$512),"")</f>
        <v/>
      </c>
      <c r="D512" s="10">
        <f>IFERROR(AVERAGEIFS(D$2:D$463,A$2:A$463,"&gt;="&amp;DATE(YEAR(TODAY()),MONTH(TODAY()),1),A$2:A$463,"&lt;"&amp;DATE(YEAR(TODAY()),MONTH(TODAY())+1,1),B$2:B$463,$B$512),"")</f>
        <v/>
      </c>
      <c r="E512" s="10">
        <f>IFERROR(AVERAGEIFS(E$2:E$463,A$2:A$463,"&gt;="&amp;DATE(YEAR(TODAY()),MONTH(TODAY()),1),A$2:A$463,"&lt;"&amp;DATE(YEAR(TODAY()),MONTH(TODAY())+1,1),B$2:B$463,$B$512),"")</f>
        <v/>
      </c>
      <c r="F512" s="11">
        <f>IFERROR(SUMPRODUCT((YEAR(A$2:A$463)=YEAR(TODAY()))*(MONTH(A$2:A$463)=MONTH(TODAY()))*(B$2:B$463=$B$512)*(F$2:F$463),"")</f>
        <v/>
      </c>
    </row>
    <row r="513">
      <c r="B513" s="2" t="inlineStr">
        <is>
          <t>电池级无水氯化锂</t>
        </is>
      </c>
      <c r="C513" s="10">
        <f>IFERROR(AVERAGEIFS(C$2:C$463,A$2:A$463,"&gt;="&amp;DATE(YEAR(TODAY()),MONTH(TODAY()),1),A$2:A$463,"&lt;"&amp;DATE(YEAR(TODAY()),MONTH(TODAY())+1,1),B$2:B$463,$B$513),"")</f>
        <v/>
      </c>
      <c r="D513" s="10">
        <f>IFERROR(AVERAGEIFS(D$2:D$463,A$2:A$463,"&gt;="&amp;DATE(YEAR(TODAY()),MONTH(TODAY()),1),A$2:A$463,"&lt;"&amp;DATE(YEAR(TODAY()),MONTH(TODAY())+1,1),B$2:B$463,$B$513),"")</f>
        <v/>
      </c>
      <c r="E513" s="10">
        <f>IFERROR(AVERAGEIFS(E$2:E$463,A$2:A$463,"&gt;="&amp;DATE(YEAR(TODAY()),MONTH(TODAY()),1),A$2:A$463,"&lt;"&amp;DATE(YEAR(TODAY()),MONTH(TODAY())+1,1),B$2:B$463,$B$513),"")</f>
        <v/>
      </c>
      <c r="F513" s="11">
        <f>IFERROR(SUMPRODUCT((YEAR(A$2:A$463)=YEAR(TODAY()))*(MONTH(A$2:A$463)=MONTH(TODAY()))*(B$2:B$463=$B$513)*(F$2:F$463),"")</f>
        <v/>
      </c>
    </row>
    <row r="514">
      <c r="B514" s="2" t="inlineStr">
        <is>
          <t>电池级氟化锂</t>
        </is>
      </c>
      <c r="C514" s="10">
        <f>IFERROR(AVERAGEIFS(C$2:C$463,A$2:A$463,"&gt;="&amp;DATE(YEAR(TODAY()),MONTH(TODAY()),1),A$2:A$463,"&lt;"&amp;DATE(YEAR(TODAY()),MONTH(TODAY())+1,1),B$2:B$463,$B$514),"")</f>
        <v/>
      </c>
      <c r="D514" s="10">
        <f>IFERROR(AVERAGEIFS(D$2:D$463,A$2:A$463,"&gt;="&amp;DATE(YEAR(TODAY()),MONTH(TODAY()),1),A$2:A$463,"&lt;"&amp;DATE(YEAR(TODAY()),MONTH(TODAY())+1,1),B$2:B$463,$B$514),"")</f>
        <v/>
      </c>
      <c r="E514" s="10">
        <f>IFERROR(AVERAGEIFS(E$2:E$463,A$2:A$463,"&gt;="&amp;DATE(YEAR(TODAY()),MONTH(TODAY()),1),A$2:A$463,"&lt;"&amp;DATE(YEAR(TODAY()),MONTH(TODAY())+1,1),B$2:B$463,$B$514),"")</f>
        <v/>
      </c>
      <c r="F514" s="11">
        <f>IFERROR(SUMPRODUCT((YEAR(A$2:A$463)=YEAR(TODAY()))*(MONTH(A$2:A$463)=MONTH(TODAY()))*(B$2:B$463=$B$514)*(F$2:F$463),"")</f>
        <v/>
      </c>
    </row>
    <row r="515">
      <c r="B515" s="2" t="inlineStr">
        <is>
          <t>电池级氢氧化锂(CIF中日韩)</t>
        </is>
      </c>
      <c r="C515" s="10">
        <f>IFERROR(AVERAGEIFS(C$2:C$463,A$2:A$463,"&gt;="&amp;DATE(YEAR(TODAY()),MONTH(TODAY()),1),A$2:A$463,"&lt;"&amp;DATE(YEAR(TODAY()),MONTH(TODAY())+1,1),B$2:B$463,$B$515),"")</f>
        <v/>
      </c>
      <c r="D515" s="10">
        <f>IFERROR(AVERAGEIFS(D$2:D$463,A$2:A$463,"&gt;="&amp;DATE(YEAR(TODAY()),MONTH(TODAY()),1),A$2:A$463,"&lt;"&amp;DATE(YEAR(TODAY()),MONTH(TODAY())+1,1),B$2:B$463,$B$515),"")</f>
        <v/>
      </c>
      <c r="E515" s="10">
        <f>IFERROR(AVERAGEIFS(E$2:E$463,A$2:A$463,"&gt;="&amp;DATE(YEAR(TODAY()),MONTH(TODAY()),1),A$2:A$463,"&lt;"&amp;DATE(YEAR(TODAY()),MONTH(TODAY())+1,1),B$2:B$463,$B$515),"")</f>
        <v/>
      </c>
      <c r="F515" s="11">
        <f>IFERROR(SUMPRODUCT((YEAR(A$2:A$463)=YEAR(TODAY()))*(MONTH(A$2:A$463)=MONTH(TODAY()))*(B$2:B$463=$B$515)*(F$2:F$463),"")</f>
        <v/>
      </c>
    </row>
    <row r="516">
      <c r="B516" s="2" t="inlineStr">
        <is>
          <t>电池级氢氧化锂(CIF韩国)</t>
        </is>
      </c>
      <c r="C516" s="10">
        <f>IFERROR(AVERAGEIFS(C$2:C$463,A$2:A$463,"&gt;="&amp;DATE(YEAR(TODAY()),MONTH(TODAY()),1),A$2:A$463,"&lt;"&amp;DATE(YEAR(TODAY()),MONTH(TODAY())+1,1),B$2:B$463,$B$516),"")</f>
        <v/>
      </c>
      <c r="D516" s="10">
        <f>IFERROR(AVERAGEIFS(D$2:D$463,A$2:A$463,"&gt;="&amp;DATE(YEAR(TODAY()),MONTH(TODAY()),1),A$2:A$463,"&lt;"&amp;DATE(YEAR(TODAY()),MONTH(TODAY())+1,1),B$2:B$463,$B$516),"")</f>
        <v/>
      </c>
      <c r="E516" s="10">
        <f>IFERROR(AVERAGEIFS(E$2:E$463,A$2:A$463,"&gt;="&amp;DATE(YEAR(TODAY()),MONTH(TODAY()),1),A$2:A$463,"&lt;"&amp;DATE(YEAR(TODAY()),MONTH(TODAY())+1,1),B$2:B$463,$B$516),"")</f>
        <v/>
      </c>
      <c r="F516" s="11">
        <f>IFERROR(SUMPRODUCT((YEAR(A$2:A$463)=YEAR(TODAY()))*(MONTH(A$2:A$463)=MONTH(TODAY()))*(B$2:B$463=$B$516)*(F$2:F$463),"")</f>
        <v/>
      </c>
    </row>
    <row r="517">
      <c r="B517" s="2" t="inlineStr">
        <is>
          <t>电池级氢氧化锂(微粉）</t>
        </is>
      </c>
      <c r="C517" s="10">
        <f>IFERROR(AVERAGEIFS(C$2:C$463,A$2:A$463,"&gt;="&amp;DATE(YEAR(TODAY()),MONTH(TODAY()),1),A$2:A$463,"&lt;"&amp;DATE(YEAR(TODAY()),MONTH(TODAY())+1,1),B$2:B$463,$B$517),"")</f>
        <v/>
      </c>
      <c r="D517" s="10">
        <f>IFERROR(AVERAGEIFS(D$2:D$463,A$2:A$463,"&gt;="&amp;DATE(YEAR(TODAY()),MONTH(TODAY()),1),A$2:A$463,"&lt;"&amp;DATE(YEAR(TODAY()),MONTH(TODAY())+1,1),B$2:B$463,$B$517),"")</f>
        <v/>
      </c>
      <c r="E517" s="10">
        <f>IFERROR(AVERAGEIFS(E$2:E$463,A$2:A$463,"&gt;="&amp;DATE(YEAR(TODAY()),MONTH(TODAY()),1),A$2:A$463,"&lt;"&amp;DATE(YEAR(TODAY()),MONTH(TODAY())+1,1),B$2:B$463,$B$517),"")</f>
        <v/>
      </c>
      <c r="F517" s="11">
        <f>IFERROR(SUMPRODUCT((YEAR(A$2:A$463)=YEAR(TODAY()))*(MONTH(A$2:A$463)=MONTH(TODAY()))*(B$2:B$463=$B$517)*(F$2:F$463),"")</f>
        <v/>
      </c>
    </row>
    <row r="518">
      <c r="B518" s="2" t="inlineStr">
        <is>
          <t>电池级氢氧化锂（粗颗粒）</t>
        </is>
      </c>
      <c r="C518" s="10">
        <f>IFERROR(AVERAGEIFS(C$2:C$463,A$2:A$463,"&gt;="&amp;DATE(YEAR(TODAY()),MONTH(TODAY()),1),A$2:A$463,"&lt;"&amp;DATE(YEAR(TODAY()),MONTH(TODAY())+1,1),B$2:B$463,$B$518),"")</f>
        <v/>
      </c>
      <c r="D518" s="10">
        <f>IFERROR(AVERAGEIFS(D$2:D$463,A$2:A$463,"&gt;="&amp;DATE(YEAR(TODAY()),MONTH(TODAY()),1),A$2:A$463,"&lt;"&amp;DATE(YEAR(TODAY()),MONTH(TODAY())+1,1),B$2:B$463,$B$518),"")</f>
        <v/>
      </c>
      <c r="E518" s="10">
        <f>IFERROR(AVERAGEIFS(E$2:E$463,A$2:A$463,"&gt;="&amp;DATE(YEAR(TODAY()),MONTH(TODAY()),1),A$2:A$463,"&lt;"&amp;DATE(YEAR(TODAY()),MONTH(TODAY())+1,1),B$2:B$463,$B$518),"")</f>
        <v/>
      </c>
      <c r="F518" s="11">
        <f>IFERROR(SUMPRODUCT((YEAR(A$2:A$463)=YEAR(TODAY()))*(MONTH(A$2:A$463)=MONTH(TODAY()))*(B$2:B$463=$B$518)*(F$2:F$463),"")</f>
        <v/>
      </c>
    </row>
    <row r="519">
      <c r="B519" s="2" t="inlineStr">
        <is>
          <t>电池级硫酸锰（出厂价）</t>
        </is>
      </c>
      <c r="C519" s="10">
        <f>IFERROR(AVERAGEIFS(C$2:C$463,A$2:A$463,"&gt;="&amp;DATE(YEAR(TODAY()),MONTH(TODAY()),1),A$2:A$463,"&lt;"&amp;DATE(YEAR(TODAY()),MONTH(TODAY())+1,1),B$2:B$463,$B$519),"")</f>
        <v/>
      </c>
      <c r="D519" s="10">
        <f>IFERROR(AVERAGEIFS(D$2:D$463,A$2:A$463,"&gt;="&amp;DATE(YEAR(TODAY()),MONTH(TODAY()),1),A$2:A$463,"&lt;"&amp;DATE(YEAR(TODAY()),MONTH(TODAY())+1,1),B$2:B$463,$B$519),"")</f>
        <v/>
      </c>
      <c r="E519" s="10">
        <f>IFERROR(AVERAGEIFS(E$2:E$463,A$2:A$463,"&gt;="&amp;DATE(YEAR(TODAY()),MONTH(TODAY()),1),A$2:A$463,"&lt;"&amp;DATE(YEAR(TODAY()),MONTH(TODAY())+1,1),B$2:B$463,$B$519),"")</f>
        <v/>
      </c>
      <c r="F519" s="11">
        <f>IFERROR(SUMPRODUCT((YEAR(A$2:A$463)=YEAR(TODAY()))*(MONTH(A$2:A$463)=MONTH(TODAY()))*(B$2:B$463=$B$519)*(F$2:F$463),"")</f>
        <v/>
      </c>
    </row>
    <row r="520">
      <c r="B520" s="2" t="inlineStr">
        <is>
          <t>电池级硫酸镍</t>
        </is>
      </c>
      <c r="C520" s="10">
        <f>IFERROR(AVERAGEIFS(C$2:C$463,A$2:A$463,"&gt;="&amp;DATE(YEAR(TODAY()),MONTH(TODAY()),1),A$2:A$463,"&lt;"&amp;DATE(YEAR(TODAY()),MONTH(TODAY())+1,1),B$2:B$463,$B$520),"")</f>
        <v/>
      </c>
      <c r="D520" s="10">
        <f>IFERROR(AVERAGEIFS(D$2:D$463,A$2:A$463,"&gt;="&amp;DATE(YEAR(TODAY()),MONTH(TODAY()),1),A$2:A$463,"&lt;"&amp;DATE(YEAR(TODAY()),MONTH(TODAY())+1,1),B$2:B$463,$B$520),"")</f>
        <v/>
      </c>
      <c r="E520" s="10">
        <f>IFERROR(AVERAGEIFS(E$2:E$463,A$2:A$463,"&gt;="&amp;DATE(YEAR(TODAY()),MONTH(TODAY()),1),A$2:A$463,"&lt;"&amp;DATE(YEAR(TODAY()),MONTH(TODAY())+1,1),B$2:B$463,$B$520),"")</f>
        <v/>
      </c>
      <c r="F520" s="11">
        <f>IFERROR(SUMPRODUCT((YEAR(A$2:A$463)=YEAR(TODAY()))*(MONTH(A$2:A$463)=MONTH(TODAY()))*(B$2:B$463=$B$520)*(F$2:F$463),"")</f>
        <v/>
      </c>
    </row>
    <row r="521">
      <c r="B521" s="2" t="inlineStr">
        <is>
          <t>电池级碳酸锂</t>
        </is>
      </c>
      <c r="C521" s="10">
        <f>IFERROR(AVERAGEIFS(C$2:C$463,A$2:A$463,"&gt;="&amp;DATE(YEAR(TODAY()),MONTH(TODAY()),1),A$2:A$463,"&lt;"&amp;DATE(YEAR(TODAY()),MONTH(TODAY())+1,1),B$2:B$463,$B$521),"")</f>
        <v/>
      </c>
      <c r="D521" s="10">
        <f>IFERROR(AVERAGEIFS(D$2:D$463,A$2:A$463,"&gt;="&amp;DATE(YEAR(TODAY()),MONTH(TODAY()),1),A$2:A$463,"&lt;"&amp;DATE(YEAR(TODAY()),MONTH(TODAY())+1,1),B$2:B$463,$B$521),"")</f>
        <v/>
      </c>
      <c r="E521" s="10">
        <f>IFERROR(AVERAGEIFS(E$2:E$463,A$2:A$463,"&gt;="&amp;DATE(YEAR(TODAY()),MONTH(TODAY()),1),A$2:A$463,"&lt;"&amp;DATE(YEAR(TODAY()),MONTH(TODAY())+1,1),B$2:B$463,$B$521),"")</f>
        <v/>
      </c>
      <c r="F521" s="11">
        <f>IFERROR(SUMPRODUCT((YEAR(A$2:A$463)=YEAR(TODAY()))*(MONTH(A$2:A$463)=MONTH(TODAY()))*(B$2:B$463=$B$521)*(F$2:F$463),"")</f>
        <v/>
      </c>
    </row>
    <row r="522">
      <c r="B522" s="2" t="inlineStr">
        <is>
          <t>电池级碳酸锂(CIF韩国)</t>
        </is>
      </c>
      <c r="C522" s="10">
        <f>IFERROR(AVERAGEIFS(C$2:C$463,A$2:A$463,"&gt;="&amp;DATE(YEAR(TODAY()),MONTH(TODAY()),1),A$2:A$463,"&lt;"&amp;DATE(YEAR(TODAY()),MONTH(TODAY())+1,1),B$2:B$463,$B$522),"")</f>
        <v/>
      </c>
      <c r="D522" s="10">
        <f>IFERROR(AVERAGEIFS(D$2:D$463,A$2:A$463,"&gt;="&amp;DATE(YEAR(TODAY()),MONTH(TODAY()),1),A$2:A$463,"&lt;"&amp;DATE(YEAR(TODAY()),MONTH(TODAY())+1,1),B$2:B$463,$B$522),"")</f>
        <v/>
      </c>
      <c r="E522" s="10">
        <f>IFERROR(AVERAGEIFS(E$2:E$463,A$2:A$463,"&gt;="&amp;DATE(YEAR(TODAY()),MONTH(TODAY()),1),A$2:A$463,"&lt;"&amp;DATE(YEAR(TODAY()),MONTH(TODAY())+1,1),B$2:B$463,$B$522),"")</f>
        <v/>
      </c>
      <c r="F522" s="11">
        <f>IFERROR(SUMPRODUCT((YEAR(A$2:A$463)=YEAR(TODAY()))*(MONTH(A$2:A$463)=MONTH(TODAY()))*(B$2:B$463=$B$522)*(F$2:F$463),"")</f>
        <v/>
      </c>
    </row>
    <row r="523">
      <c r="B523" s="2" t="inlineStr">
        <is>
          <t>电池级碳酸锂（CIF中日韩）</t>
        </is>
      </c>
      <c r="C523" s="10">
        <f>IFERROR(AVERAGEIFS(C$2:C$463,A$2:A$463,"&gt;="&amp;DATE(YEAR(TODAY()),MONTH(TODAY()),1),A$2:A$463,"&lt;"&amp;DATE(YEAR(TODAY()),MONTH(TODAY())+1,1),B$2:B$463,$B$523),"")</f>
        <v/>
      </c>
      <c r="D523" s="10">
        <f>IFERROR(AVERAGEIFS(D$2:D$463,A$2:A$463,"&gt;="&amp;DATE(YEAR(TODAY()),MONTH(TODAY()),1),A$2:A$463,"&lt;"&amp;DATE(YEAR(TODAY()),MONTH(TODAY())+1,1),B$2:B$463,$B$523),"")</f>
        <v/>
      </c>
      <c r="E523" s="10">
        <f>IFERROR(AVERAGEIFS(E$2:E$463,A$2:A$463,"&gt;="&amp;DATE(YEAR(TODAY()),MONTH(TODAY()),1),A$2:A$463,"&lt;"&amp;DATE(YEAR(TODAY()),MONTH(TODAY())+1,1),B$2:B$463,$B$523),"")</f>
        <v/>
      </c>
      <c r="F523" s="11">
        <f>IFERROR(SUMPRODUCT((YEAR(A$2:A$463)=YEAR(TODAY()))*(MONTH(A$2:A$463)=MONTH(TODAY()))*(B$2:B$463=$B$523)*(F$2:F$463),"")</f>
        <v/>
      </c>
    </row>
    <row r="524">
      <c r="B524" s="2" t="inlineStr">
        <is>
          <t>电池级金属锂</t>
        </is>
      </c>
      <c r="C524" s="10">
        <f>IFERROR(AVERAGEIFS(C$2:C$463,A$2:A$463,"&gt;="&amp;DATE(YEAR(TODAY()),MONTH(TODAY()),1),A$2:A$463,"&lt;"&amp;DATE(YEAR(TODAY()),MONTH(TODAY())+1,1),B$2:B$463,$B$524),"")</f>
        <v/>
      </c>
      <c r="D524" s="10">
        <f>IFERROR(AVERAGEIFS(D$2:D$463,A$2:A$463,"&gt;="&amp;DATE(YEAR(TODAY()),MONTH(TODAY()),1),A$2:A$463,"&lt;"&amp;DATE(YEAR(TODAY()),MONTH(TODAY())+1,1),B$2:B$463,$B$524),"")</f>
        <v/>
      </c>
      <c r="E524" s="10">
        <f>IFERROR(AVERAGEIFS(E$2:E$463,A$2:A$463,"&gt;="&amp;DATE(YEAR(TODAY()),MONTH(TODAY()),1),A$2:A$463,"&lt;"&amp;DATE(YEAR(TODAY()),MONTH(TODAY())+1,1),B$2:B$463,$B$524),"")</f>
        <v/>
      </c>
      <c r="F524" s="11">
        <f>IFERROR(SUMPRODUCT((YEAR(A$2:A$463)=YEAR(TODAY()))*(MONTH(A$2:A$463)=MONTH(TODAY()))*(B$2:B$463=$B$524)*(F$2:F$463),"")</f>
        <v/>
      </c>
    </row>
    <row r="525">
      <c r="B525" s="2" t="inlineStr">
        <is>
          <t>电解钴</t>
        </is>
      </c>
      <c r="C525" s="10">
        <f>IFERROR(AVERAGEIFS(C$2:C$463,A$2:A$463,"&gt;="&amp;DATE(YEAR(TODAY()),MONTH(TODAY()),1),A$2:A$463,"&lt;"&amp;DATE(YEAR(TODAY()),MONTH(TODAY())+1,1),B$2:B$463,$B$525),"")</f>
        <v/>
      </c>
      <c r="D525" s="10">
        <f>IFERROR(AVERAGEIFS(D$2:D$463,A$2:A$463,"&gt;="&amp;DATE(YEAR(TODAY()),MONTH(TODAY()),1),A$2:A$463,"&lt;"&amp;DATE(YEAR(TODAY()),MONTH(TODAY())+1,1),B$2:B$463,$B$525),"")</f>
        <v/>
      </c>
      <c r="E525" s="10">
        <f>IFERROR(AVERAGEIFS(E$2:E$463,A$2:A$463,"&gt;="&amp;DATE(YEAR(TODAY()),MONTH(TODAY()),1),A$2:A$463,"&lt;"&amp;DATE(YEAR(TODAY()),MONTH(TODAY())+1,1),B$2:B$463,$B$525),"")</f>
        <v/>
      </c>
      <c r="F525" s="11">
        <f>IFERROR(SUMPRODUCT((YEAR(A$2:A$463)=YEAR(TODAY()))*(MONTH(A$2:A$463)=MONTH(TODAY()))*(B$2:B$463=$B$525)*(F$2:F$463),"")</f>
        <v/>
      </c>
    </row>
    <row r="526">
      <c r="B526" s="2" t="inlineStr">
        <is>
          <t>电解钴（鹿特丹仓库）</t>
        </is>
      </c>
      <c r="C526" s="10">
        <f>IFERROR(AVERAGEIFS(C$2:C$463,A$2:A$463,"&gt;="&amp;DATE(YEAR(TODAY()),MONTH(TODAY()),1),A$2:A$463,"&lt;"&amp;DATE(YEAR(TODAY()),MONTH(TODAY())+1,1),B$2:B$463,$B$526),"")</f>
        <v/>
      </c>
      <c r="D526" s="10">
        <f>IFERROR(AVERAGEIFS(D$2:D$463,A$2:A$463,"&gt;="&amp;DATE(YEAR(TODAY()),MONTH(TODAY()),1),A$2:A$463,"&lt;"&amp;DATE(YEAR(TODAY()),MONTH(TODAY())+1,1),B$2:B$463,$B$526),"")</f>
        <v/>
      </c>
      <c r="E526" s="10">
        <f>IFERROR(AVERAGEIFS(E$2:E$463,A$2:A$463,"&gt;="&amp;DATE(YEAR(TODAY()),MONTH(TODAY()),1),A$2:A$463,"&lt;"&amp;DATE(YEAR(TODAY()),MONTH(TODAY())+1,1),B$2:B$463,$B$526),"")</f>
        <v/>
      </c>
      <c r="F526" s="11">
        <f>IFERROR(SUMPRODUCT((YEAR(A$2:A$463)=YEAR(TODAY()))*(MONTH(A$2:A$463)=MONTH(TODAY()))*(B$2:B$463=$B$526)*(F$2:F$463),"")</f>
        <v/>
      </c>
    </row>
    <row r="527">
      <c r="B527" s="2" t="inlineStr">
        <is>
          <t>电镀级硫酸镍</t>
        </is>
      </c>
      <c r="C527" s="10">
        <f>IFERROR(AVERAGEIFS(C$2:C$463,A$2:A$463,"&gt;="&amp;DATE(YEAR(TODAY()),MONTH(TODAY()),1),A$2:A$463,"&lt;"&amp;DATE(YEAR(TODAY()),MONTH(TODAY())+1,1),B$2:B$463,$B$527),"")</f>
        <v/>
      </c>
      <c r="D527" s="10">
        <f>IFERROR(AVERAGEIFS(D$2:D$463,A$2:A$463,"&gt;="&amp;DATE(YEAR(TODAY()),MONTH(TODAY()),1),A$2:A$463,"&lt;"&amp;DATE(YEAR(TODAY()),MONTH(TODAY())+1,1),B$2:B$463,$B$527),"")</f>
        <v/>
      </c>
      <c r="E527" s="10">
        <f>IFERROR(AVERAGEIFS(E$2:E$463,A$2:A$463,"&gt;="&amp;DATE(YEAR(TODAY()),MONTH(TODAY()),1),A$2:A$463,"&lt;"&amp;DATE(YEAR(TODAY()),MONTH(TODAY())+1,1),B$2:B$463,$B$527),"")</f>
        <v/>
      </c>
      <c r="F527" s="11">
        <f>IFERROR(SUMPRODUCT((YEAR(A$2:A$463)=YEAR(TODAY()))*(MONTH(A$2:A$463)=MONTH(TODAY()))*(B$2:B$463=$B$527)*(F$2:F$463),"")</f>
        <v/>
      </c>
    </row>
    <row r="528">
      <c r="B528" s="2" t="inlineStr">
        <is>
          <t>硫酸钴</t>
        </is>
      </c>
      <c r="C528" s="10">
        <f>IFERROR(AVERAGEIFS(C$2:C$463,A$2:A$463,"&gt;="&amp;DATE(YEAR(TODAY()),MONTH(TODAY()),1),A$2:A$463,"&lt;"&amp;DATE(YEAR(TODAY()),MONTH(TODAY())+1,1),B$2:B$463,$B$528),"")</f>
        <v/>
      </c>
      <c r="D528" s="10">
        <f>IFERROR(AVERAGEIFS(D$2:D$463,A$2:A$463,"&gt;="&amp;DATE(YEAR(TODAY()),MONTH(TODAY()),1),A$2:A$463,"&lt;"&amp;DATE(YEAR(TODAY()),MONTH(TODAY())+1,1),B$2:B$463,$B$528),"")</f>
        <v/>
      </c>
      <c r="E528" s="10">
        <f>IFERROR(AVERAGEIFS(E$2:E$463,A$2:A$463,"&gt;="&amp;DATE(YEAR(TODAY()),MONTH(TODAY()),1),A$2:A$463,"&lt;"&amp;DATE(YEAR(TODAY()),MONTH(TODAY())+1,1),B$2:B$463,$B$528),"")</f>
        <v/>
      </c>
      <c r="F528" s="11">
        <f>IFERROR(SUMPRODUCT((YEAR(A$2:A$463)=YEAR(TODAY()))*(MONTH(A$2:A$463)=MONTH(TODAY()))*(B$2:B$463=$B$528)*(F$2:F$463),"")</f>
        <v/>
      </c>
    </row>
    <row r="529">
      <c r="B529" s="2" t="inlineStr">
        <is>
          <t>碳酸钴</t>
        </is>
      </c>
      <c r="C529" s="10">
        <f>IFERROR(AVERAGEIFS(C$2:C$463,A$2:A$463,"&gt;="&amp;DATE(YEAR(TODAY()),MONTH(TODAY()),1),A$2:A$463,"&lt;"&amp;DATE(YEAR(TODAY()),MONTH(TODAY())+1,1),B$2:B$463,$B$529),"")</f>
        <v/>
      </c>
      <c r="D529" s="10">
        <f>IFERROR(AVERAGEIFS(D$2:D$463,A$2:A$463,"&gt;="&amp;DATE(YEAR(TODAY()),MONTH(TODAY()),1),A$2:A$463,"&lt;"&amp;DATE(YEAR(TODAY()),MONTH(TODAY())+1,1),B$2:B$463,$B$529),"")</f>
        <v/>
      </c>
      <c r="E529" s="10">
        <f>IFERROR(AVERAGEIFS(E$2:E$463,A$2:A$463,"&gt;="&amp;DATE(YEAR(TODAY()),MONTH(TODAY()),1),A$2:A$463,"&lt;"&amp;DATE(YEAR(TODAY()),MONTH(TODAY())+1,1),B$2:B$463,$B$529),"")</f>
        <v/>
      </c>
      <c r="F529" s="11">
        <f>IFERROR(SUMPRODUCT((YEAR(A$2:A$463)=YEAR(TODAY()))*(MONTH(A$2:A$463)=MONTH(TODAY()))*(B$2:B$463=$B$529)*(F$2:F$463),"")</f>
        <v/>
      </c>
    </row>
    <row r="530">
      <c r="B530" s="2" t="inlineStr">
        <is>
          <t>磷酸铁锂</t>
        </is>
      </c>
      <c r="C530" s="10">
        <f>IFERROR(AVERAGEIFS(C$2:C$463,A$2:A$463,"&gt;="&amp;DATE(YEAR(TODAY()),MONTH(TODAY()),1),A$2:A$463,"&lt;"&amp;DATE(YEAR(TODAY()),MONTH(TODAY())+1,1),B$2:B$463,$B$530),"")</f>
        <v/>
      </c>
      <c r="D530" s="10">
        <f>IFERROR(AVERAGEIFS(D$2:D$463,A$2:A$463,"&gt;="&amp;DATE(YEAR(TODAY()),MONTH(TODAY()),1),A$2:A$463,"&lt;"&amp;DATE(YEAR(TODAY()),MONTH(TODAY())+1,1),B$2:B$463,$B$530),"")</f>
        <v/>
      </c>
      <c r="E530" s="10">
        <f>IFERROR(AVERAGEIFS(E$2:E$463,A$2:A$463,"&gt;="&amp;DATE(YEAR(TODAY()),MONTH(TODAY()),1),A$2:A$463,"&lt;"&amp;DATE(YEAR(TODAY()),MONTH(TODAY())+1,1),B$2:B$463,$B$530),"")</f>
        <v/>
      </c>
      <c r="F530" s="11">
        <f>IFERROR(SUMPRODUCT((YEAR(A$2:A$463)=YEAR(TODAY()))*(MONTH(A$2:A$463)=MONTH(TODAY()))*(B$2:B$463=$B$530)*(F$2:F$463),"")</f>
        <v/>
      </c>
    </row>
    <row r="531">
      <c r="B531" s="2" t="inlineStr">
        <is>
          <t>磷酸锰铁锂</t>
        </is>
      </c>
      <c r="C531" s="10">
        <f>IFERROR(AVERAGEIFS(C$2:C$463,A$2:A$463,"&gt;="&amp;DATE(YEAR(TODAY()),MONTH(TODAY()),1),A$2:A$463,"&lt;"&amp;DATE(YEAR(TODAY()),MONTH(TODAY())+1,1),B$2:B$463,$B$531),"")</f>
        <v/>
      </c>
      <c r="D531" s="10">
        <f>IFERROR(AVERAGEIFS(D$2:D$463,A$2:A$463,"&gt;="&amp;DATE(YEAR(TODAY()),MONTH(TODAY()),1),A$2:A$463,"&lt;"&amp;DATE(YEAR(TODAY()),MONTH(TODAY())+1,1),B$2:B$463,$B$531),"")</f>
        <v/>
      </c>
      <c r="E531" s="10">
        <f>IFERROR(AVERAGEIFS(E$2:E$463,A$2:A$463,"&gt;="&amp;DATE(YEAR(TODAY()),MONTH(TODAY()),1),A$2:A$463,"&lt;"&amp;DATE(YEAR(TODAY()),MONTH(TODAY())+1,1),B$2:B$463,$B$531),"")</f>
        <v/>
      </c>
      <c r="F531" s="11">
        <f>IFERROR(SUMPRODUCT((YEAR(A$2:A$463)=YEAR(TODAY()))*(MONTH(A$2:A$463)=MONTH(TODAY()))*(B$2:B$463=$B$531)*(F$2:F$463),"")</f>
        <v/>
      </c>
    </row>
    <row r="532">
      <c r="B532" s="2" t="inlineStr">
        <is>
          <t>金属钴FOB</t>
        </is>
      </c>
      <c r="C532" s="10">
        <f>IFERROR(AVERAGEIFS(C$2:C$463,A$2:A$463,"&gt;="&amp;DATE(YEAR(TODAY()),MONTH(TODAY()),1),A$2:A$463,"&lt;"&amp;DATE(YEAR(TODAY()),MONTH(TODAY())+1,1),B$2:B$463,$B$532),"")</f>
        <v/>
      </c>
      <c r="D532" s="10">
        <f>IFERROR(AVERAGEIFS(D$2:D$463,A$2:A$463,"&gt;="&amp;DATE(YEAR(TODAY()),MONTH(TODAY()),1),A$2:A$463,"&lt;"&amp;DATE(YEAR(TODAY()),MONTH(TODAY())+1,1),B$2:B$463,$B$532),"")</f>
        <v/>
      </c>
      <c r="E532" s="10">
        <f>IFERROR(AVERAGEIFS(E$2:E$463,A$2:A$463,"&gt;="&amp;DATE(YEAR(TODAY()),MONTH(TODAY()),1),A$2:A$463,"&lt;"&amp;DATE(YEAR(TODAY()),MONTH(TODAY())+1,1),B$2:B$463,$B$532),"")</f>
        <v/>
      </c>
      <c r="F532" s="11">
        <f>IFERROR(SUMPRODUCT((YEAR(A$2:A$463)=YEAR(TODAY()))*(MONTH(A$2:A$463)=MONTH(TODAY()))*(B$2:B$463=$B$532)*(F$2:F$463),"")</f>
        <v/>
      </c>
    </row>
    <row r="533">
      <c r="B533" s="2" t="inlineStr">
        <is>
          <t>钴中间品中钴含量≥30%</t>
        </is>
      </c>
      <c r="C533" s="10">
        <f>IFERROR(AVERAGEIFS(C$2:C$463,A$2:A$463,"&gt;="&amp;DATE(YEAR(TODAY()),MONTH(TODAY()),1),A$2:A$463,"&lt;"&amp;DATE(YEAR(TODAY()),MONTH(TODAY())+1,1),B$2:B$463,$B$533),"")</f>
        <v/>
      </c>
      <c r="D533" s="10">
        <f>IFERROR(AVERAGEIFS(D$2:D$463,A$2:A$463,"&gt;="&amp;DATE(YEAR(TODAY()),MONTH(TODAY()),1),A$2:A$463,"&lt;"&amp;DATE(YEAR(TODAY()),MONTH(TODAY())+1,1),B$2:B$463,$B$533),"")</f>
        <v/>
      </c>
      <c r="E533" s="10">
        <f>IFERROR(AVERAGEIFS(E$2:E$463,A$2:A$463,"&gt;="&amp;DATE(YEAR(TODAY()),MONTH(TODAY()),1),A$2:A$463,"&lt;"&amp;DATE(YEAR(TODAY()),MONTH(TODAY())+1,1),B$2:B$463,$B$533),"")</f>
        <v/>
      </c>
      <c r="F533" s="11">
        <f>IFERROR(SUMPRODUCT((YEAR(A$2:A$463)=YEAR(TODAY()))*(MONTH(A$2:A$463)=MONTH(TODAY()))*(B$2:B$463=$B$533)*(F$2:F$463),"")</f>
        <v/>
      </c>
    </row>
    <row r="534">
      <c r="B534" s="2" t="inlineStr">
        <is>
          <t>钴中间品原料计价系数（对SMM硫酸钴均价）</t>
        </is>
      </c>
      <c r="C534" s="10">
        <f>IFERROR(AVERAGEIFS(C$2:C$463,A$2:A$463,"&gt;="&amp;DATE(YEAR(TODAY()),MONTH(TODAY()),1),A$2:A$463,"&lt;"&amp;DATE(YEAR(TODAY()),MONTH(TODAY())+1,1),B$2:B$463,$B$534),"")</f>
        <v/>
      </c>
      <c r="D534" s="10">
        <f>IFERROR(AVERAGEIFS(D$2:D$463,A$2:A$463,"&gt;="&amp;DATE(YEAR(TODAY()),MONTH(TODAY()),1),A$2:A$463,"&lt;"&amp;DATE(YEAR(TODAY()),MONTH(TODAY())+1,1),B$2:B$463,$B$534),"")</f>
        <v/>
      </c>
      <c r="E534" s="10">
        <f>IFERROR(AVERAGEIFS(E$2:E$463,A$2:A$463,"&gt;="&amp;DATE(YEAR(TODAY()),MONTH(TODAY()),1),A$2:A$463,"&lt;"&amp;DATE(YEAR(TODAY()),MONTH(TODAY())+1,1),B$2:B$463,$B$534),"")</f>
        <v/>
      </c>
      <c r="F534" s="11">
        <f>IFERROR(SUMPRODUCT((YEAR(A$2:A$463)=YEAR(TODAY()))*(MONTH(A$2:A$463)=MONTH(TODAY()))*(B$2:B$463=$B$534)*(F$2:F$463),"")</f>
        <v/>
      </c>
    </row>
    <row r="535">
      <c r="B535" s="2" t="inlineStr">
        <is>
          <t>钴酸锂</t>
        </is>
      </c>
      <c r="C535" s="10">
        <f>IFERROR(AVERAGEIFS(C$2:C$463,A$2:A$463,"&gt;="&amp;DATE(YEAR(TODAY()),MONTH(TODAY()),1),A$2:A$463,"&lt;"&amp;DATE(YEAR(TODAY()),MONTH(TODAY())+1,1),B$2:B$463,$B$535),"")</f>
        <v/>
      </c>
      <c r="D535" s="10">
        <f>IFERROR(AVERAGEIFS(D$2:D$463,A$2:A$463,"&gt;="&amp;DATE(YEAR(TODAY()),MONTH(TODAY()),1),A$2:A$463,"&lt;"&amp;DATE(YEAR(TODAY()),MONTH(TODAY())+1,1),B$2:B$463,$B$535),"")</f>
        <v/>
      </c>
      <c r="E535" s="10">
        <f>IFERROR(AVERAGEIFS(E$2:E$463,A$2:A$463,"&gt;="&amp;DATE(YEAR(TODAY()),MONTH(TODAY()),1),A$2:A$463,"&lt;"&amp;DATE(YEAR(TODAY()),MONTH(TODAY())+1,1),B$2:B$463,$B$535),"")</f>
        <v/>
      </c>
      <c r="F535" s="11">
        <f>IFERROR(SUMPRODUCT((YEAR(A$2:A$463)=YEAR(TODAY()))*(MONTH(A$2:A$463)=MONTH(TODAY()))*(B$2:B$463=$B$535)*(F$2:F$463),"")</f>
        <v/>
      </c>
    </row>
    <row r="536">
      <c r="B536" s="2" t="inlineStr">
        <is>
          <t>钴酸锂聚合物软包</t>
        </is>
      </c>
      <c r="C536" s="10">
        <f>IFERROR(AVERAGEIFS(C$2:C$463,A$2:A$463,"&gt;="&amp;DATE(YEAR(TODAY()),MONTH(TODAY()),1),A$2:A$463,"&lt;"&amp;DATE(YEAR(TODAY()),MONTH(TODAY())+1,1),B$2:B$463,$B$536),"")</f>
        <v/>
      </c>
      <c r="D536" s="10">
        <f>IFERROR(AVERAGEIFS(D$2:D$463,A$2:A$463,"&gt;="&amp;DATE(YEAR(TODAY()),MONTH(TODAY()),1),A$2:A$463,"&lt;"&amp;DATE(YEAR(TODAY()),MONTH(TODAY())+1,1),B$2:B$463,$B$536),"")</f>
        <v/>
      </c>
      <c r="E536" s="10">
        <f>IFERROR(AVERAGEIFS(E$2:E$463,A$2:A$463,"&gt;="&amp;DATE(YEAR(TODAY()),MONTH(TODAY()),1),A$2:A$463,"&lt;"&amp;DATE(YEAR(TODAY()),MONTH(TODAY())+1,1),B$2:B$463,$B$536),"")</f>
        <v/>
      </c>
      <c r="F536" s="11">
        <f>IFERROR(SUMPRODUCT((YEAR(A$2:A$463)=YEAR(TODAY()))*(MONTH(A$2:A$463)=MONTH(TODAY()))*(B$2:B$463=$B$536)*(F$2:F$463),"")</f>
        <v/>
      </c>
    </row>
    <row r="537">
      <c r="B537" s="2" t="inlineStr">
        <is>
          <t>钴酸锂铝壳</t>
        </is>
      </c>
      <c r="C537" s="10">
        <f>IFERROR(AVERAGEIFS(C$2:C$463,A$2:A$463,"&gt;="&amp;DATE(YEAR(TODAY()),MONTH(TODAY()),1),A$2:A$463,"&lt;"&amp;DATE(YEAR(TODAY()),MONTH(TODAY())+1,1),B$2:B$463,$B$537),"")</f>
        <v/>
      </c>
      <c r="D537" s="10">
        <f>IFERROR(AVERAGEIFS(D$2:D$463,A$2:A$463,"&gt;="&amp;DATE(YEAR(TODAY()),MONTH(TODAY()),1),A$2:A$463,"&lt;"&amp;DATE(YEAR(TODAY()),MONTH(TODAY())+1,1),B$2:B$463,$B$537),"")</f>
        <v/>
      </c>
      <c r="E537" s="10">
        <f>IFERROR(AVERAGEIFS(E$2:E$463,A$2:A$463,"&gt;="&amp;DATE(YEAR(TODAY()),MONTH(TODAY()),1),A$2:A$463,"&lt;"&amp;DATE(YEAR(TODAY()),MONTH(TODAY())+1,1),B$2:B$463,$B$537),"")</f>
        <v/>
      </c>
      <c r="F537" s="11">
        <f>IFERROR(SUMPRODUCT((YEAR(A$2:A$463)=YEAR(TODAY()))*(MONTH(A$2:A$463)=MONTH(TODAY()))*(B$2:B$463=$B$537)*(F$2:F$463),"")</f>
        <v/>
      </c>
    </row>
    <row r="538">
      <c r="B538" s="2" t="inlineStr">
        <is>
          <t>锰酸锂圆柱钢壳</t>
        </is>
      </c>
      <c r="C538" s="10">
        <f>IFERROR(AVERAGEIFS(C$2:C$463,A$2:A$463,"&gt;="&amp;DATE(YEAR(TODAY()),MONTH(TODAY()),1),A$2:A$463,"&lt;"&amp;DATE(YEAR(TODAY()),MONTH(TODAY())+1,1),B$2:B$463,$B$538),"")</f>
        <v/>
      </c>
      <c r="D538" s="10">
        <f>IFERROR(AVERAGEIFS(D$2:D$463,A$2:A$463,"&gt;="&amp;DATE(YEAR(TODAY()),MONTH(TODAY()),1),A$2:A$463,"&lt;"&amp;DATE(YEAR(TODAY()),MONTH(TODAY())+1,1),B$2:B$463,$B$538),"")</f>
        <v/>
      </c>
      <c r="E538" s="10">
        <f>IFERROR(AVERAGEIFS(E$2:E$463,A$2:A$463,"&gt;="&amp;DATE(YEAR(TODAY()),MONTH(TODAY()),1),A$2:A$463,"&lt;"&amp;DATE(YEAR(TODAY()),MONTH(TODAY())+1,1),B$2:B$463,$B$538),"")</f>
        <v/>
      </c>
      <c r="F538" s="11">
        <f>IFERROR(SUMPRODUCT((YEAR(A$2:A$463)=YEAR(TODAY()))*(MONTH(A$2:A$463)=MONTH(TODAY()))*(B$2:B$463=$B$538)*(F$2:F$463),"")</f>
        <v/>
      </c>
    </row>
    <row r="539">
      <c r="B539" s="2" t="inlineStr">
        <is>
          <t>非洲硫酸锂(CIF中国)</t>
        </is>
      </c>
      <c r="C539" s="10">
        <f>IFERROR(AVERAGEIFS(C$2:C$463,A$2:A$463,"&gt;="&amp;DATE(YEAR(TODAY()),MONTH(TODAY()),1),A$2:A$463,"&lt;"&amp;DATE(YEAR(TODAY()),MONTH(TODAY())+1,1),B$2:B$463,$B$539),"")</f>
        <v/>
      </c>
      <c r="D539" s="10">
        <f>IFERROR(AVERAGEIFS(D$2:D$463,A$2:A$463,"&gt;="&amp;DATE(YEAR(TODAY()),MONTH(TODAY()),1),A$2:A$463,"&lt;"&amp;DATE(YEAR(TODAY()),MONTH(TODAY())+1,1),B$2:B$463,$B$539),"")</f>
        <v/>
      </c>
      <c r="E539" s="10">
        <f>IFERROR(AVERAGEIFS(E$2:E$463,A$2:A$463,"&gt;="&amp;DATE(YEAR(TODAY()),MONTH(TODAY()),1),A$2:A$463,"&lt;"&amp;DATE(YEAR(TODAY()),MONTH(TODAY())+1,1),B$2:B$463,$B$539),"")</f>
        <v/>
      </c>
      <c r="F539" s="11">
        <f>IFERROR(SUMPRODUCT((YEAR(A$2:A$463)=YEAR(TODAY()))*(MONTH(A$2:A$463)=MONTH(TODAY()))*(B$2:B$463=$B$539)*(F$2:F$463),"")</f>
        <v/>
      </c>
    </row>
    <row r="540">
      <c r="B540" s="2" t="inlineStr">
        <is>
          <t>非洲锂辉石精矿（CIF中国）指数</t>
        </is>
      </c>
      <c r="C540" s="10">
        <f>IFERROR(AVERAGEIFS(C$2:C$463,A$2:A$463,"&gt;="&amp;DATE(YEAR(TODAY()),MONTH(TODAY()),1),A$2:A$463,"&lt;"&amp;DATE(YEAR(TODAY()),MONTH(TODAY())+1,1),B$2:B$463,$B$540),"")</f>
        <v/>
      </c>
      <c r="D540" s="10">
        <f>IFERROR(AVERAGEIFS(D$2:D$463,A$2:A$463,"&gt;="&amp;DATE(YEAR(TODAY()),MONTH(TODAY()),1),A$2:A$463,"&lt;"&amp;DATE(YEAR(TODAY()),MONTH(TODAY())+1,1),B$2:B$463,$B$540),"")</f>
        <v/>
      </c>
      <c r="E540" s="10">
        <f>IFERROR(AVERAGEIFS(E$2:E$463,A$2:A$463,"&gt;="&amp;DATE(YEAR(TODAY()),MONTH(TODAY()),1),A$2:A$463,"&lt;"&amp;DATE(YEAR(TODAY()),MONTH(TODAY())+1,1),B$2:B$463,$B$540),"")</f>
        <v/>
      </c>
      <c r="F540" s="11">
        <f>IFERROR(SUMPRODUCT((YEAR(A$2:A$463)=YEAR(TODAY()))*(MONTH(A$2:A$463)=MONTH(TODAY()))*(B$2:B$463=$B$540)*(F$2:F$463),"")</f>
        <v/>
      </c>
    </row>
  </sheetData>
  <autoFilter ref="A1:H463"/>
  <mergeCells count="1">
    <mergeCell ref="A465:H4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0">
      <c r="A30" s="2" t="inlineStr">
        <is>
          <t>2026/06/24</t>
        </is>
      </c>
      <c r="B30" s="2" t="inlineStr">
        <is>
          <t>国内期货</t>
        </is>
      </c>
      <c r="C30" s="2" t="inlineStr">
        <is>
          <t>沪镍(NI)连续</t>
        </is>
      </c>
      <c r="D30" s="4" t="n">
        <v>130690</v>
      </c>
      <c r="E30" s="4" t="n">
        <v>134980</v>
      </c>
      <c r="F30" s="4" t="n">
        <v>130700</v>
      </c>
      <c r="G30" s="4" t="n">
        <v>130670</v>
      </c>
      <c r="H30" s="4" t="n">
        <v>-1420</v>
      </c>
      <c r="I30" s="5" t="inlineStr">
        <is>
          <t>元/吨</t>
        </is>
      </c>
      <c r="J30" s="5" t="inlineStr">
        <is>
          <t>上期所</t>
        </is>
      </c>
    </row>
    <row r="31">
      <c r="A31" s="2" t="inlineStr">
        <is>
          <t>2026/06/24</t>
        </is>
      </c>
      <c r="B31" s="2" t="inlineStr">
        <is>
          <t>国内期货</t>
        </is>
      </c>
      <c r="C31" s="2" t="inlineStr">
        <is>
          <t>碳酸锂(LC)连续</t>
        </is>
      </c>
      <c r="D31" s="4" t="n">
        <v>162740</v>
      </c>
      <c r="E31" s="4" t="n">
        <v>156580</v>
      </c>
      <c r="F31" s="4" t="n">
        <v>162740</v>
      </c>
      <c r="G31" s="4" t="n">
        <v>154600</v>
      </c>
      <c r="H31" s="4" t="n">
        <v>6740</v>
      </c>
      <c r="I31" s="5" t="inlineStr">
        <is>
          <t>元/吨</t>
        </is>
      </c>
      <c r="J31" s="5" t="inlineStr">
        <is>
          <t>广期所</t>
        </is>
      </c>
    </row>
    <row r="32">
      <c r="A32" s="2" t="inlineStr">
        <is>
          <t>2026/06/24</t>
        </is>
      </c>
      <c r="B32" s="2" t="inlineStr">
        <is>
          <t>国内期货</t>
        </is>
      </c>
      <c r="C32" s="2" t="inlineStr">
        <is>
          <t>美元/人民币(USDCNY)</t>
        </is>
      </c>
      <c r="D32" s="6" t="n">
        <v>6.8004</v>
      </c>
      <c r="E32" s="5" t="n"/>
      <c r="F32" s="6" t="n">
        <v>6.7844</v>
      </c>
      <c r="G32" s="6" t="n">
        <v>6.7757</v>
      </c>
      <c r="H32" s="5" t="n"/>
      <c r="I32" s="5" t="inlineStr">
        <is>
          <t>人民币</t>
        </is>
      </c>
      <c r="J32" s="5" t="inlineStr">
        <is>
          <t>新浪财经</t>
        </is>
      </c>
    </row>
    <row r="33">
      <c r="A33" s="2" t="inlineStr">
        <is>
          <t>2026/06/24</t>
        </is>
      </c>
      <c r="B33" s="2" t="inlineStr">
        <is>
          <t>国际期货</t>
        </is>
      </c>
      <c r="C33" s="2" t="inlineStr">
        <is>
          <t>CME氢氧化锂</t>
        </is>
      </c>
      <c r="D33" s="6" t="n">
        <v>21.1</v>
      </c>
      <c r="E33" s="5" t="n"/>
      <c r="F33" s="5" t="n"/>
      <c r="G33" s="5" t="n"/>
      <c r="H33" s="6" t="n">
        <v>1.48</v>
      </c>
      <c r="I33" s="5" t="inlineStr">
        <is>
          <t>USD</t>
        </is>
      </c>
      <c r="J33" s="5" t="inlineStr">
        <is>
          <t>Yahoo Finance</t>
        </is>
      </c>
    </row>
    <row r="34">
      <c r="A34" s="2" t="inlineStr">
        <is>
          <t>2026/06/24</t>
        </is>
      </c>
      <c r="B34" s="2" t="inlineStr">
        <is>
          <t>国际期货</t>
        </is>
      </c>
      <c r="C34" s="2" t="inlineStr">
        <is>
          <t>CME钴</t>
        </is>
      </c>
      <c r="D34" s="6" t="n">
        <v>25.1</v>
      </c>
      <c r="E34" s="5" t="n"/>
      <c r="F34" s="5" t="n"/>
      <c r="G34" s="5" t="n"/>
      <c r="H34" s="4" t="n">
        <v>0</v>
      </c>
      <c r="I34" s="5" t="inlineStr">
        <is>
          <t>USD</t>
        </is>
      </c>
      <c r="J34" s="5" t="inlineStr">
        <is>
          <t>Yahoo Finance</t>
        </is>
      </c>
    </row>
    <row r="36">
      <c r="A36" s="8" t="inlineStr">
        <is>
          <t>当月均价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>
      <c r="C37" s="2" t="inlineStr">
        <is>
          <t>CME氢氧化锂</t>
        </is>
      </c>
      <c r="D37" s="10">
        <f>IFERROR(AVERAGEIFS(D$2:D$34,A$2:A$34,"&gt;="&amp;DATE(YEAR(TODAY()),MONTH(TODAY()),1),A$2:A$34,"&lt;"&amp;DATE(YEAR(TODAY()),MONTH(TODAY())+1,1),C$2:C$34,$C$37),"")</f>
        <v/>
      </c>
      <c r="E37" s="10">
        <f>IFERROR(AVERAGEIFS(E$2:E$34,A$2:A$34,"&gt;="&amp;DATE(YEAR(TODAY()),MONTH(TODAY()),1),A$2:A$34,"&lt;"&amp;DATE(YEAR(TODAY()),MONTH(TODAY())+1,1),C$2:C$34,$C$37),"")</f>
        <v/>
      </c>
      <c r="F37" s="10">
        <f>IFERROR(AVERAGEIFS(F$2:F$34,A$2:A$34,"&gt;="&amp;DATE(YEAR(TODAY()),MONTH(TODAY()),1),A$2:A$34,"&lt;"&amp;DATE(YEAR(TODAY()),MONTH(TODAY())+1,1),C$2:C$34,$C$37),"")</f>
        <v/>
      </c>
      <c r="G37" s="10">
        <f>IFERROR(AVERAGEIFS(G$2:G$34,A$2:A$34,"&gt;="&amp;DATE(YEAR(TODAY()),MONTH(TODAY()),1),A$2:A$34,"&lt;"&amp;DATE(YEAR(TODAY()),MONTH(TODAY())+1,1),C$2:C$34,$C$37),"")</f>
        <v/>
      </c>
      <c r="H37" s="11">
        <f>IFERROR(SUMPRODUCT((YEAR(A$2:A$34)=YEAR(TODAY()))*(MONTH(A$2:A$34)=MONTH(TODAY()))*(C$2:C$34=$C$37)*(H$2:H$34),"")</f>
        <v/>
      </c>
    </row>
    <row r="38">
      <c r="C38" s="2" t="inlineStr">
        <is>
          <t>CME钴</t>
        </is>
      </c>
      <c r="D38" s="10">
        <f>IFERROR(AVERAGEIFS(D$2:D$34,A$2:A$34,"&gt;="&amp;DATE(YEAR(TODAY()),MONTH(TODAY()),1),A$2:A$34,"&lt;"&amp;DATE(YEAR(TODAY()),MONTH(TODAY())+1,1),C$2:C$34,$C$38),"")</f>
        <v/>
      </c>
      <c r="E38" s="10">
        <f>IFERROR(AVERAGEIFS(E$2:E$34,A$2:A$34,"&gt;="&amp;DATE(YEAR(TODAY()),MONTH(TODAY()),1),A$2:A$34,"&lt;"&amp;DATE(YEAR(TODAY()),MONTH(TODAY())+1,1),C$2:C$34,$C$38),"")</f>
        <v/>
      </c>
      <c r="F38" s="10">
        <f>IFERROR(AVERAGEIFS(F$2:F$34,A$2:A$34,"&gt;="&amp;DATE(YEAR(TODAY()),MONTH(TODAY()),1),A$2:A$34,"&lt;"&amp;DATE(YEAR(TODAY()),MONTH(TODAY())+1,1),C$2:C$34,$C$38),"")</f>
        <v/>
      </c>
      <c r="G38" s="10">
        <f>IFERROR(AVERAGEIFS(G$2:G$34,A$2:A$34,"&gt;="&amp;DATE(YEAR(TODAY()),MONTH(TODAY()),1),A$2:A$34,"&lt;"&amp;DATE(YEAR(TODAY()),MONTH(TODAY())+1,1),C$2:C$34,$C$38),"")</f>
        <v/>
      </c>
      <c r="H38" s="11">
        <f>IFERROR(SUMPRODUCT((YEAR(A$2:A$34)=YEAR(TODAY()))*(MONTH(A$2:A$34)=MONTH(TODAY()))*(C$2:C$34=$C$38)*(H$2:H$34),"")</f>
        <v/>
      </c>
    </row>
    <row r="39">
      <c r="C39" s="2" t="inlineStr">
        <is>
          <t>沪镍(NI)连续</t>
        </is>
      </c>
      <c r="D39" s="10">
        <f>IFERROR(AVERAGEIFS(D$2:D$34,A$2:A$34,"&gt;="&amp;DATE(YEAR(TODAY()),MONTH(TODAY()),1),A$2:A$34,"&lt;"&amp;DATE(YEAR(TODAY()),MONTH(TODAY())+1,1),C$2:C$34,$C$39),"")</f>
        <v/>
      </c>
      <c r="E39" s="10">
        <f>IFERROR(AVERAGEIFS(E$2:E$34,A$2:A$34,"&gt;="&amp;DATE(YEAR(TODAY()),MONTH(TODAY()),1),A$2:A$34,"&lt;"&amp;DATE(YEAR(TODAY()),MONTH(TODAY())+1,1),C$2:C$34,$C$39),"")</f>
        <v/>
      </c>
      <c r="F39" s="10">
        <f>IFERROR(AVERAGEIFS(F$2:F$34,A$2:A$34,"&gt;="&amp;DATE(YEAR(TODAY()),MONTH(TODAY()),1),A$2:A$34,"&lt;"&amp;DATE(YEAR(TODAY()),MONTH(TODAY())+1,1),C$2:C$34,$C$39),"")</f>
        <v/>
      </c>
      <c r="G39" s="10">
        <f>IFERROR(AVERAGEIFS(G$2:G$34,A$2:A$34,"&gt;="&amp;DATE(YEAR(TODAY()),MONTH(TODAY()),1),A$2:A$34,"&lt;"&amp;DATE(YEAR(TODAY()),MONTH(TODAY())+1,1),C$2:C$34,$C$39),"")</f>
        <v/>
      </c>
      <c r="H39" s="11">
        <f>IFERROR(SUMPRODUCT((YEAR(A$2:A$34)=YEAR(TODAY()))*(MONTH(A$2:A$34)=MONTH(TODAY()))*(C$2:C$34=$C$39)*(H$2:H$34),"")</f>
        <v/>
      </c>
    </row>
    <row r="40">
      <c r="C40" s="2" t="inlineStr">
        <is>
          <t>碳酸锂(LC)连续</t>
        </is>
      </c>
      <c r="D40" s="10">
        <f>IFERROR(AVERAGEIFS(D$2:D$34,A$2:A$34,"&gt;="&amp;DATE(YEAR(TODAY()),MONTH(TODAY()),1),A$2:A$34,"&lt;"&amp;DATE(YEAR(TODAY()),MONTH(TODAY())+1,1),C$2:C$34,$C$40),"")</f>
        <v/>
      </c>
      <c r="E40" s="10">
        <f>IFERROR(AVERAGEIFS(E$2:E$34,A$2:A$34,"&gt;="&amp;DATE(YEAR(TODAY()),MONTH(TODAY()),1),A$2:A$34,"&lt;"&amp;DATE(YEAR(TODAY()),MONTH(TODAY())+1,1),C$2:C$34,$C$40),"")</f>
        <v/>
      </c>
      <c r="F40" s="10">
        <f>IFERROR(AVERAGEIFS(F$2:F$34,A$2:A$34,"&gt;="&amp;DATE(YEAR(TODAY()),MONTH(TODAY()),1),A$2:A$34,"&lt;"&amp;DATE(YEAR(TODAY()),MONTH(TODAY())+1,1),C$2:C$34,$C$40),"")</f>
        <v/>
      </c>
      <c r="G40" s="10">
        <f>IFERROR(AVERAGEIFS(G$2:G$34,A$2:A$34,"&gt;="&amp;DATE(YEAR(TODAY()),MONTH(TODAY()),1),A$2:A$34,"&lt;"&amp;DATE(YEAR(TODAY()),MONTH(TODAY())+1,1),C$2:C$34,$C$40),"")</f>
        <v/>
      </c>
      <c r="H40" s="11">
        <f>IFERROR(SUMPRODUCT((YEAR(A$2:A$34)=YEAR(TODAY()))*(MONTH(A$2:A$34)=MONTH(TODAY()))*(C$2:C$34=$C$40)*(H$2:H$34),"")</f>
        <v/>
      </c>
    </row>
    <row r="41">
      <c r="C41" s="2" t="inlineStr">
        <is>
          <t>美元/人民币(USDCNY)</t>
        </is>
      </c>
      <c r="D41" s="10">
        <f>IFERROR(AVERAGEIFS(D$2:D$34,A$2:A$34,"&gt;="&amp;DATE(YEAR(TODAY()),MONTH(TODAY()),1),A$2:A$34,"&lt;"&amp;DATE(YEAR(TODAY()),MONTH(TODAY())+1,1),C$2:C$34,$C$41),"")</f>
        <v/>
      </c>
      <c r="E41" s="10">
        <f>IFERROR(AVERAGEIFS(E$2:E$34,A$2:A$34,"&gt;="&amp;DATE(YEAR(TODAY()),MONTH(TODAY()),1),A$2:A$34,"&lt;"&amp;DATE(YEAR(TODAY()),MONTH(TODAY())+1,1),C$2:C$34,$C$41),"")</f>
        <v/>
      </c>
      <c r="F41" s="10">
        <f>IFERROR(AVERAGEIFS(F$2:F$34,A$2:A$34,"&gt;="&amp;DATE(YEAR(TODAY()),MONTH(TODAY()),1),A$2:A$34,"&lt;"&amp;DATE(YEAR(TODAY()),MONTH(TODAY())+1,1),C$2:C$34,$C$41),"")</f>
        <v/>
      </c>
      <c r="G41" s="10">
        <f>IFERROR(AVERAGEIFS(G$2:G$34,A$2:A$34,"&gt;="&amp;DATE(YEAR(TODAY()),MONTH(TODAY()),1),A$2:A$34,"&lt;"&amp;DATE(YEAR(TODAY()),MONTH(TODAY())+1,1),C$2:C$34,$C$41),"")</f>
        <v/>
      </c>
      <c r="H41" s="11">
        <f>IFERROR(SUMPRODUCT((YEAR(A$2:A$34)=YEAR(TODAY()))*(MONTH(A$2:A$34)=MONTH(TODAY()))*(C$2:C$34=$C$41)*(H$2:H$34),"")</f>
        <v/>
      </c>
    </row>
  </sheetData>
  <autoFilter ref="A1:J34"/>
  <mergeCells count="1">
    <mergeCell ref="A36:J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2026-06-24T08:32:47Z</dcterms:created>
  <dcterms:modified xmlns:dcterms="http://purl.org/dc/terms/" xmlns:xsi="http://www.w3.org/2001/XMLSchema-instance" xsi:type="dcterms:W3CDTF">2026-06-24T08:32:47Z</dcterms:modified>
</cp:coreProperties>
</file>