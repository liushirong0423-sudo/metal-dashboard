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'现货'!$A$1:$H$313</definedName>
    <definedName name="_xlnm._FilterDatabase" localSheetId="1" hidden="1">'期货'!$A$1:$J$24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5">
      <c r="A315" s="8" t="inlineStr">
        <is>
          <t>当月均价</t>
        </is>
      </c>
      <c r="B315" s="9" t="n"/>
      <c r="C315" s="9" t="n"/>
      <c r="D315" s="9" t="n"/>
      <c r="E315" s="9" t="n"/>
      <c r="F315" s="9" t="n"/>
      <c r="G315" s="9" t="n"/>
      <c r="H315" s="9" t="n"/>
    </row>
    <row r="316">
      <c r="B316" s="2" t="inlineStr">
        <is>
          <t>5系三元前驱体</t>
        </is>
      </c>
      <c r="C316" s="10">
        <f>IFERROR(AVERAGEIFS(C$2:C$313,A$2:A$313,"&gt;="&amp;DATE(YEAR(TODAY()),MONTH(TODAY()),1),A$2:A$313,"&lt;"&amp;DATE(YEAR(TODAY()),MONTH(TODAY())+1,1),B$2:B$313,$B$316),"")</f>
        <v/>
      </c>
      <c r="D316" s="10">
        <f>IFERROR(AVERAGEIFS(D$2:D$313,A$2:A$313,"&gt;="&amp;DATE(YEAR(TODAY()),MONTH(TODAY()),1),A$2:A$313,"&lt;"&amp;DATE(YEAR(TODAY()),MONTH(TODAY())+1,1),B$2:B$313,$B$316),"")</f>
        <v/>
      </c>
      <c r="E316" s="10">
        <f>IFERROR(AVERAGEIFS(E$2:E$313,A$2:A$313,"&gt;="&amp;DATE(YEAR(TODAY()),MONTH(TODAY()),1),A$2:A$313,"&lt;"&amp;DATE(YEAR(TODAY()),MONTH(TODAY())+1,1),B$2:B$313,$B$316),"")</f>
        <v/>
      </c>
      <c r="F316" s="11">
        <f>IFERROR(SUMPRODUCT((YEAR(A$2:A$313)=YEAR(TODAY()))*(MONTH(A$2:A$313)=MONTH(TODAY()))*(B$2:B$313=$B$316)*(F$2:F$313),"")</f>
        <v/>
      </c>
    </row>
    <row r="317">
      <c r="B317" s="2" t="inlineStr">
        <is>
          <t>5系三元材料</t>
        </is>
      </c>
      <c r="C317" s="10">
        <f>IFERROR(AVERAGEIFS(C$2:C$313,A$2:A$313,"&gt;="&amp;DATE(YEAR(TODAY()),MONTH(TODAY()),1),A$2:A$313,"&lt;"&amp;DATE(YEAR(TODAY()),MONTH(TODAY())+1,1),B$2:B$313,$B$317),"")</f>
        <v/>
      </c>
      <c r="D317" s="10">
        <f>IFERROR(AVERAGEIFS(D$2:D$313,A$2:A$313,"&gt;="&amp;DATE(YEAR(TODAY()),MONTH(TODAY()),1),A$2:A$313,"&lt;"&amp;DATE(YEAR(TODAY()),MONTH(TODAY())+1,1),B$2:B$313,$B$317),"")</f>
        <v/>
      </c>
      <c r="E317" s="10">
        <f>IFERROR(AVERAGEIFS(E$2:E$313,A$2:A$313,"&gt;="&amp;DATE(YEAR(TODAY()),MONTH(TODAY()),1),A$2:A$313,"&lt;"&amp;DATE(YEAR(TODAY()),MONTH(TODAY())+1,1),B$2:B$313,$B$317),"")</f>
        <v/>
      </c>
      <c r="F317" s="11">
        <f>IFERROR(SUMPRODUCT((YEAR(A$2:A$313)=YEAR(TODAY()))*(MONTH(A$2:A$313)=MONTH(TODAY()))*(B$2:B$313=$B$317)*(F$2:F$313),"")</f>
        <v/>
      </c>
    </row>
    <row r="318">
      <c r="B318" s="2" t="inlineStr">
        <is>
          <t>6系三元前驱体（单晶/动力型）</t>
        </is>
      </c>
      <c r="C318" s="10">
        <f>IFERROR(AVERAGEIFS(C$2:C$313,A$2:A$313,"&gt;="&amp;DATE(YEAR(TODAY()),MONTH(TODAY()),1),A$2:A$313,"&lt;"&amp;DATE(YEAR(TODAY()),MONTH(TODAY())+1,1),B$2:B$313,$B$318),"")</f>
        <v/>
      </c>
      <c r="D318" s="10">
        <f>IFERROR(AVERAGEIFS(D$2:D$313,A$2:A$313,"&gt;="&amp;DATE(YEAR(TODAY()),MONTH(TODAY()),1),A$2:A$313,"&lt;"&amp;DATE(YEAR(TODAY()),MONTH(TODAY())+1,1),B$2:B$313,$B$318),"")</f>
        <v/>
      </c>
      <c r="E318" s="10">
        <f>IFERROR(AVERAGEIFS(E$2:E$313,A$2:A$313,"&gt;="&amp;DATE(YEAR(TODAY()),MONTH(TODAY()),1),A$2:A$313,"&lt;"&amp;DATE(YEAR(TODAY()),MONTH(TODAY())+1,1),B$2:B$313,$B$318),"")</f>
        <v/>
      </c>
      <c r="F318" s="11">
        <f>IFERROR(SUMPRODUCT((YEAR(A$2:A$313)=YEAR(TODAY()))*(MONTH(A$2:A$313)=MONTH(TODAY()))*(B$2:B$313=$B$318)*(F$2:F$313),"")</f>
        <v/>
      </c>
    </row>
    <row r="319">
      <c r="B319" s="2" t="inlineStr">
        <is>
          <t>6系三元材料（单晶/动力型）</t>
        </is>
      </c>
      <c r="C319" s="10">
        <f>IFERROR(AVERAGEIFS(C$2:C$313,A$2:A$313,"&gt;="&amp;DATE(YEAR(TODAY()),MONTH(TODAY()),1),A$2:A$313,"&lt;"&amp;DATE(YEAR(TODAY()),MONTH(TODAY())+1,1),B$2:B$313,$B$319),"")</f>
        <v/>
      </c>
      <c r="D319" s="10">
        <f>IFERROR(AVERAGEIFS(D$2:D$313,A$2:A$313,"&gt;="&amp;DATE(YEAR(TODAY()),MONTH(TODAY()),1),A$2:A$313,"&lt;"&amp;DATE(YEAR(TODAY()),MONTH(TODAY())+1,1),B$2:B$313,$B$319),"")</f>
        <v/>
      </c>
      <c r="E319" s="10">
        <f>IFERROR(AVERAGEIFS(E$2:E$313,A$2:A$313,"&gt;="&amp;DATE(YEAR(TODAY()),MONTH(TODAY()),1),A$2:A$313,"&lt;"&amp;DATE(YEAR(TODAY()),MONTH(TODAY())+1,1),B$2:B$313,$B$319),"")</f>
        <v/>
      </c>
      <c r="F319" s="11">
        <f>IFERROR(SUMPRODUCT((YEAR(A$2:A$313)=YEAR(TODAY()))*(MONTH(A$2:A$313)=MONTH(TODAY()))*(B$2:B$313=$B$319)*(F$2:F$313),"")</f>
        <v/>
      </c>
    </row>
    <row r="320">
      <c r="B320" s="2" t="inlineStr">
        <is>
          <t>8系三元前驱体（多晶/动力型）</t>
        </is>
      </c>
      <c r="C320" s="10">
        <f>IFERROR(AVERAGEIFS(C$2:C$313,A$2:A$313,"&gt;="&amp;DATE(YEAR(TODAY()),MONTH(TODAY()),1),A$2:A$313,"&lt;"&amp;DATE(YEAR(TODAY()),MONTH(TODAY())+1,1),B$2:B$313,$B$320),"")</f>
        <v/>
      </c>
      <c r="D320" s="10">
        <f>IFERROR(AVERAGEIFS(D$2:D$313,A$2:A$313,"&gt;="&amp;DATE(YEAR(TODAY()),MONTH(TODAY()),1),A$2:A$313,"&lt;"&amp;DATE(YEAR(TODAY()),MONTH(TODAY())+1,1),B$2:B$313,$B$320),"")</f>
        <v/>
      </c>
      <c r="E320" s="10">
        <f>IFERROR(AVERAGEIFS(E$2:E$313,A$2:A$313,"&gt;="&amp;DATE(YEAR(TODAY()),MONTH(TODAY()),1),A$2:A$313,"&lt;"&amp;DATE(YEAR(TODAY()),MONTH(TODAY())+1,1),B$2:B$313,$B$320),"")</f>
        <v/>
      </c>
      <c r="F320" s="11">
        <f>IFERROR(SUMPRODUCT((YEAR(A$2:A$313)=YEAR(TODAY()))*(MONTH(A$2:A$313)=MONTH(TODAY()))*(B$2:B$313=$B$320)*(F$2:F$313),"")</f>
        <v/>
      </c>
    </row>
    <row r="321">
      <c r="B321" s="2" t="inlineStr">
        <is>
          <t>8系三元材料</t>
        </is>
      </c>
      <c r="C321" s="10">
        <f>IFERROR(AVERAGEIFS(C$2:C$313,A$2:A$313,"&gt;="&amp;DATE(YEAR(TODAY()),MONTH(TODAY()),1),A$2:A$313,"&lt;"&amp;DATE(YEAR(TODAY()),MONTH(TODAY())+1,1),B$2:B$313,$B$321),"")</f>
        <v/>
      </c>
      <c r="D321" s="10">
        <f>IFERROR(AVERAGEIFS(D$2:D$313,A$2:A$313,"&gt;="&amp;DATE(YEAR(TODAY()),MONTH(TODAY()),1),A$2:A$313,"&lt;"&amp;DATE(YEAR(TODAY()),MONTH(TODAY())+1,1),B$2:B$313,$B$321),"")</f>
        <v/>
      </c>
      <c r="E321" s="10">
        <f>IFERROR(AVERAGEIFS(E$2:E$313,A$2:A$313,"&gt;="&amp;DATE(YEAR(TODAY()),MONTH(TODAY()),1),A$2:A$313,"&lt;"&amp;DATE(YEAR(TODAY()),MONTH(TODAY())+1,1),B$2:B$313,$B$321),"")</f>
        <v/>
      </c>
      <c r="F321" s="11">
        <f>IFERROR(SUMPRODUCT((YEAR(A$2:A$313)=YEAR(TODAY()))*(MONTH(A$2:A$313)=MONTH(TODAY()))*(B$2:B$313=$B$321)*(F$2:F$313),"")</f>
        <v/>
      </c>
    </row>
    <row r="322">
      <c r="B322" s="2" t="inlineStr">
        <is>
          <t>MHP系数（对SMM电池级硫酸镍指数）</t>
        </is>
      </c>
      <c r="C322" s="10">
        <f>IFERROR(AVERAGEIFS(C$2:C$313,A$2:A$313,"&gt;="&amp;DATE(YEAR(TODAY()),MONTH(TODAY()),1),A$2:A$313,"&lt;"&amp;DATE(YEAR(TODAY()),MONTH(TODAY())+1,1),B$2:B$313,$B$322),"")</f>
        <v/>
      </c>
      <c r="D322" s="10">
        <f>IFERROR(AVERAGEIFS(D$2:D$313,A$2:A$313,"&gt;="&amp;DATE(YEAR(TODAY()),MONTH(TODAY()),1),A$2:A$313,"&lt;"&amp;DATE(YEAR(TODAY()),MONTH(TODAY())+1,1),B$2:B$313,$B$322),"")</f>
        <v/>
      </c>
      <c r="E322" s="10">
        <f>IFERROR(AVERAGEIFS(E$2:E$313,A$2:A$313,"&gt;="&amp;DATE(YEAR(TODAY()),MONTH(TODAY()),1),A$2:A$313,"&lt;"&amp;DATE(YEAR(TODAY()),MONTH(TODAY())+1,1),B$2:B$313,$B$322),"")</f>
        <v/>
      </c>
      <c r="F322" s="11">
        <f>IFERROR(SUMPRODUCT((YEAR(A$2:A$313)=YEAR(TODAY()))*(MONTH(A$2:A$313)=MONTH(TODAY()))*(B$2:B$313=$B$322)*(F$2:F$313),"")</f>
        <v/>
      </c>
    </row>
    <row r="323">
      <c r="B323" s="2" t="inlineStr">
        <is>
          <t>MHP钴元素计价系数（对SMM硫酸钴均价）</t>
        </is>
      </c>
      <c r="C323" s="10">
        <f>IFERROR(AVERAGEIFS(C$2:C$313,A$2:A$313,"&gt;="&amp;DATE(YEAR(TODAY()),MONTH(TODAY()),1),A$2:A$313,"&lt;"&amp;DATE(YEAR(TODAY()),MONTH(TODAY())+1,1),B$2:B$313,$B$323),"")</f>
        <v/>
      </c>
      <c r="D323" s="10">
        <f>IFERROR(AVERAGEIFS(D$2:D$313,A$2:A$313,"&gt;="&amp;DATE(YEAR(TODAY()),MONTH(TODAY()),1),A$2:A$313,"&lt;"&amp;DATE(YEAR(TODAY()),MONTH(TODAY())+1,1),B$2:B$313,$B$323),"")</f>
        <v/>
      </c>
      <c r="E323" s="10">
        <f>IFERROR(AVERAGEIFS(E$2:E$313,A$2:A$313,"&gt;="&amp;DATE(YEAR(TODAY()),MONTH(TODAY()),1),A$2:A$313,"&lt;"&amp;DATE(YEAR(TODAY()),MONTH(TODAY())+1,1),B$2:B$313,$B$323),"")</f>
        <v/>
      </c>
      <c r="F323" s="11">
        <f>IFERROR(SUMPRODUCT((YEAR(A$2:A$313)=YEAR(TODAY()))*(MONTH(A$2:A$313)=MONTH(TODAY()))*(B$2:B$313=$B$323)*(F$2:F$313),"")</f>
        <v/>
      </c>
    </row>
    <row r="324">
      <c r="B324" s="2" t="inlineStr">
        <is>
          <t>NCA三元材料</t>
        </is>
      </c>
      <c r="C324" s="10">
        <f>IFERROR(AVERAGEIFS(C$2:C$313,A$2:A$313,"&gt;="&amp;DATE(YEAR(TODAY()),MONTH(TODAY()),1),A$2:A$313,"&lt;"&amp;DATE(YEAR(TODAY()),MONTH(TODAY())+1,1),B$2:B$313,$B$324),"")</f>
        <v/>
      </c>
      <c r="D324" s="10">
        <f>IFERROR(AVERAGEIFS(D$2:D$313,A$2:A$313,"&gt;="&amp;DATE(YEAR(TODAY()),MONTH(TODAY()),1),A$2:A$313,"&lt;"&amp;DATE(YEAR(TODAY()),MONTH(TODAY())+1,1),B$2:B$313,$B$324),"")</f>
        <v/>
      </c>
      <c r="E324" s="10">
        <f>IFERROR(AVERAGEIFS(E$2:E$313,A$2:A$313,"&gt;="&amp;DATE(YEAR(TODAY()),MONTH(TODAY()),1),A$2:A$313,"&lt;"&amp;DATE(YEAR(TODAY()),MONTH(TODAY())+1,1),B$2:B$313,$B$324),"")</f>
        <v/>
      </c>
      <c r="F324" s="11">
        <f>IFERROR(SUMPRODUCT((YEAR(A$2:A$313)=YEAR(TODAY()))*(MONTH(A$2:A$313)=MONTH(TODAY()))*(B$2:B$313=$B$324)*(F$2:F$313),"")</f>
        <v/>
      </c>
    </row>
    <row r="325">
      <c r="B325" s="2" t="inlineStr">
        <is>
          <t>SMM三元极片粉钴系数指数</t>
        </is>
      </c>
      <c r="C325" s="10">
        <f>IFERROR(AVERAGEIFS(C$2:C$313,A$2:A$313,"&gt;="&amp;DATE(YEAR(TODAY()),MONTH(TODAY()),1),A$2:A$313,"&lt;"&amp;DATE(YEAR(TODAY()),MONTH(TODAY())+1,1),B$2:B$313,$B$325),"")</f>
        <v/>
      </c>
      <c r="D325" s="10">
        <f>IFERROR(AVERAGEIFS(D$2:D$313,A$2:A$313,"&gt;="&amp;DATE(YEAR(TODAY()),MONTH(TODAY()),1),A$2:A$313,"&lt;"&amp;DATE(YEAR(TODAY()),MONTH(TODAY())+1,1),B$2:B$313,$B$325),"")</f>
        <v/>
      </c>
      <c r="E325" s="10">
        <f>IFERROR(AVERAGEIFS(E$2:E$313,A$2:A$313,"&gt;="&amp;DATE(YEAR(TODAY()),MONTH(TODAY()),1),A$2:A$313,"&lt;"&amp;DATE(YEAR(TODAY()),MONTH(TODAY())+1,1),B$2:B$313,$B$325),"")</f>
        <v/>
      </c>
      <c r="F325" s="11">
        <f>IFERROR(SUMPRODUCT((YEAR(A$2:A$313)=YEAR(TODAY()))*(MONTH(A$2:A$313)=MONTH(TODAY()))*(B$2:B$313=$B$325)*(F$2:F$313),"")</f>
        <v/>
      </c>
    </row>
    <row r="326">
      <c r="B326" s="2" t="inlineStr">
        <is>
          <t>SMM三元极片粉锂系数指数</t>
        </is>
      </c>
      <c r="C326" s="10">
        <f>IFERROR(AVERAGEIFS(C$2:C$313,A$2:A$313,"&gt;="&amp;DATE(YEAR(TODAY()),MONTH(TODAY()),1),A$2:A$313,"&lt;"&amp;DATE(YEAR(TODAY()),MONTH(TODAY())+1,1),B$2:B$313,$B$326),"")</f>
        <v/>
      </c>
      <c r="D326" s="10">
        <f>IFERROR(AVERAGEIFS(D$2:D$313,A$2:A$313,"&gt;="&amp;DATE(YEAR(TODAY()),MONTH(TODAY()),1),A$2:A$313,"&lt;"&amp;DATE(YEAR(TODAY()),MONTH(TODAY())+1,1),B$2:B$313,$B$326),"")</f>
        <v/>
      </c>
      <c r="E326" s="10">
        <f>IFERROR(AVERAGEIFS(E$2:E$313,A$2:A$313,"&gt;="&amp;DATE(YEAR(TODAY()),MONTH(TODAY()),1),A$2:A$313,"&lt;"&amp;DATE(YEAR(TODAY()),MONTH(TODAY())+1,1),B$2:B$313,$B$326),"")</f>
        <v/>
      </c>
      <c r="F326" s="11">
        <f>IFERROR(SUMPRODUCT((YEAR(A$2:A$313)=YEAR(TODAY()))*(MONTH(A$2:A$313)=MONTH(TODAY()))*(B$2:B$313=$B$326)*(F$2:F$313),"")</f>
        <v/>
      </c>
    </row>
    <row r="327">
      <c r="B327" s="2" t="inlineStr">
        <is>
          <t>SMM三元极片粉镍系数指数</t>
        </is>
      </c>
      <c r="C327" s="10">
        <f>IFERROR(AVERAGEIFS(C$2:C$313,A$2:A$313,"&gt;="&amp;DATE(YEAR(TODAY()),MONTH(TODAY()),1),A$2:A$313,"&lt;"&amp;DATE(YEAR(TODAY()),MONTH(TODAY())+1,1),B$2:B$313,$B$327),"")</f>
        <v/>
      </c>
      <c r="D327" s="10">
        <f>IFERROR(AVERAGEIFS(D$2:D$313,A$2:A$313,"&gt;="&amp;DATE(YEAR(TODAY()),MONTH(TODAY()),1),A$2:A$313,"&lt;"&amp;DATE(YEAR(TODAY()),MONTH(TODAY())+1,1),B$2:B$313,$B$327),"")</f>
        <v/>
      </c>
      <c r="E327" s="10">
        <f>IFERROR(AVERAGEIFS(E$2:E$313,A$2:A$313,"&gt;="&amp;DATE(YEAR(TODAY()),MONTH(TODAY()),1),A$2:A$313,"&lt;"&amp;DATE(YEAR(TODAY()),MONTH(TODAY())+1,1),B$2:B$313,$B$327),"")</f>
        <v/>
      </c>
      <c r="F327" s="11">
        <f>IFERROR(SUMPRODUCT((YEAR(A$2:A$313)=YEAR(TODAY()))*(MONTH(A$2:A$313)=MONTH(TODAY()))*(B$2:B$313=$B$327)*(F$2:F$313),"")</f>
        <v/>
      </c>
    </row>
    <row r="328">
      <c r="B328" s="2" t="inlineStr">
        <is>
          <t>SMM三元电池粉钴系数指数</t>
        </is>
      </c>
      <c r="C328" s="10">
        <f>IFERROR(AVERAGEIFS(C$2:C$313,A$2:A$313,"&gt;="&amp;DATE(YEAR(TODAY()),MONTH(TODAY()),1),A$2:A$313,"&lt;"&amp;DATE(YEAR(TODAY()),MONTH(TODAY())+1,1),B$2:B$313,$B$328),"")</f>
        <v/>
      </c>
      <c r="D328" s="10">
        <f>IFERROR(AVERAGEIFS(D$2:D$313,A$2:A$313,"&gt;="&amp;DATE(YEAR(TODAY()),MONTH(TODAY()),1),A$2:A$313,"&lt;"&amp;DATE(YEAR(TODAY()),MONTH(TODAY())+1,1),B$2:B$313,$B$328),"")</f>
        <v/>
      </c>
      <c r="E328" s="10">
        <f>IFERROR(AVERAGEIFS(E$2:E$313,A$2:A$313,"&gt;="&amp;DATE(YEAR(TODAY()),MONTH(TODAY()),1),A$2:A$313,"&lt;"&amp;DATE(YEAR(TODAY()),MONTH(TODAY())+1,1),B$2:B$313,$B$328),"")</f>
        <v/>
      </c>
      <c r="F328" s="11">
        <f>IFERROR(SUMPRODUCT((YEAR(A$2:A$313)=YEAR(TODAY()))*(MONTH(A$2:A$313)=MONTH(TODAY()))*(B$2:B$313=$B$328)*(F$2:F$313),"")</f>
        <v/>
      </c>
    </row>
    <row r="329">
      <c r="B329" s="2" t="inlineStr">
        <is>
          <t>SMM三元电池粉锂系数指数</t>
        </is>
      </c>
      <c r="C329" s="10">
        <f>IFERROR(AVERAGEIFS(C$2:C$313,A$2:A$313,"&gt;="&amp;DATE(YEAR(TODAY()),MONTH(TODAY()),1),A$2:A$313,"&lt;"&amp;DATE(YEAR(TODAY()),MONTH(TODAY())+1,1),B$2:B$313,$B$329),"")</f>
        <v/>
      </c>
      <c r="D329" s="10">
        <f>IFERROR(AVERAGEIFS(D$2:D$313,A$2:A$313,"&gt;="&amp;DATE(YEAR(TODAY()),MONTH(TODAY()),1),A$2:A$313,"&lt;"&amp;DATE(YEAR(TODAY()),MONTH(TODAY())+1,1),B$2:B$313,$B$329),"")</f>
        <v/>
      </c>
      <c r="E329" s="10">
        <f>IFERROR(AVERAGEIFS(E$2:E$313,A$2:A$313,"&gt;="&amp;DATE(YEAR(TODAY()),MONTH(TODAY()),1),A$2:A$313,"&lt;"&amp;DATE(YEAR(TODAY()),MONTH(TODAY())+1,1),B$2:B$313,$B$329),"")</f>
        <v/>
      </c>
      <c r="F329" s="11">
        <f>IFERROR(SUMPRODUCT((YEAR(A$2:A$313)=YEAR(TODAY()))*(MONTH(A$2:A$313)=MONTH(TODAY()))*(B$2:B$313=$B$329)*(F$2:F$313),"")</f>
        <v/>
      </c>
    </row>
    <row r="330">
      <c r="B330" s="2" t="inlineStr">
        <is>
          <t>SMM三元电池粉镍系数指数</t>
        </is>
      </c>
      <c r="C330" s="10">
        <f>IFERROR(AVERAGEIFS(C$2:C$313,A$2:A$313,"&gt;="&amp;DATE(YEAR(TODAY()),MONTH(TODAY()),1),A$2:A$313,"&lt;"&amp;DATE(YEAR(TODAY()),MONTH(TODAY())+1,1),B$2:B$313,$B$330),"")</f>
        <v/>
      </c>
      <c r="D330" s="10">
        <f>IFERROR(AVERAGEIFS(D$2:D$313,A$2:A$313,"&gt;="&amp;DATE(YEAR(TODAY()),MONTH(TODAY()),1),A$2:A$313,"&lt;"&amp;DATE(YEAR(TODAY()),MONTH(TODAY())+1,1),B$2:B$313,$B$330),"")</f>
        <v/>
      </c>
      <c r="E330" s="10">
        <f>IFERROR(AVERAGEIFS(E$2:E$313,A$2:A$313,"&gt;="&amp;DATE(YEAR(TODAY()),MONTH(TODAY()),1),A$2:A$313,"&lt;"&amp;DATE(YEAR(TODAY()),MONTH(TODAY())+1,1),B$2:B$313,$B$330),"")</f>
        <v/>
      </c>
      <c r="F330" s="11">
        <f>IFERROR(SUMPRODUCT((YEAR(A$2:A$313)=YEAR(TODAY()))*(MONTH(A$2:A$313)=MONTH(TODAY()))*(B$2:B$313=$B$330)*(F$2:F$313),"")</f>
        <v/>
      </c>
    </row>
    <row r="331">
      <c r="B331" s="2" t="inlineStr">
        <is>
          <t>SMM六氟磷酸锂指数</t>
        </is>
      </c>
      <c r="C331" s="10">
        <f>IFERROR(AVERAGEIFS(C$2:C$313,A$2:A$313,"&gt;="&amp;DATE(YEAR(TODAY()),MONTH(TODAY()),1),A$2:A$313,"&lt;"&amp;DATE(YEAR(TODAY()),MONTH(TODAY())+1,1),B$2:B$313,$B$331),"")</f>
        <v/>
      </c>
      <c r="D331" s="10">
        <f>IFERROR(AVERAGEIFS(D$2:D$313,A$2:A$313,"&gt;="&amp;DATE(YEAR(TODAY()),MONTH(TODAY()),1),A$2:A$313,"&lt;"&amp;DATE(YEAR(TODAY()),MONTH(TODAY())+1,1),B$2:B$313,$B$331),"")</f>
        <v/>
      </c>
      <c r="E331" s="10">
        <f>IFERROR(AVERAGEIFS(E$2:E$313,A$2:A$313,"&gt;="&amp;DATE(YEAR(TODAY()),MONTH(TODAY()),1),A$2:A$313,"&lt;"&amp;DATE(YEAR(TODAY()),MONTH(TODAY())+1,1),B$2:B$313,$B$331),"")</f>
        <v/>
      </c>
      <c r="F331" s="11">
        <f>IFERROR(SUMPRODUCT((YEAR(A$2:A$313)=YEAR(TODAY()))*(MONTH(A$2:A$313)=MONTH(TODAY()))*(B$2:B$313=$B$331)*(F$2:F$313),"")</f>
        <v/>
      </c>
    </row>
    <row r="332">
      <c r="B332" s="2" t="inlineStr">
        <is>
          <t>SMM电池级氢氧化锂指数</t>
        </is>
      </c>
      <c r="C332" s="10">
        <f>IFERROR(AVERAGEIFS(C$2:C$313,A$2:A$313,"&gt;="&amp;DATE(YEAR(TODAY()),MONTH(TODAY()),1),A$2:A$313,"&lt;"&amp;DATE(YEAR(TODAY()),MONTH(TODAY())+1,1),B$2:B$313,$B$332),"")</f>
        <v/>
      </c>
      <c r="D332" s="10">
        <f>IFERROR(AVERAGEIFS(D$2:D$313,A$2:A$313,"&gt;="&amp;DATE(YEAR(TODAY()),MONTH(TODAY()),1),A$2:A$313,"&lt;"&amp;DATE(YEAR(TODAY()),MONTH(TODAY())+1,1),B$2:B$313,$B$332),"")</f>
        <v/>
      </c>
      <c r="E332" s="10">
        <f>IFERROR(AVERAGEIFS(E$2:E$313,A$2:A$313,"&gt;="&amp;DATE(YEAR(TODAY()),MONTH(TODAY()),1),A$2:A$313,"&lt;"&amp;DATE(YEAR(TODAY()),MONTH(TODAY())+1,1),B$2:B$313,$B$332),"")</f>
        <v/>
      </c>
      <c r="F332" s="11">
        <f>IFERROR(SUMPRODUCT((YEAR(A$2:A$313)=YEAR(TODAY()))*(MONTH(A$2:A$313)=MONTH(TODAY()))*(B$2:B$313=$B$332)*(F$2:F$313),"")</f>
        <v/>
      </c>
    </row>
    <row r="333">
      <c r="B333" s="2" t="inlineStr">
        <is>
          <t>SMM电池级硫酸锰指数</t>
        </is>
      </c>
      <c r="C333" s="10">
        <f>IFERROR(AVERAGEIFS(C$2:C$313,A$2:A$313,"&gt;="&amp;DATE(YEAR(TODAY()),MONTH(TODAY()),1),A$2:A$313,"&lt;"&amp;DATE(YEAR(TODAY()),MONTH(TODAY())+1,1),B$2:B$313,$B$333),"")</f>
        <v/>
      </c>
      <c r="D333" s="10">
        <f>IFERROR(AVERAGEIFS(D$2:D$313,A$2:A$313,"&gt;="&amp;DATE(YEAR(TODAY()),MONTH(TODAY()),1),A$2:A$313,"&lt;"&amp;DATE(YEAR(TODAY()),MONTH(TODAY())+1,1),B$2:B$313,$B$333),"")</f>
        <v/>
      </c>
      <c r="E333" s="10">
        <f>IFERROR(AVERAGEIFS(E$2:E$313,A$2:A$313,"&gt;="&amp;DATE(YEAR(TODAY()),MONTH(TODAY()),1),A$2:A$313,"&lt;"&amp;DATE(YEAR(TODAY()),MONTH(TODAY())+1,1),B$2:B$313,$B$333),"")</f>
        <v/>
      </c>
      <c r="F333" s="11">
        <f>IFERROR(SUMPRODUCT((YEAR(A$2:A$313)=YEAR(TODAY()))*(MONTH(A$2:A$313)=MONTH(TODAY()))*(B$2:B$313=$B$333)*(F$2:F$313),"")</f>
        <v/>
      </c>
    </row>
    <row r="334">
      <c r="B334" s="2" t="inlineStr">
        <is>
          <t>SMM电池级硫酸镍指数</t>
        </is>
      </c>
      <c r="C334" s="10">
        <f>IFERROR(AVERAGEIFS(C$2:C$313,A$2:A$313,"&gt;="&amp;DATE(YEAR(TODAY()),MONTH(TODAY()),1),A$2:A$313,"&lt;"&amp;DATE(YEAR(TODAY()),MONTH(TODAY())+1,1),B$2:B$313,$B$334),"")</f>
        <v/>
      </c>
      <c r="D334" s="10">
        <f>IFERROR(AVERAGEIFS(D$2:D$313,A$2:A$313,"&gt;="&amp;DATE(YEAR(TODAY()),MONTH(TODAY()),1),A$2:A$313,"&lt;"&amp;DATE(YEAR(TODAY()),MONTH(TODAY())+1,1),B$2:B$313,$B$334),"")</f>
        <v/>
      </c>
      <c r="E334" s="10">
        <f>IFERROR(AVERAGEIFS(E$2:E$313,A$2:A$313,"&gt;="&amp;DATE(YEAR(TODAY()),MONTH(TODAY()),1),A$2:A$313,"&lt;"&amp;DATE(YEAR(TODAY()),MONTH(TODAY())+1,1),B$2:B$313,$B$334),"")</f>
        <v/>
      </c>
      <c r="F334" s="11">
        <f>IFERROR(SUMPRODUCT((YEAR(A$2:A$313)=YEAR(TODAY()))*(MONTH(A$2:A$313)=MONTH(TODAY()))*(B$2:B$313=$B$334)*(F$2:F$313),"")</f>
        <v/>
      </c>
    </row>
    <row r="335">
      <c r="B335" s="2" t="inlineStr">
        <is>
          <t>SMM电池级碳酸锂指数</t>
        </is>
      </c>
      <c r="C335" s="10">
        <f>IFERROR(AVERAGEIFS(C$2:C$313,A$2:A$313,"&gt;="&amp;DATE(YEAR(TODAY()),MONTH(TODAY()),1),A$2:A$313,"&lt;"&amp;DATE(YEAR(TODAY()),MONTH(TODAY())+1,1),B$2:B$313,$B$335),"")</f>
        <v/>
      </c>
      <c r="D335" s="10">
        <f>IFERROR(AVERAGEIFS(D$2:D$313,A$2:A$313,"&gt;="&amp;DATE(YEAR(TODAY()),MONTH(TODAY()),1),A$2:A$313,"&lt;"&amp;DATE(YEAR(TODAY()),MONTH(TODAY())+1,1),B$2:B$313,$B$335),"")</f>
        <v/>
      </c>
      <c r="E335" s="10">
        <f>IFERROR(AVERAGEIFS(E$2:E$313,A$2:A$313,"&gt;="&amp;DATE(YEAR(TODAY()),MONTH(TODAY()),1),A$2:A$313,"&lt;"&amp;DATE(YEAR(TODAY()),MONTH(TODAY())+1,1),B$2:B$313,$B$335),"")</f>
        <v/>
      </c>
      <c r="F335" s="11">
        <f>IFERROR(SUMPRODUCT((YEAR(A$2:A$313)=YEAR(TODAY()))*(MONTH(A$2:A$313)=MONTH(TODAY()))*(B$2:B$313=$B$335)*(F$2:F$313),"")</f>
        <v/>
      </c>
    </row>
    <row r="336">
      <c r="B336" s="2" t="inlineStr">
        <is>
          <t>SMM硫酸钴指数</t>
        </is>
      </c>
      <c r="C336" s="10">
        <f>IFERROR(AVERAGEIFS(C$2:C$313,A$2:A$313,"&gt;="&amp;DATE(YEAR(TODAY()),MONTH(TODAY()),1),A$2:A$313,"&lt;"&amp;DATE(YEAR(TODAY()),MONTH(TODAY())+1,1),B$2:B$313,$B$336),"")</f>
        <v/>
      </c>
      <c r="D336" s="10">
        <f>IFERROR(AVERAGEIFS(D$2:D$313,A$2:A$313,"&gt;="&amp;DATE(YEAR(TODAY()),MONTH(TODAY()),1),A$2:A$313,"&lt;"&amp;DATE(YEAR(TODAY()),MONTH(TODAY())+1,1),B$2:B$313,$B$336),"")</f>
        <v/>
      </c>
      <c r="E336" s="10">
        <f>IFERROR(AVERAGEIFS(E$2:E$313,A$2:A$313,"&gt;="&amp;DATE(YEAR(TODAY()),MONTH(TODAY()),1),A$2:A$313,"&lt;"&amp;DATE(YEAR(TODAY()),MONTH(TODAY())+1,1),B$2:B$313,$B$336),"")</f>
        <v/>
      </c>
      <c r="F336" s="11">
        <f>IFERROR(SUMPRODUCT((YEAR(A$2:A$313)=YEAR(TODAY()))*(MONTH(A$2:A$313)=MONTH(TODAY()))*(B$2:B$313=$B$336)*(F$2:F$313),"")</f>
        <v/>
      </c>
    </row>
    <row r="337">
      <c r="B337" s="2" t="inlineStr">
        <is>
          <t>SMM磷酸铁锂极片粉指数</t>
        </is>
      </c>
      <c r="C337" s="10">
        <f>IFERROR(AVERAGEIFS(C$2:C$313,A$2:A$313,"&gt;="&amp;DATE(YEAR(TODAY()),MONTH(TODAY()),1),A$2:A$313,"&lt;"&amp;DATE(YEAR(TODAY()),MONTH(TODAY())+1,1),B$2:B$313,$B$337),"")</f>
        <v/>
      </c>
      <c r="D337" s="10">
        <f>IFERROR(AVERAGEIFS(D$2:D$313,A$2:A$313,"&gt;="&amp;DATE(YEAR(TODAY()),MONTH(TODAY()),1),A$2:A$313,"&lt;"&amp;DATE(YEAR(TODAY()),MONTH(TODAY())+1,1),B$2:B$313,$B$337),"")</f>
        <v/>
      </c>
      <c r="E337" s="10">
        <f>IFERROR(AVERAGEIFS(E$2:E$313,A$2:A$313,"&gt;="&amp;DATE(YEAR(TODAY()),MONTH(TODAY()),1),A$2:A$313,"&lt;"&amp;DATE(YEAR(TODAY()),MONTH(TODAY())+1,1),B$2:B$313,$B$337),"")</f>
        <v/>
      </c>
      <c r="F337" s="11">
        <f>IFERROR(SUMPRODUCT((YEAR(A$2:A$313)=YEAR(TODAY()))*(MONTH(A$2:A$313)=MONTH(TODAY()))*(B$2:B$313=$B$337)*(F$2:F$313),"")</f>
        <v/>
      </c>
    </row>
    <row r="338">
      <c r="B338" s="2" t="inlineStr">
        <is>
          <t>SMM磷酸铁锂电池粉指数</t>
        </is>
      </c>
      <c r="C338" s="10">
        <f>IFERROR(AVERAGEIFS(C$2:C$313,A$2:A$313,"&gt;="&amp;DATE(YEAR(TODAY()),MONTH(TODAY()),1),A$2:A$313,"&lt;"&amp;DATE(YEAR(TODAY()),MONTH(TODAY())+1,1),B$2:B$313,$B$338),"")</f>
        <v/>
      </c>
      <c r="D338" s="10">
        <f>IFERROR(AVERAGEIFS(D$2:D$313,A$2:A$313,"&gt;="&amp;DATE(YEAR(TODAY()),MONTH(TODAY()),1),A$2:A$313,"&lt;"&amp;DATE(YEAR(TODAY()),MONTH(TODAY())+1,1),B$2:B$313,$B$338),"")</f>
        <v/>
      </c>
      <c r="E338" s="10">
        <f>IFERROR(AVERAGEIFS(E$2:E$313,A$2:A$313,"&gt;="&amp;DATE(YEAR(TODAY()),MONTH(TODAY()),1),A$2:A$313,"&lt;"&amp;DATE(YEAR(TODAY()),MONTH(TODAY())+1,1),B$2:B$313,$B$338),"")</f>
        <v/>
      </c>
      <c r="F338" s="11">
        <f>IFERROR(SUMPRODUCT((YEAR(A$2:A$313)=YEAR(TODAY()))*(MONTH(A$2:A$313)=MONTH(TODAY()))*(B$2:B$313=$B$338)*(F$2:F$313),"")</f>
        <v/>
      </c>
    </row>
    <row r="339">
      <c r="B339" s="2" t="inlineStr">
        <is>
          <t>SMM钴酸锂极片粉钴系数指数</t>
        </is>
      </c>
      <c r="C339" s="10">
        <f>IFERROR(AVERAGEIFS(C$2:C$313,A$2:A$313,"&gt;="&amp;DATE(YEAR(TODAY()),MONTH(TODAY()),1),A$2:A$313,"&lt;"&amp;DATE(YEAR(TODAY()),MONTH(TODAY())+1,1),B$2:B$313,$B$339),"")</f>
        <v/>
      </c>
      <c r="D339" s="10">
        <f>IFERROR(AVERAGEIFS(D$2:D$313,A$2:A$313,"&gt;="&amp;DATE(YEAR(TODAY()),MONTH(TODAY()),1),A$2:A$313,"&lt;"&amp;DATE(YEAR(TODAY()),MONTH(TODAY())+1,1),B$2:B$313,$B$339),"")</f>
        <v/>
      </c>
      <c r="E339" s="10">
        <f>IFERROR(AVERAGEIFS(E$2:E$313,A$2:A$313,"&gt;="&amp;DATE(YEAR(TODAY()),MONTH(TODAY()),1),A$2:A$313,"&lt;"&amp;DATE(YEAR(TODAY()),MONTH(TODAY())+1,1),B$2:B$313,$B$339),"")</f>
        <v/>
      </c>
      <c r="F339" s="11">
        <f>IFERROR(SUMPRODUCT((YEAR(A$2:A$313)=YEAR(TODAY()))*(MONTH(A$2:A$313)=MONTH(TODAY()))*(B$2:B$313=$B$339)*(F$2:F$313),"")</f>
        <v/>
      </c>
    </row>
    <row r="340">
      <c r="B340" s="2" t="inlineStr">
        <is>
          <t>SMM钴酸锂极片粉锂系数指数</t>
        </is>
      </c>
      <c r="C340" s="10">
        <f>IFERROR(AVERAGEIFS(C$2:C$313,A$2:A$313,"&gt;="&amp;DATE(YEAR(TODAY()),MONTH(TODAY()),1),A$2:A$313,"&lt;"&amp;DATE(YEAR(TODAY()),MONTH(TODAY())+1,1),B$2:B$313,$B$340),"")</f>
        <v/>
      </c>
      <c r="D340" s="10">
        <f>IFERROR(AVERAGEIFS(D$2:D$313,A$2:A$313,"&gt;="&amp;DATE(YEAR(TODAY()),MONTH(TODAY()),1),A$2:A$313,"&lt;"&amp;DATE(YEAR(TODAY()),MONTH(TODAY())+1,1),B$2:B$313,$B$340),"")</f>
        <v/>
      </c>
      <c r="E340" s="10">
        <f>IFERROR(AVERAGEIFS(E$2:E$313,A$2:A$313,"&gt;="&amp;DATE(YEAR(TODAY()),MONTH(TODAY()),1),A$2:A$313,"&lt;"&amp;DATE(YEAR(TODAY()),MONTH(TODAY())+1,1),B$2:B$313,$B$340),"")</f>
        <v/>
      </c>
      <c r="F340" s="11">
        <f>IFERROR(SUMPRODUCT((YEAR(A$2:A$313)=YEAR(TODAY()))*(MONTH(A$2:A$313)=MONTH(TODAY()))*(B$2:B$313=$B$340)*(F$2:F$313),"")</f>
        <v/>
      </c>
    </row>
    <row r="341">
      <c r="B341" s="2" t="inlineStr">
        <is>
          <t>SMM钴酸锂电池粉钴系数指数</t>
        </is>
      </c>
      <c r="C341" s="10">
        <f>IFERROR(AVERAGEIFS(C$2:C$313,A$2:A$313,"&gt;="&amp;DATE(YEAR(TODAY()),MONTH(TODAY()),1),A$2:A$313,"&lt;"&amp;DATE(YEAR(TODAY()),MONTH(TODAY())+1,1),B$2:B$313,$B$341),"")</f>
        <v/>
      </c>
      <c r="D341" s="10">
        <f>IFERROR(AVERAGEIFS(D$2:D$313,A$2:A$313,"&gt;="&amp;DATE(YEAR(TODAY()),MONTH(TODAY()),1),A$2:A$313,"&lt;"&amp;DATE(YEAR(TODAY()),MONTH(TODAY())+1,1),B$2:B$313,$B$341),"")</f>
        <v/>
      </c>
      <c r="E341" s="10">
        <f>IFERROR(AVERAGEIFS(E$2:E$313,A$2:A$313,"&gt;="&amp;DATE(YEAR(TODAY()),MONTH(TODAY()),1),A$2:A$313,"&lt;"&amp;DATE(YEAR(TODAY()),MONTH(TODAY())+1,1),B$2:B$313,$B$341),"")</f>
        <v/>
      </c>
      <c r="F341" s="11">
        <f>IFERROR(SUMPRODUCT((YEAR(A$2:A$313)=YEAR(TODAY()))*(MONTH(A$2:A$313)=MONTH(TODAY()))*(B$2:B$313=$B$341)*(F$2:F$313),"")</f>
        <v/>
      </c>
    </row>
    <row r="342">
      <c r="B342" s="2" t="inlineStr">
        <is>
          <t>SMM钴酸锂电池粉锂系数指数</t>
        </is>
      </c>
      <c r="C342" s="10">
        <f>IFERROR(AVERAGEIFS(C$2:C$313,A$2:A$313,"&gt;="&amp;DATE(YEAR(TODAY()),MONTH(TODAY()),1),A$2:A$313,"&lt;"&amp;DATE(YEAR(TODAY()),MONTH(TODAY())+1,1),B$2:B$313,$B$342),"")</f>
        <v/>
      </c>
      <c r="D342" s="10">
        <f>IFERROR(AVERAGEIFS(D$2:D$313,A$2:A$313,"&gt;="&amp;DATE(YEAR(TODAY()),MONTH(TODAY()),1),A$2:A$313,"&lt;"&amp;DATE(YEAR(TODAY()),MONTH(TODAY())+1,1),B$2:B$313,$B$342),"")</f>
        <v/>
      </c>
      <c r="E342" s="10">
        <f>IFERROR(AVERAGEIFS(E$2:E$313,A$2:A$313,"&gt;="&amp;DATE(YEAR(TODAY()),MONTH(TODAY()),1),A$2:A$313,"&lt;"&amp;DATE(YEAR(TODAY()),MONTH(TODAY())+1,1),B$2:B$313,$B$342),"")</f>
        <v/>
      </c>
      <c r="F342" s="11">
        <f>IFERROR(SUMPRODUCT((YEAR(A$2:A$313)=YEAR(TODAY()))*(MONTH(A$2:A$313)=MONTH(TODAY()))*(B$2:B$313=$B$342)*(F$2:F$313),"")</f>
        <v/>
      </c>
    </row>
    <row r="343">
      <c r="B343" s="2" t="inlineStr">
        <is>
          <t>三元方壳锂电B品</t>
        </is>
      </c>
      <c r="C343" s="10">
        <f>IFERROR(AVERAGEIFS(C$2:C$313,A$2:A$313,"&gt;="&amp;DATE(YEAR(TODAY()),MONTH(TODAY()),1),A$2:A$313,"&lt;"&amp;DATE(YEAR(TODAY()),MONTH(TODAY())+1,1),B$2:B$313,$B$343),"")</f>
        <v/>
      </c>
      <c r="D343" s="10">
        <f>IFERROR(AVERAGEIFS(D$2:D$313,A$2:A$313,"&gt;="&amp;DATE(YEAR(TODAY()),MONTH(TODAY()),1),A$2:A$313,"&lt;"&amp;DATE(YEAR(TODAY()),MONTH(TODAY())+1,1),B$2:B$313,$B$343),"")</f>
        <v/>
      </c>
      <c r="E343" s="10">
        <f>IFERROR(AVERAGEIFS(E$2:E$313,A$2:A$313,"&gt;="&amp;DATE(YEAR(TODAY()),MONTH(TODAY()),1),A$2:A$313,"&lt;"&amp;DATE(YEAR(TODAY()),MONTH(TODAY())+1,1),B$2:B$313,$B$343),"")</f>
        <v/>
      </c>
      <c r="F343" s="11">
        <f>IFERROR(SUMPRODUCT((YEAR(A$2:A$313)=YEAR(TODAY()))*(MONTH(A$2:A$313)=MONTH(TODAY()))*(B$2:B$313=$B$343)*(F$2:F$313),"")</f>
        <v/>
      </c>
    </row>
    <row r="344">
      <c r="B344" s="2" t="inlineStr">
        <is>
          <t>六氟磷酸锂（国产）</t>
        </is>
      </c>
      <c r="C344" s="10">
        <f>IFERROR(AVERAGEIFS(C$2:C$313,A$2:A$313,"&gt;="&amp;DATE(YEAR(TODAY()),MONTH(TODAY()),1),A$2:A$313,"&lt;"&amp;DATE(YEAR(TODAY()),MONTH(TODAY())+1,1),B$2:B$313,$B$344),"")</f>
        <v/>
      </c>
      <c r="D344" s="10">
        <f>IFERROR(AVERAGEIFS(D$2:D$313,A$2:A$313,"&gt;="&amp;DATE(YEAR(TODAY()),MONTH(TODAY()),1),A$2:A$313,"&lt;"&amp;DATE(YEAR(TODAY()),MONTH(TODAY())+1,1),B$2:B$313,$B$344),"")</f>
        <v/>
      </c>
      <c r="E344" s="10">
        <f>IFERROR(AVERAGEIFS(E$2:E$313,A$2:A$313,"&gt;="&amp;DATE(YEAR(TODAY()),MONTH(TODAY()),1),A$2:A$313,"&lt;"&amp;DATE(YEAR(TODAY()),MONTH(TODAY())+1,1),B$2:B$313,$B$344),"")</f>
        <v/>
      </c>
      <c r="F344" s="11">
        <f>IFERROR(SUMPRODUCT((YEAR(A$2:A$313)=YEAR(TODAY()))*(MONTH(A$2:A$313)=MONTH(TODAY()))*(B$2:B$313=$B$344)*(F$2:F$313),"")</f>
        <v/>
      </c>
    </row>
    <row r="345">
      <c r="B345" s="2" t="inlineStr">
        <is>
          <t>四氧化三钴</t>
        </is>
      </c>
      <c r="C345" s="10">
        <f>IFERROR(AVERAGEIFS(C$2:C$313,A$2:A$313,"&gt;="&amp;DATE(YEAR(TODAY()),MONTH(TODAY()),1),A$2:A$313,"&lt;"&amp;DATE(YEAR(TODAY()),MONTH(TODAY())+1,1),B$2:B$313,$B$345),"")</f>
        <v/>
      </c>
      <c r="D345" s="10">
        <f>IFERROR(AVERAGEIFS(D$2:D$313,A$2:A$313,"&gt;="&amp;DATE(YEAR(TODAY()),MONTH(TODAY()),1),A$2:A$313,"&lt;"&amp;DATE(YEAR(TODAY()),MONTH(TODAY())+1,1),B$2:B$313,$B$345),"")</f>
        <v/>
      </c>
      <c r="E345" s="10">
        <f>IFERROR(AVERAGEIFS(E$2:E$313,A$2:A$313,"&gt;="&amp;DATE(YEAR(TODAY()),MONTH(TODAY()),1),A$2:A$313,"&lt;"&amp;DATE(YEAR(TODAY()),MONTH(TODAY())+1,1),B$2:B$313,$B$345),"")</f>
        <v/>
      </c>
      <c r="F345" s="11">
        <f>IFERROR(SUMPRODUCT((YEAR(A$2:A$313)=YEAR(TODAY()))*(MONTH(A$2:A$313)=MONTH(TODAY()))*(B$2:B$313=$B$345)*(F$2:F$313),"")</f>
        <v/>
      </c>
    </row>
    <row r="346">
      <c r="B346" s="2" t="inlineStr">
        <is>
          <t>四氧化三锰（电池级）</t>
        </is>
      </c>
      <c r="C346" s="10">
        <f>IFERROR(AVERAGEIFS(C$2:C$313,A$2:A$313,"&gt;="&amp;DATE(YEAR(TODAY()),MONTH(TODAY()),1),A$2:A$313,"&lt;"&amp;DATE(YEAR(TODAY()),MONTH(TODAY())+1,1),B$2:B$313,$B$346),"")</f>
        <v/>
      </c>
      <c r="D346" s="10">
        <f>IFERROR(AVERAGEIFS(D$2:D$313,A$2:A$313,"&gt;="&amp;DATE(YEAR(TODAY()),MONTH(TODAY()),1),A$2:A$313,"&lt;"&amp;DATE(YEAR(TODAY()),MONTH(TODAY())+1,1),B$2:B$313,$B$346),"")</f>
        <v/>
      </c>
      <c r="E346" s="10">
        <f>IFERROR(AVERAGEIFS(E$2:E$313,A$2:A$313,"&gt;="&amp;DATE(YEAR(TODAY()),MONTH(TODAY()),1),A$2:A$313,"&lt;"&amp;DATE(YEAR(TODAY()),MONTH(TODAY())+1,1),B$2:B$313,$B$346),"")</f>
        <v/>
      </c>
      <c r="F346" s="11">
        <f>IFERROR(SUMPRODUCT((YEAR(A$2:A$313)=YEAR(TODAY()))*(MONTH(A$2:A$313)=MONTH(TODAY()))*(B$2:B$313=$B$346)*(F$2:F$313),"")</f>
        <v/>
      </c>
    </row>
    <row r="347">
      <c r="B347" s="2" t="inlineStr">
        <is>
          <t>工业级氢氧化锂</t>
        </is>
      </c>
      <c r="C347" s="10">
        <f>IFERROR(AVERAGEIFS(C$2:C$313,A$2:A$313,"&gt;="&amp;DATE(YEAR(TODAY()),MONTH(TODAY()),1),A$2:A$313,"&lt;"&amp;DATE(YEAR(TODAY()),MONTH(TODAY())+1,1),B$2:B$313,$B$347),"")</f>
        <v/>
      </c>
      <c r="D347" s="10">
        <f>IFERROR(AVERAGEIFS(D$2:D$313,A$2:A$313,"&gt;="&amp;DATE(YEAR(TODAY()),MONTH(TODAY()),1),A$2:A$313,"&lt;"&amp;DATE(YEAR(TODAY()),MONTH(TODAY())+1,1),B$2:B$313,$B$347),"")</f>
        <v/>
      </c>
      <c r="E347" s="10">
        <f>IFERROR(AVERAGEIFS(E$2:E$313,A$2:A$313,"&gt;="&amp;DATE(YEAR(TODAY()),MONTH(TODAY()),1),A$2:A$313,"&lt;"&amp;DATE(YEAR(TODAY()),MONTH(TODAY())+1,1),B$2:B$313,$B$347),"")</f>
        <v/>
      </c>
      <c r="F347" s="11">
        <f>IFERROR(SUMPRODUCT((YEAR(A$2:A$313)=YEAR(TODAY()))*(MONTH(A$2:A$313)=MONTH(TODAY()))*(B$2:B$313=$B$347)*(F$2:F$313),"")</f>
        <v/>
      </c>
    </row>
    <row r="348">
      <c r="B348" s="2" t="inlineStr">
        <is>
          <t>工业级碳酸锂</t>
        </is>
      </c>
      <c r="C348" s="10">
        <f>IFERROR(AVERAGEIFS(C$2:C$313,A$2:A$313,"&gt;="&amp;DATE(YEAR(TODAY()),MONTH(TODAY()),1),A$2:A$313,"&lt;"&amp;DATE(YEAR(TODAY()),MONTH(TODAY())+1,1),B$2:B$313,$B$348),"")</f>
        <v/>
      </c>
      <c r="D348" s="10">
        <f>IFERROR(AVERAGEIFS(D$2:D$313,A$2:A$313,"&gt;="&amp;DATE(YEAR(TODAY()),MONTH(TODAY()),1),A$2:A$313,"&lt;"&amp;DATE(YEAR(TODAY()),MONTH(TODAY())+1,1),B$2:B$313,$B$348),"")</f>
        <v/>
      </c>
      <c r="E348" s="10">
        <f>IFERROR(AVERAGEIFS(E$2:E$313,A$2:A$313,"&gt;="&amp;DATE(YEAR(TODAY()),MONTH(TODAY()),1),A$2:A$313,"&lt;"&amp;DATE(YEAR(TODAY()),MONTH(TODAY())+1,1),B$2:B$313,$B$348),"")</f>
        <v/>
      </c>
      <c r="F348" s="11">
        <f>IFERROR(SUMPRODUCT((YEAR(A$2:A$313)=YEAR(TODAY()))*(MONTH(A$2:A$313)=MONTH(TODAY()))*(B$2:B$313=$B$348)*(F$2:F$313),"")</f>
        <v/>
      </c>
    </row>
    <row r="349">
      <c r="B349" s="2" t="inlineStr">
        <is>
          <t>工业级金属锂</t>
        </is>
      </c>
      <c r="C349" s="10">
        <f>IFERROR(AVERAGEIFS(C$2:C$313,A$2:A$313,"&gt;="&amp;DATE(YEAR(TODAY()),MONTH(TODAY()),1),A$2:A$313,"&lt;"&amp;DATE(YEAR(TODAY()),MONTH(TODAY())+1,1),B$2:B$313,$B$349),"")</f>
        <v/>
      </c>
      <c r="D349" s="10">
        <f>IFERROR(AVERAGEIFS(D$2:D$313,A$2:A$313,"&gt;="&amp;DATE(YEAR(TODAY()),MONTH(TODAY()),1),A$2:A$313,"&lt;"&amp;DATE(YEAR(TODAY()),MONTH(TODAY())+1,1),B$2:B$313,$B$349),"")</f>
        <v/>
      </c>
      <c r="E349" s="10">
        <f>IFERROR(AVERAGEIFS(E$2:E$313,A$2:A$313,"&gt;="&amp;DATE(YEAR(TODAY()),MONTH(TODAY()),1),A$2:A$313,"&lt;"&amp;DATE(YEAR(TODAY()),MONTH(TODAY())+1,1),B$2:B$313,$B$349),"")</f>
        <v/>
      </c>
      <c r="F349" s="11">
        <f>IFERROR(SUMPRODUCT((YEAR(A$2:A$313)=YEAR(TODAY()))*(MONTH(A$2:A$313)=MONTH(TODAY()))*(B$2:B$313=$B$349)*(F$2:F$313),"")</f>
        <v/>
      </c>
    </row>
    <row r="350">
      <c r="B350" s="2" t="inlineStr">
        <is>
          <t>巴西锂辉石精矿（CIF中国）现货</t>
        </is>
      </c>
      <c r="C350" s="10">
        <f>IFERROR(AVERAGEIFS(C$2:C$313,A$2:A$313,"&gt;="&amp;DATE(YEAR(TODAY()),MONTH(TODAY()),1),A$2:A$313,"&lt;"&amp;DATE(YEAR(TODAY()),MONTH(TODAY())+1,1),B$2:B$313,$B$350),"")</f>
        <v/>
      </c>
      <c r="D350" s="10">
        <f>IFERROR(AVERAGEIFS(D$2:D$313,A$2:A$313,"&gt;="&amp;DATE(YEAR(TODAY()),MONTH(TODAY()),1),A$2:A$313,"&lt;"&amp;DATE(YEAR(TODAY()),MONTH(TODAY())+1,1),B$2:B$313,$B$350),"")</f>
        <v/>
      </c>
      <c r="E350" s="10">
        <f>IFERROR(AVERAGEIFS(E$2:E$313,A$2:A$313,"&gt;="&amp;DATE(YEAR(TODAY()),MONTH(TODAY()),1),A$2:A$313,"&lt;"&amp;DATE(YEAR(TODAY()),MONTH(TODAY())+1,1),B$2:B$313,$B$350),"")</f>
        <v/>
      </c>
      <c r="F350" s="11">
        <f>IFERROR(SUMPRODUCT((YEAR(A$2:A$313)=YEAR(TODAY()))*(MONTH(A$2:A$313)=MONTH(TODAY()))*(B$2:B$313=$B$350)*(F$2:F$313),"")</f>
        <v/>
      </c>
    </row>
    <row r="351">
      <c r="B351" s="2" t="inlineStr">
        <is>
          <t>废旧磷酸铁锂储能正极片</t>
        </is>
      </c>
      <c r="C351" s="10">
        <f>IFERROR(AVERAGEIFS(C$2:C$313,A$2:A$313,"&gt;="&amp;DATE(YEAR(TODAY()),MONTH(TODAY()),1),A$2:A$313,"&lt;"&amp;DATE(YEAR(TODAY()),MONTH(TODAY())+1,1),B$2:B$313,$B$351),"")</f>
        <v/>
      </c>
      <c r="D351" s="10">
        <f>IFERROR(AVERAGEIFS(D$2:D$313,A$2:A$313,"&gt;="&amp;DATE(YEAR(TODAY()),MONTH(TODAY()),1),A$2:A$313,"&lt;"&amp;DATE(YEAR(TODAY()),MONTH(TODAY())+1,1),B$2:B$313,$B$351),"")</f>
        <v/>
      </c>
      <c r="E351" s="10">
        <f>IFERROR(AVERAGEIFS(E$2:E$313,A$2:A$313,"&gt;="&amp;DATE(YEAR(TODAY()),MONTH(TODAY()),1),A$2:A$313,"&lt;"&amp;DATE(YEAR(TODAY()),MONTH(TODAY())+1,1),B$2:B$313,$B$351),"")</f>
        <v/>
      </c>
      <c r="F351" s="11">
        <f>IFERROR(SUMPRODUCT((YEAR(A$2:A$313)=YEAR(TODAY()))*(MONTH(A$2:A$313)=MONTH(TODAY()))*(B$2:B$313=$B$351)*(F$2:F$313),"")</f>
        <v/>
      </c>
    </row>
    <row r="352">
      <c r="B352" s="2" t="inlineStr">
        <is>
          <t>废旧磷酸铁锂动力正极片</t>
        </is>
      </c>
      <c r="C352" s="10">
        <f>IFERROR(AVERAGEIFS(C$2:C$313,A$2:A$313,"&gt;="&amp;DATE(YEAR(TODAY()),MONTH(TODAY()),1),A$2:A$313,"&lt;"&amp;DATE(YEAR(TODAY()),MONTH(TODAY())+1,1),B$2:B$313,$B$352),"")</f>
        <v/>
      </c>
      <c r="D352" s="10">
        <f>IFERROR(AVERAGEIFS(D$2:D$313,A$2:A$313,"&gt;="&amp;DATE(YEAR(TODAY()),MONTH(TODAY()),1),A$2:A$313,"&lt;"&amp;DATE(YEAR(TODAY()),MONTH(TODAY())+1,1),B$2:B$313,$B$352),"")</f>
        <v/>
      </c>
      <c r="E352" s="10">
        <f>IFERROR(AVERAGEIFS(E$2:E$313,A$2:A$313,"&gt;="&amp;DATE(YEAR(TODAY()),MONTH(TODAY()),1),A$2:A$313,"&lt;"&amp;DATE(YEAR(TODAY()),MONTH(TODAY())+1,1),B$2:B$313,$B$352),"")</f>
        <v/>
      </c>
      <c r="F352" s="11">
        <f>IFERROR(SUMPRODUCT((YEAR(A$2:A$313)=YEAR(TODAY()))*(MONTH(A$2:A$313)=MONTH(TODAY()))*(B$2:B$313=$B$352)*(F$2:F$313),"")</f>
        <v/>
      </c>
    </row>
    <row r="353">
      <c r="B353" s="2" t="inlineStr">
        <is>
          <t>废旧磷酸铁锂软包电池</t>
        </is>
      </c>
      <c r="C353" s="10">
        <f>IFERROR(AVERAGEIFS(C$2:C$313,A$2:A$313,"&gt;="&amp;DATE(YEAR(TODAY()),MONTH(TODAY()),1),A$2:A$313,"&lt;"&amp;DATE(YEAR(TODAY()),MONTH(TODAY())+1,1),B$2:B$313,$B$353),"")</f>
        <v/>
      </c>
      <c r="D353" s="10">
        <f>IFERROR(AVERAGEIFS(D$2:D$313,A$2:A$313,"&gt;="&amp;DATE(YEAR(TODAY()),MONTH(TODAY()),1),A$2:A$313,"&lt;"&amp;DATE(YEAR(TODAY()),MONTH(TODAY())+1,1),B$2:B$313,$B$353),"")</f>
        <v/>
      </c>
      <c r="E353" s="10">
        <f>IFERROR(AVERAGEIFS(E$2:E$313,A$2:A$313,"&gt;="&amp;DATE(YEAR(TODAY()),MONTH(TODAY()),1),A$2:A$313,"&lt;"&amp;DATE(YEAR(TODAY()),MONTH(TODAY())+1,1),B$2:B$313,$B$353),"")</f>
        <v/>
      </c>
      <c r="F353" s="11">
        <f>IFERROR(SUMPRODUCT((YEAR(A$2:A$313)=YEAR(TODAY()))*(MONTH(A$2:A$313)=MONTH(TODAY()))*(B$2:B$313=$B$353)*(F$2:F$313),"")</f>
        <v/>
      </c>
    </row>
    <row r="354">
      <c r="B354" s="2" t="inlineStr">
        <is>
          <t>废旧磷酸铁锂钢壳电池</t>
        </is>
      </c>
      <c r="C354" s="10">
        <f>IFERROR(AVERAGEIFS(C$2:C$313,A$2:A$313,"&gt;="&amp;DATE(YEAR(TODAY()),MONTH(TODAY()),1),A$2:A$313,"&lt;"&amp;DATE(YEAR(TODAY()),MONTH(TODAY())+1,1),B$2:B$313,$B$354),"")</f>
        <v/>
      </c>
      <c r="D354" s="10">
        <f>IFERROR(AVERAGEIFS(D$2:D$313,A$2:A$313,"&gt;="&amp;DATE(YEAR(TODAY()),MONTH(TODAY()),1),A$2:A$313,"&lt;"&amp;DATE(YEAR(TODAY()),MONTH(TODAY())+1,1),B$2:B$313,$B$354),"")</f>
        <v/>
      </c>
      <c r="E354" s="10">
        <f>IFERROR(AVERAGEIFS(E$2:E$313,A$2:A$313,"&gt;="&amp;DATE(YEAR(TODAY()),MONTH(TODAY()),1),A$2:A$313,"&lt;"&amp;DATE(YEAR(TODAY()),MONTH(TODAY())+1,1),B$2:B$313,$B$354),"")</f>
        <v/>
      </c>
      <c r="F354" s="11">
        <f>IFERROR(SUMPRODUCT((YEAR(A$2:A$313)=YEAR(TODAY()))*(MONTH(A$2:A$313)=MONTH(TODAY()))*(B$2:B$313=$B$354)*(F$2:F$313),"")</f>
        <v/>
      </c>
    </row>
    <row r="355">
      <c r="B355" s="2" t="inlineStr">
        <is>
          <t>废旧磷酸铁锂铝壳电池</t>
        </is>
      </c>
      <c r="C355" s="10">
        <f>IFERROR(AVERAGEIFS(C$2:C$313,A$2:A$313,"&gt;="&amp;DATE(YEAR(TODAY()),MONTH(TODAY()),1),A$2:A$313,"&lt;"&amp;DATE(YEAR(TODAY()),MONTH(TODAY())+1,1),B$2:B$313,$B$355),"")</f>
        <v/>
      </c>
      <c r="D355" s="10">
        <f>IFERROR(AVERAGEIFS(D$2:D$313,A$2:A$313,"&gt;="&amp;DATE(YEAR(TODAY()),MONTH(TODAY()),1),A$2:A$313,"&lt;"&amp;DATE(YEAR(TODAY()),MONTH(TODAY())+1,1),B$2:B$313,$B$355),"")</f>
        <v/>
      </c>
      <c r="E355" s="10">
        <f>IFERROR(AVERAGEIFS(E$2:E$313,A$2:A$313,"&gt;="&amp;DATE(YEAR(TODAY()),MONTH(TODAY()),1),A$2:A$313,"&lt;"&amp;DATE(YEAR(TODAY()),MONTH(TODAY())+1,1),B$2:B$313,$B$355),"")</f>
        <v/>
      </c>
      <c r="F355" s="11">
        <f>IFERROR(SUMPRODUCT((YEAR(A$2:A$313)=YEAR(TODAY()))*(MONTH(A$2:A$313)=MONTH(TODAY()))*(B$2:B$313=$B$355)*(F$2:F$313),"")</f>
        <v/>
      </c>
    </row>
    <row r="356">
      <c r="B356" s="2" t="inlineStr">
        <is>
          <t>方形磷酸铁锂电池B品</t>
        </is>
      </c>
      <c r="C356" s="10">
        <f>IFERROR(AVERAGEIFS(C$2:C$313,A$2:A$313,"&gt;="&amp;DATE(YEAR(TODAY()),MONTH(TODAY()),1),A$2:A$313,"&lt;"&amp;DATE(YEAR(TODAY()),MONTH(TODAY())+1,1),B$2:B$313,$B$356),"")</f>
        <v/>
      </c>
      <c r="D356" s="10">
        <f>IFERROR(AVERAGEIFS(D$2:D$313,A$2:A$313,"&gt;="&amp;DATE(YEAR(TODAY()),MONTH(TODAY()),1),A$2:A$313,"&lt;"&amp;DATE(YEAR(TODAY()),MONTH(TODAY())+1,1),B$2:B$313,$B$356),"")</f>
        <v/>
      </c>
      <c r="E356" s="10">
        <f>IFERROR(AVERAGEIFS(E$2:E$313,A$2:A$313,"&gt;="&amp;DATE(YEAR(TODAY()),MONTH(TODAY()),1),A$2:A$313,"&lt;"&amp;DATE(YEAR(TODAY()),MONTH(TODAY())+1,1),B$2:B$313,$B$356),"")</f>
        <v/>
      </c>
      <c r="F356" s="11">
        <f>IFERROR(SUMPRODUCT((YEAR(A$2:A$313)=YEAR(TODAY()))*(MONTH(A$2:A$313)=MONTH(TODAY()))*(B$2:B$313=$B$356)*(F$2:F$313),"")</f>
        <v/>
      </c>
    </row>
    <row r="357">
      <c r="B357" s="2" t="inlineStr">
        <is>
          <t>氧化亚镍</t>
        </is>
      </c>
      <c r="C357" s="10">
        <f>IFERROR(AVERAGEIFS(C$2:C$313,A$2:A$313,"&gt;="&amp;DATE(YEAR(TODAY()),MONTH(TODAY()),1),A$2:A$313,"&lt;"&amp;DATE(YEAR(TODAY()),MONTH(TODAY())+1,1),B$2:B$313,$B$357),"")</f>
        <v/>
      </c>
      <c r="D357" s="10">
        <f>IFERROR(AVERAGEIFS(D$2:D$313,A$2:A$313,"&gt;="&amp;DATE(YEAR(TODAY()),MONTH(TODAY()),1),A$2:A$313,"&lt;"&amp;DATE(YEAR(TODAY()),MONTH(TODAY())+1,1),B$2:B$313,$B$357),"")</f>
        <v/>
      </c>
      <c r="E357" s="10">
        <f>IFERROR(AVERAGEIFS(E$2:E$313,A$2:A$313,"&gt;="&amp;DATE(YEAR(TODAY()),MONTH(TODAY()),1),A$2:A$313,"&lt;"&amp;DATE(YEAR(TODAY()),MONTH(TODAY())+1,1),B$2:B$313,$B$357),"")</f>
        <v/>
      </c>
      <c r="F357" s="11">
        <f>IFERROR(SUMPRODUCT((YEAR(A$2:A$313)=YEAR(TODAY()))*(MONTH(A$2:A$313)=MONTH(TODAY()))*(B$2:B$313=$B$357)*(F$2:F$313),"")</f>
        <v/>
      </c>
    </row>
    <row r="358">
      <c r="B358" s="2" t="inlineStr">
        <is>
          <t>氧化钴</t>
        </is>
      </c>
      <c r="C358" s="10">
        <f>IFERROR(AVERAGEIFS(C$2:C$313,A$2:A$313,"&gt;="&amp;DATE(YEAR(TODAY()),MONTH(TODAY()),1),A$2:A$313,"&lt;"&amp;DATE(YEAR(TODAY()),MONTH(TODAY())+1,1),B$2:B$313,$B$358),"")</f>
        <v/>
      </c>
      <c r="D358" s="10">
        <f>IFERROR(AVERAGEIFS(D$2:D$313,A$2:A$313,"&gt;="&amp;DATE(YEAR(TODAY()),MONTH(TODAY()),1),A$2:A$313,"&lt;"&amp;DATE(YEAR(TODAY()),MONTH(TODAY())+1,1),B$2:B$313,$B$358),"")</f>
        <v/>
      </c>
      <c r="E358" s="10">
        <f>IFERROR(AVERAGEIFS(E$2:E$313,A$2:A$313,"&gt;="&amp;DATE(YEAR(TODAY()),MONTH(TODAY()),1),A$2:A$313,"&lt;"&amp;DATE(YEAR(TODAY()),MONTH(TODAY())+1,1),B$2:B$313,$B$358),"")</f>
        <v/>
      </c>
      <c r="F358" s="11">
        <f>IFERROR(SUMPRODUCT((YEAR(A$2:A$313)=YEAR(TODAY()))*(MONTH(A$2:A$313)=MONTH(TODAY()))*(B$2:B$313=$B$358)*(F$2:F$313),"")</f>
        <v/>
      </c>
    </row>
    <row r="359">
      <c r="B359" s="2" t="inlineStr">
        <is>
          <t>氯化钴</t>
        </is>
      </c>
      <c r="C359" s="10">
        <f>IFERROR(AVERAGEIFS(C$2:C$313,A$2:A$313,"&gt;="&amp;DATE(YEAR(TODAY()),MONTH(TODAY()),1),A$2:A$313,"&lt;"&amp;DATE(YEAR(TODAY()),MONTH(TODAY())+1,1),B$2:B$313,$B$359),"")</f>
        <v/>
      </c>
      <c r="D359" s="10">
        <f>IFERROR(AVERAGEIFS(D$2:D$313,A$2:A$313,"&gt;="&amp;DATE(YEAR(TODAY()),MONTH(TODAY()),1),A$2:A$313,"&lt;"&amp;DATE(YEAR(TODAY()),MONTH(TODAY())+1,1),B$2:B$313,$B$359),"")</f>
        <v/>
      </c>
      <c r="E359" s="10">
        <f>IFERROR(AVERAGEIFS(E$2:E$313,A$2:A$313,"&gt;="&amp;DATE(YEAR(TODAY()),MONTH(TODAY()),1),A$2:A$313,"&lt;"&amp;DATE(YEAR(TODAY()),MONTH(TODAY())+1,1),B$2:B$313,$B$359),"")</f>
        <v/>
      </c>
      <c r="F359" s="11">
        <f>IFERROR(SUMPRODUCT((YEAR(A$2:A$313)=YEAR(TODAY()))*(MONTH(A$2:A$313)=MONTH(TODAY()))*(B$2:B$313=$B$359)*(F$2:F$313),"")</f>
        <v/>
      </c>
    </row>
    <row r="360">
      <c r="B360" s="2" t="inlineStr">
        <is>
          <t>氯化镍NiCl₂·6H₂O</t>
        </is>
      </c>
      <c r="C360" s="10">
        <f>IFERROR(AVERAGEIFS(C$2:C$313,A$2:A$313,"&gt;="&amp;DATE(YEAR(TODAY()),MONTH(TODAY()),1),A$2:A$313,"&lt;"&amp;DATE(YEAR(TODAY()),MONTH(TODAY())+1,1),B$2:B$313,$B$360),"")</f>
        <v/>
      </c>
      <c r="D360" s="10">
        <f>IFERROR(AVERAGEIFS(D$2:D$313,A$2:A$313,"&gt;="&amp;DATE(YEAR(TODAY()),MONTH(TODAY()),1),A$2:A$313,"&lt;"&amp;DATE(YEAR(TODAY()),MONTH(TODAY())+1,1),B$2:B$313,$B$360),"")</f>
        <v/>
      </c>
      <c r="E360" s="10">
        <f>IFERROR(AVERAGEIFS(E$2:E$313,A$2:A$313,"&gt;="&amp;DATE(YEAR(TODAY()),MONTH(TODAY()),1),A$2:A$313,"&lt;"&amp;DATE(YEAR(TODAY()),MONTH(TODAY())+1,1),B$2:B$313,$B$360),"")</f>
        <v/>
      </c>
      <c r="F360" s="11">
        <f>IFERROR(SUMPRODUCT((YEAR(A$2:A$313)=YEAR(TODAY()))*(MONTH(A$2:A$313)=MONTH(TODAY()))*(B$2:B$313=$B$360)*(F$2:F$313),"")</f>
        <v/>
      </c>
    </row>
    <row r="361">
      <c r="B361" s="2" t="inlineStr">
        <is>
          <t>津巴布韦锂辉石精矿（CIF中国）现货</t>
        </is>
      </c>
      <c r="C361" s="10">
        <f>IFERROR(AVERAGEIFS(C$2:C$313,A$2:A$313,"&gt;="&amp;DATE(YEAR(TODAY()),MONTH(TODAY()),1),A$2:A$313,"&lt;"&amp;DATE(YEAR(TODAY()),MONTH(TODAY())+1,1),B$2:B$313,$B$361),"")</f>
        <v/>
      </c>
      <c r="D361" s="10">
        <f>IFERROR(AVERAGEIFS(D$2:D$313,A$2:A$313,"&gt;="&amp;DATE(YEAR(TODAY()),MONTH(TODAY()),1),A$2:A$313,"&lt;"&amp;DATE(YEAR(TODAY()),MONTH(TODAY())+1,1),B$2:B$313,$B$361),"")</f>
        <v/>
      </c>
      <c r="E361" s="10">
        <f>IFERROR(AVERAGEIFS(E$2:E$313,A$2:A$313,"&gt;="&amp;DATE(YEAR(TODAY()),MONTH(TODAY()),1),A$2:A$313,"&lt;"&amp;DATE(YEAR(TODAY()),MONTH(TODAY())+1,1),B$2:B$313,$B$361),"")</f>
        <v/>
      </c>
      <c r="F361" s="11">
        <f>IFERROR(SUMPRODUCT((YEAR(A$2:A$313)=YEAR(TODAY()))*(MONTH(A$2:A$313)=MONTH(TODAY()))*(B$2:B$313=$B$361)*(F$2:F$313),"")</f>
        <v/>
      </c>
    </row>
    <row r="362">
      <c r="B362" s="2" t="inlineStr">
        <is>
          <t>澳大利亚锂辉石精矿（CIF中国）现货</t>
        </is>
      </c>
      <c r="C362" s="10">
        <f>IFERROR(AVERAGEIFS(C$2:C$313,A$2:A$313,"&gt;="&amp;DATE(YEAR(TODAY()),MONTH(TODAY()),1),A$2:A$313,"&lt;"&amp;DATE(YEAR(TODAY()),MONTH(TODAY())+1,1),B$2:B$313,$B$362),"")</f>
        <v/>
      </c>
      <c r="D362" s="10">
        <f>IFERROR(AVERAGEIFS(D$2:D$313,A$2:A$313,"&gt;="&amp;DATE(YEAR(TODAY()),MONTH(TODAY()),1),A$2:A$313,"&lt;"&amp;DATE(YEAR(TODAY()),MONTH(TODAY())+1,1),B$2:B$313,$B$362),"")</f>
        <v/>
      </c>
      <c r="E362" s="10">
        <f>IFERROR(AVERAGEIFS(E$2:E$313,A$2:A$313,"&gt;="&amp;DATE(YEAR(TODAY()),MONTH(TODAY()),1),A$2:A$313,"&lt;"&amp;DATE(YEAR(TODAY()),MONTH(TODAY())+1,1),B$2:B$313,$B$362),"")</f>
        <v/>
      </c>
      <c r="F362" s="11">
        <f>IFERROR(SUMPRODUCT((YEAR(A$2:A$313)=YEAR(TODAY()))*(MONTH(A$2:A$313)=MONTH(TODAY()))*(B$2:B$313=$B$362)*(F$2:F$313),"")</f>
        <v/>
      </c>
    </row>
    <row r="363">
      <c r="B363" s="2" t="inlineStr">
        <is>
          <t>电池级无水氯化锂</t>
        </is>
      </c>
      <c r="C363" s="10">
        <f>IFERROR(AVERAGEIFS(C$2:C$313,A$2:A$313,"&gt;="&amp;DATE(YEAR(TODAY()),MONTH(TODAY()),1),A$2:A$313,"&lt;"&amp;DATE(YEAR(TODAY()),MONTH(TODAY())+1,1),B$2:B$313,$B$363),"")</f>
        <v/>
      </c>
      <c r="D363" s="10">
        <f>IFERROR(AVERAGEIFS(D$2:D$313,A$2:A$313,"&gt;="&amp;DATE(YEAR(TODAY()),MONTH(TODAY()),1),A$2:A$313,"&lt;"&amp;DATE(YEAR(TODAY()),MONTH(TODAY())+1,1),B$2:B$313,$B$363),"")</f>
        <v/>
      </c>
      <c r="E363" s="10">
        <f>IFERROR(AVERAGEIFS(E$2:E$313,A$2:A$313,"&gt;="&amp;DATE(YEAR(TODAY()),MONTH(TODAY()),1),A$2:A$313,"&lt;"&amp;DATE(YEAR(TODAY()),MONTH(TODAY())+1,1),B$2:B$313,$B$363),"")</f>
        <v/>
      </c>
      <c r="F363" s="11">
        <f>IFERROR(SUMPRODUCT((YEAR(A$2:A$313)=YEAR(TODAY()))*(MONTH(A$2:A$313)=MONTH(TODAY()))*(B$2:B$313=$B$363)*(F$2:F$313),"")</f>
        <v/>
      </c>
    </row>
    <row r="364">
      <c r="B364" s="2" t="inlineStr">
        <is>
          <t>电池级氟化锂</t>
        </is>
      </c>
      <c r="C364" s="10">
        <f>IFERROR(AVERAGEIFS(C$2:C$313,A$2:A$313,"&gt;="&amp;DATE(YEAR(TODAY()),MONTH(TODAY()),1),A$2:A$313,"&lt;"&amp;DATE(YEAR(TODAY()),MONTH(TODAY())+1,1),B$2:B$313,$B$364),"")</f>
        <v/>
      </c>
      <c r="D364" s="10">
        <f>IFERROR(AVERAGEIFS(D$2:D$313,A$2:A$313,"&gt;="&amp;DATE(YEAR(TODAY()),MONTH(TODAY()),1),A$2:A$313,"&lt;"&amp;DATE(YEAR(TODAY()),MONTH(TODAY())+1,1),B$2:B$313,$B$364),"")</f>
        <v/>
      </c>
      <c r="E364" s="10">
        <f>IFERROR(AVERAGEIFS(E$2:E$313,A$2:A$313,"&gt;="&amp;DATE(YEAR(TODAY()),MONTH(TODAY()),1),A$2:A$313,"&lt;"&amp;DATE(YEAR(TODAY()),MONTH(TODAY())+1,1),B$2:B$313,$B$364),"")</f>
        <v/>
      </c>
      <c r="F364" s="11">
        <f>IFERROR(SUMPRODUCT((YEAR(A$2:A$313)=YEAR(TODAY()))*(MONTH(A$2:A$313)=MONTH(TODAY()))*(B$2:B$313=$B$364)*(F$2:F$313),"")</f>
        <v/>
      </c>
    </row>
    <row r="365">
      <c r="B365" s="2" t="inlineStr">
        <is>
          <t>电池级氢氧化锂(CIF中日韩)</t>
        </is>
      </c>
      <c r="C365" s="10">
        <f>IFERROR(AVERAGEIFS(C$2:C$313,A$2:A$313,"&gt;="&amp;DATE(YEAR(TODAY()),MONTH(TODAY()),1),A$2:A$313,"&lt;"&amp;DATE(YEAR(TODAY()),MONTH(TODAY())+1,1),B$2:B$313,$B$365),"")</f>
        <v/>
      </c>
      <c r="D365" s="10">
        <f>IFERROR(AVERAGEIFS(D$2:D$313,A$2:A$313,"&gt;="&amp;DATE(YEAR(TODAY()),MONTH(TODAY()),1),A$2:A$313,"&lt;"&amp;DATE(YEAR(TODAY()),MONTH(TODAY())+1,1),B$2:B$313,$B$365),"")</f>
        <v/>
      </c>
      <c r="E365" s="10">
        <f>IFERROR(AVERAGEIFS(E$2:E$313,A$2:A$313,"&gt;="&amp;DATE(YEAR(TODAY()),MONTH(TODAY()),1),A$2:A$313,"&lt;"&amp;DATE(YEAR(TODAY()),MONTH(TODAY())+1,1),B$2:B$313,$B$365),"")</f>
        <v/>
      </c>
      <c r="F365" s="11">
        <f>IFERROR(SUMPRODUCT((YEAR(A$2:A$313)=YEAR(TODAY()))*(MONTH(A$2:A$313)=MONTH(TODAY()))*(B$2:B$313=$B$365)*(F$2:F$313),"")</f>
        <v/>
      </c>
    </row>
    <row r="366">
      <c r="B366" s="2" t="inlineStr">
        <is>
          <t>电池级氢氧化锂(CIF韩国)</t>
        </is>
      </c>
      <c r="C366" s="10">
        <f>IFERROR(AVERAGEIFS(C$2:C$313,A$2:A$313,"&gt;="&amp;DATE(YEAR(TODAY()),MONTH(TODAY()),1),A$2:A$313,"&lt;"&amp;DATE(YEAR(TODAY()),MONTH(TODAY())+1,1),B$2:B$313,$B$366),"")</f>
        <v/>
      </c>
      <c r="D366" s="10">
        <f>IFERROR(AVERAGEIFS(D$2:D$313,A$2:A$313,"&gt;="&amp;DATE(YEAR(TODAY()),MONTH(TODAY()),1),A$2:A$313,"&lt;"&amp;DATE(YEAR(TODAY()),MONTH(TODAY())+1,1),B$2:B$313,$B$366),"")</f>
        <v/>
      </c>
      <c r="E366" s="10">
        <f>IFERROR(AVERAGEIFS(E$2:E$313,A$2:A$313,"&gt;="&amp;DATE(YEAR(TODAY()),MONTH(TODAY()),1),A$2:A$313,"&lt;"&amp;DATE(YEAR(TODAY()),MONTH(TODAY())+1,1),B$2:B$313,$B$366),"")</f>
        <v/>
      </c>
      <c r="F366" s="11">
        <f>IFERROR(SUMPRODUCT((YEAR(A$2:A$313)=YEAR(TODAY()))*(MONTH(A$2:A$313)=MONTH(TODAY()))*(B$2:B$313=$B$366)*(F$2:F$313),"")</f>
        <v/>
      </c>
    </row>
    <row r="367">
      <c r="B367" s="2" t="inlineStr">
        <is>
          <t>电池级氢氧化锂(微粉）</t>
        </is>
      </c>
      <c r="C367" s="10">
        <f>IFERROR(AVERAGEIFS(C$2:C$313,A$2:A$313,"&gt;="&amp;DATE(YEAR(TODAY()),MONTH(TODAY()),1),A$2:A$313,"&lt;"&amp;DATE(YEAR(TODAY()),MONTH(TODAY())+1,1),B$2:B$313,$B$367),"")</f>
        <v/>
      </c>
      <c r="D367" s="10">
        <f>IFERROR(AVERAGEIFS(D$2:D$313,A$2:A$313,"&gt;="&amp;DATE(YEAR(TODAY()),MONTH(TODAY()),1),A$2:A$313,"&lt;"&amp;DATE(YEAR(TODAY()),MONTH(TODAY())+1,1),B$2:B$313,$B$367),"")</f>
        <v/>
      </c>
      <c r="E367" s="10">
        <f>IFERROR(AVERAGEIFS(E$2:E$313,A$2:A$313,"&gt;="&amp;DATE(YEAR(TODAY()),MONTH(TODAY()),1),A$2:A$313,"&lt;"&amp;DATE(YEAR(TODAY()),MONTH(TODAY())+1,1),B$2:B$313,$B$367),"")</f>
        <v/>
      </c>
      <c r="F367" s="11">
        <f>IFERROR(SUMPRODUCT((YEAR(A$2:A$313)=YEAR(TODAY()))*(MONTH(A$2:A$313)=MONTH(TODAY()))*(B$2:B$313=$B$367)*(F$2:F$313),"")</f>
        <v/>
      </c>
    </row>
    <row r="368">
      <c r="B368" s="2" t="inlineStr">
        <is>
          <t>电池级氢氧化锂（粗颗粒）</t>
        </is>
      </c>
      <c r="C368" s="10">
        <f>IFERROR(AVERAGEIFS(C$2:C$313,A$2:A$313,"&gt;="&amp;DATE(YEAR(TODAY()),MONTH(TODAY()),1),A$2:A$313,"&lt;"&amp;DATE(YEAR(TODAY()),MONTH(TODAY())+1,1),B$2:B$313,$B$368),"")</f>
        <v/>
      </c>
      <c r="D368" s="10">
        <f>IFERROR(AVERAGEIFS(D$2:D$313,A$2:A$313,"&gt;="&amp;DATE(YEAR(TODAY()),MONTH(TODAY()),1),A$2:A$313,"&lt;"&amp;DATE(YEAR(TODAY()),MONTH(TODAY())+1,1),B$2:B$313,$B$368),"")</f>
        <v/>
      </c>
      <c r="E368" s="10">
        <f>IFERROR(AVERAGEIFS(E$2:E$313,A$2:A$313,"&gt;="&amp;DATE(YEAR(TODAY()),MONTH(TODAY()),1),A$2:A$313,"&lt;"&amp;DATE(YEAR(TODAY()),MONTH(TODAY())+1,1),B$2:B$313,$B$368),"")</f>
        <v/>
      </c>
      <c r="F368" s="11">
        <f>IFERROR(SUMPRODUCT((YEAR(A$2:A$313)=YEAR(TODAY()))*(MONTH(A$2:A$313)=MONTH(TODAY()))*(B$2:B$313=$B$368)*(F$2:F$313),"")</f>
        <v/>
      </c>
    </row>
    <row r="369">
      <c r="B369" s="2" t="inlineStr">
        <is>
          <t>电池级硫酸锰（出厂价）</t>
        </is>
      </c>
      <c r="C369" s="10">
        <f>IFERROR(AVERAGEIFS(C$2:C$313,A$2:A$313,"&gt;="&amp;DATE(YEAR(TODAY()),MONTH(TODAY()),1),A$2:A$313,"&lt;"&amp;DATE(YEAR(TODAY()),MONTH(TODAY())+1,1),B$2:B$313,$B$369),"")</f>
        <v/>
      </c>
      <c r="D369" s="10">
        <f>IFERROR(AVERAGEIFS(D$2:D$313,A$2:A$313,"&gt;="&amp;DATE(YEAR(TODAY()),MONTH(TODAY()),1),A$2:A$313,"&lt;"&amp;DATE(YEAR(TODAY()),MONTH(TODAY())+1,1),B$2:B$313,$B$369),"")</f>
        <v/>
      </c>
      <c r="E369" s="10">
        <f>IFERROR(AVERAGEIFS(E$2:E$313,A$2:A$313,"&gt;="&amp;DATE(YEAR(TODAY()),MONTH(TODAY()),1),A$2:A$313,"&lt;"&amp;DATE(YEAR(TODAY()),MONTH(TODAY())+1,1),B$2:B$313,$B$369),"")</f>
        <v/>
      </c>
      <c r="F369" s="11">
        <f>IFERROR(SUMPRODUCT((YEAR(A$2:A$313)=YEAR(TODAY()))*(MONTH(A$2:A$313)=MONTH(TODAY()))*(B$2:B$313=$B$369)*(F$2:F$313),"")</f>
        <v/>
      </c>
    </row>
    <row r="370">
      <c r="B370" s="2" t="inlineStr">
        <is>
          <t>电池级硫酸镍</t>
        </is>
      </c>
      <c r="C370" s="10">
        <f>IFERROR(AVERAGEIFS(C$2:C$313,A$2:A$313,"&gt;="&amp;DATE(YEAR(TODAY()),MONTH(TODAY()),1),A$2:A$313,"&lt;"&amp;DATE(YEAR(TODAY()),MONTH(TODAY())+1,1),B$2:B$313,$B$370),"")</f>
        <v/>
      </c>
      <c r="D370" s="10">
        <f>IFERROR(AVERAGEIFS(D$2:D$313,A$2:A$313,"&gt;="&amp;DATE(YEAR(TODAY()),MONTH(TODAY()),1),A$2:A$313,"&lt;"&amp;DATE(YEAR(TODAY()),MONTH(TODAY())+1,1),B$2:B$313,$B$370),"")</f>
        <v/>
      </c>
      <c r="E370" s="10">
        <f>IFERROR(AVERAGEIFS(E$2:E$313,A$2:A$313,"&gt;="&amp;DATE(YEAR(TODAY()),MONTH(TODAY()),1),A$2:A$313,"&lt;"&amp;DATE(YEAR(TODAY()),MONTH(TODAY())+1,1),B$2:B$313,$B$370),"")</f>
        <v/>
      </c>
      <c r="F370" s="11">
        <f>IFERROR(SUMPRODUCT((YEAR(A$2:A$313)=YEAR(TODAY()))*(MONTH(A$2:A$313)=MONTH(TODAY()))*(B$2:B$313=$B$370)*(F$2:F$313),"")</f>
        <v/>
      </c>
    </row>
    <row r="371">
      <c r="B371" s="2" t="inlineStr">
        <is>
          <t>电池级碳酸锂</t>
        </is>
      </c>
      <c r="C371" s="10">
        <f>IFERROR(AVERAGEIFS(C$2:C$313,A$2:A$313,"&gt;="&amp;DATE(YEAR(TODAY()),MONTH(TODAY()),1),A$2:A$313,"&lt;"&amp;DATE(YEAR(TODAY()),MONTH(TODAY())+1,1),B$2:B$313,$B$371),"")</f>
        <v/>
      </c>
      <c r="D371" s="10">
        <f>IFERROR(AVERAGEIFS(D$2:D$313,A$2:A$313,"&gt;="&amp;DATE(YEAR(TODAY()),MONTH(TODAY()),1),A$2:A$313,"&lt;"&amp;DATE(YEAR(TODAY()),MONTH(TODAY())+1,1),B$2:B$313,$B$371),"")</f>
        <v/>
      </c>
      <c r="E371" s="10">
        <f>IFERROR(AVERAGEIFS(E$2:E$313,A$2:A$313,"&gt;="&amp;DATE(YEAR(TODAY()),MONTH(TODAY()),1),A$2:A$313,"&lt;"&amp;DATE(YEAR(TODAY()),MONTH(TODAY())+1,1),B$2:B$313,$B$371),"")</f>
        <v/>
      </c>
      <c r="F371" s="11">
        <f>IFERROR(SUMPRODUCT((YEAR(A$2:A$313)=YEAR(TODAY()))*(MONTH(A$2:A$313)=MONTH(TODAY()))*(B$2:B$313=$B$371)*(F$2:F$313),"")</f>
        <v/>
      </c>
    </row>
    <row r="372">
      <c r="B372" s="2" t="inlineStr">
        <is>
          <t>电池级碳酸锂(CIF韩国)</t>
        </is>
      </c>
      <c r="C372" s="10">
        <f>IFERROR(AVERAGEIFS(C$2:C$313,A$2:A$313,"&gt;="&amp;DATE(YEAR(TODAY()),MONTH(TODAY()),1),A$2:A$313,"&lt;"&amp;DATE(YEAR(TODAY()),MONTH(TODAY())+1,1),B$2:B$313,$B$372),"")</f>
        <v/>
      </c>
      <c r="D372" s="10">
        <f>IFERROR(AVERAGEIFS(D$2:D$313,A$2:A$313,"&gt;="&amp;DATE(YEAR(TODAY()),MONTH(TODAY()),1),A$2:A$313,"&lt;"&amp;DATE(YEAR(TODAY()),MONTH(TODAY())+1,1),B$2:B$313,$B$372),"")</f>
        <v/>
      </c>
      <c r="E372" s="10">
        <f>IFERROR(AVERAGEIFS(E$2:E$313,A$2:A$313,"&gt;="&amp;DATE(YEAR(TODAY()),MONTH(TODAY()),1),A$2:A$313,"&lt;"&amp;DATE(YEAR(TODAY()),MONTH(TODAY())+1,1),B$2:B$313,$B$372),"")</f>
        <v/>
      </c>
      <c r="F372" s="11">
        <f>IFERROR(SUMPRODUCT((YEAR(A$2:A$313)=YEAR(TODAY()))*(MONTH(A$2:A$313)=MONTH(TODAY()))*(B$2:B$313=$B$372)*(F$2:F$313),"")</f>
        <v/>
      </c>
    </row>
    <row r="373">
      <c r="B373" s="2" t="inlineStr">
        <is>
          <t>电池级碳酸锂（CIF中日韩）</t>
        </is>
      </c>
      <c r="C373" s="10">
        <f>IFERROR(AVERAGEIFS(C$2:C$313,A$2:A$313,"&gt;="&amp;DATE(YEAR(TODAY()),MONTH(TODAY()),1),A$2:A$313,"&lt;"&amp;DATE(YEAR(TODAY()),MONTH(TODAY())+1,1),B$2:B$313,$B$373),"")</f>
        <v/>
      </c>
      <c r="D373" s="10">
        <f>IFERROR(AVERAGEIFS(D$2:D$313,A$2:A$313,"&gt;="&amp;DATE(YEAR(TODAY()),MONTH(TODAY()),1),A$2:A$313,"&lt;"&amp;DATE(YEAR(TODAY()),MONTH(TODAY())+1,1),B$2:B$313,$B$373),"")</f>
        <v/>
      </c>
      <c r="E373" s="10">
        <f>IFERROR(AVERAGEIFS(E$2:E$313,A$2:A$313,"&gt;="&amp;DATE(YEAR(TODAY()),MONTH(TODAY()),1),A$2:A$313,"&lt;"&amp;DATE(YEAR(TODAY()),MONTH(TODAY())+1,1),B$2:B$313,$B$373),"")</f>
        <v/>
      </c>
      <c r="F373" s="11">
        <f>IFERROR(SUMPRODUCT((YEAR(A$2:A$313)=YEAR(TODAY()))*(MONTH(A$2:A$313)=MONTH(TODAY()))*(B$2:B$313=$B$373)*(F$2:F$313),"")</f>
        <v/>
      </c>
    </row>
    <row r="374">
      <c r="B374" s="2" t="inlineStr">
        <is>
          <t>电池级金属锂</t>
        </is>
      </c>
      <c r="C374" s="10">
        <f>IFERROR(AVERAGEIFS(C$2:C$313,A$2:A$313,"&gt;="&amp;DATE(YEAR(TODAY()),MONTH(TODAY()),1),A$2:A$313,"&lt;"&amp;DATE(YEAR(TODAY()),MONTH(TODAY())+1,1),B$2:B$313,$B$374),"")</f>
        <v/>
      </c>
      <c r="D374" s="10">
        <f>IFERROR(AVERAGEIFS(D$2:D$313,A$2:A$313,"&gt;="&amp;DATE(YEAR(TODAY()),MONTH(TODAY()),1),A$2:A$313,"&lt;"&amp;DATE(YEAR(TODAY()),MONTH(TODAY())+1,1),B$2:B$313,$B$374),"")</f>
        <v/>
      </c>
      <c r="E374" s="10">
        <f>IFERROR(AVERAGEIFS(E$2:E$313,A$2:A$313,"&gt;="&amp;DATE(YEAR(TODAY()),MONTH(TODAY()),1),A$2:A$313,"&lt;"&amp;DATE(YEAR(TODAY()),MONTH(TODAY())+1,1),B$2:B$313,$B$374),"")</f>
        <v/>
      </c>
      <c r="F374" s="11">
        <f>IFERROR(SUMPRODUCT((YEAR(A$2:A$313)=YEAR(TODAY()))*(MONTH(A$2:A$313)=MONTH(TODAY()))*(B$2:B$313=$B$374)*(F$2:F$313),"")</f>
        <v/>
      </c>
    </row>
    <row r="375">
      <c r="B375" s="2" t="inlineStr">
        <is>
          <t>电解钴</t>
        </is>
      </c>
      <c r="C375" s="10">
        <f>IFERROR(AVERAGEIFS(C$2:C$313,A$2:A$313,"&gt;="&amp;DATE(YEAR(TODAY()),MONTH(TODAY()),1),A$2:A$313,"&lt;"&amp;DATE(YEAR(TODAY()),MONTH(TODAY())+1,1),B$2:B$313,$B$375),"")</f>
        <v/>
      </c>
      <c r="D375" s="10">
        <f>IFERROR(AVERAGEIFS(D$2:D$313,A$2:A$313,"&gt;="&amp;DATE(YEAR(TODAY()),MONTH(TODAY()),1),A$2:A$313,"&lt;"&amp;DATE(YEAR(TODAY()),MONTH(TODAY())+1,1),B$2:B$313,$B$375),"")</f>
        <v/>
      </c>
      <c r="E375" s="10">
        <f>IFERROR(AVERAGEIFS(E$2:E$313,A$2:A$313,"&gt;="&amp;DATE(YEAR(TODAY()),MONTH(TODAY()),1),A$2:A$313,"&lt;"&amp;DATE(YEAR(TODAY()),MONTH(TODAY())+1,1),B$2:B$313,$B$375),"")</f>
        <v/>
      </c>
      <c r="F375" s="11">
        <f>IFERROR(SUMPRODUCT((YEAR(A$2:A$313)=YEAR(TODAY()))*(MONTH(A$2:A$313)=MONTH(TODAY()))*(B$2:B$313=$B$375)*(F$2:F$313),"")</f>
        <v/>
      </c>
    </row>
    <row r="376">
      <c r="B376" s="2" t="inlineStr">
        <is>
          <t>电解钴（鹿特丹仓库）</t>
        </is>
      </c>
      <c r="C376" s="10">
        <f>IFERROR(AVERAGEIFS(C$2:C$313,A$2:A$313,"&gt;="&amp;DATE(YEAR(TODAY()),MONTH(TODAY()),1),A$2:A$313,"&lt;"&amp;DATE(YEAR(TODAY()),MONTH(TODAY())+1,1),B$2:B$313,$B$376),"")</f>
        <v/>
      </c>
      <c r="D376" s="10">
        <f>IFERROR(AVERAGEIFS(D$2:D$313,A$2:A$313,"&gt;="&amp;DATE(YEAR(TODAY()),MONTH(TODAY()),1),A$2:A$313,"&lt;"&amp;DATE(YEAR(TODAY()),MONTH(TODAY())+1,1),B$2:B$313,$B$376),"")</f>
        <v/>
      </c>
      <c r="E376" s="10">
        <f>IFERROR(AVERAGEIFS(E$2:E$313,A$2:A$313,"&gt;="&amp;DATE(YEAR(TODAY()),MONTH(TODAY()),1),A$2:A$313,"&lt;"&amp;DATE(YEAR(TODAY()),MONTH(TODAY())+1,1),B$2:B$313,$B$376),"")</f>
        <v/>
      </c>
      <c r="F376" s="11">
        <f>IFERROR(SUMPRODUCT((YEAR(A$2:A$313)=YEAR(TODAY()))*(MONTH(A$2:A$313)=MONTH(TODAY()))*(B$2:B$313=$B$376)*(F$2:F$313),"")</f>
        <v/>
      </c>
    </row>
    <row r="377">
      <c r="B377" s="2" t="inlineStr">
        <is>
          <t>电镀级硫酸镍</t>
        </is>
      </c>
      <c r="C377" s="10">
        <f>IFERROR(AVERAGEIFS(C$2:C$313,A$2:A$313,"&gt;="&amp;DATE(YEAR(TODAY()),MONTH(TODAY()),1),A$2:A$313,"&lt;"&amp;DATE(YEAR(TODAY()),MONTH(TODAY())+1,1),B$2:B$313,$B$377),"")</f>
        <v/>
      </c>
      <c r="D377" s="10">
        <f>IFERROR(AVERAGEIFS(D$2:D$313,A$2:A$313,"&gt;="&amp;DATE(YEAR(TODAY()),MONTH(TODAY()),1),A$2:A$313,"&lt;"&amp;DATE(YEAR(TODAY()),MONTH(TODAY())+1,1),B$2:B$313,$B$377),"")</f>
        <v/>
      </c>
      <c r="E377" s="10">
        <f>IFERROR(AVERAGEIFS(E$2:E$313,A$2:A$313,"&gt;="&amp;DATE(YEAR(TODAY()),MONTH(TODAY()),1),A$2:A$313,"&lt;"&amp;DATE(YEAR(TODAY()),MONTH(TODAY())+1,1),B$2:B$313,$B$377),"")</f>
        <v/>
      </c>
      <c r="F377" s="11">
        <f>IFERROR(SUMPRODUCT((YEAR(A$2:A$313)=YEAR(TODAY()))*(MONTH(A$2:A$313)=MONTH(TODAY()))*(B$2:B$313=$B$377)*(F$2:F$313),"")</f>
        <v/>
      </c>
    </row>
    <row r="378">
      <c r="B378" s="2" t="inlineStr">
        <is>
          <t>硫酸钴</t>
        </is>
      </c>
      <c r="C378" s="10">
        <f>IFERROR(AVERAGEIFS(C$2:C$313,A$2:A$313,"&gt;="&amp;DATE(YEAR(TODAY()),MONTH(TODAY()),1),A$2:A$313,"&lt;"&amp;DATE(YEAR(TODAY()),MONTH(TODAY())+1,1),B$2:B$313,$B$378),"")</f>
        <v/>
      </c>
      <c r="D378" s="10">
        <f>IFERROR(AVERAGEIFS(D$2:D$313,A$2:A$313,"&gt;="&amp;DATE(YEAR(TODAY()),MONTH(TODAY()),1),A$2:A$313,"&lt;"&amp;DATE(YEAR(TODAY()),MONTH(TODAY())+1,1),B$2:B$313,$B$378),"")</f>
        <v/>
      </c>
      <c r="E378" s="10">
        <f>IFERROR(AVERAGEIFS(E$2:E$313,A$2:A$313,"&gt;="&amp;DATE(YEAR(TODAY()),MONTH(TODAY()),1),A$2:A$313,"&lt;"&amp;DATE(YEAR(TODAY()),MONTH(TODAY())+1,1),B$2:B$313,$B$378),"")</f>
        <v/>
      </c>
      <c r="F378" s="11">
        <f>IFERROR(SUMPRODUCT((YEAR(A$2:A$313)=YEAR(TODAY()))*(MONTH(A$2:A$313)=MONTH(TODAY()))*(B$2:B$313=$B$378)*(F$2:F$313),"")</f>
        <v/>
      </c>
    </row>
    <row r="379">
      <c r="B379" s="2" t="inlineStr">
        <is>
          <t>碳酸钴</t>
        </is>
      </c>
      <c r="C379" s="10">
        <f>IFERROR(AVERAGEIFS(C$2:C$313,A$2:A$313,"&gt;="&amp;DATE(YEAR(TODAY()),MONTH(TODAY()),1),A$2:A$313,"&lt;"&amp;DATE(YEAR(TODAY()),MONTH(TODAY())+1,1),B$2:B$313,$B$379),"")</f>
        <v/>
      </c>
      <c r="D379" s="10">
        <f>IFERROR(AVERAGEIFS(D$2:D$313,A$2:A$313,"&gt;="&amp;DATE(YEAR(TODAY()),MONTH(TODAY()),1),A$2:A$313,"&lt;"&amp;DATE(YEAR(TODAY()),MONTH(TODAY())+1,1),B$2:B$313,$B$379),"")</f>
        <v/>
      </c>
      <c r="E379" s="10">
        <f>IFERROR(AVERAGEIFS(E$2:E$313,A$2:A$313,"&gt;="&amp;DATE(YEAR(TODAY()),MONTH(TODAY()),1),A$2:A$313,"&lt;"&amp;DATE(YEAR(TODAY()),MONTH(TODAY())+1,1),B$2:B$313,$B$379),"")</f>
        <v/>
      </c>
      <c r="F379" s="11">
        <f>IFERROR(SUMPRODUCT((YEAR(A$2:A$313)=YEAR(TODAY()))*(MONTH(A$2:A$313)=MONTH(TODAY()))*(B$2:B$313=$B$379)*(F$2:F$313),"")</f>
        <v/>
      </c>
    </row>
    <row r="380">
      <c r="B380" s="2" t="inlineStr">
        <is>
          <t>磷酸铁锂</t>
        </is>
      </c>
      <c r="C380" s="10">
        <f>IFERROR(AVERAGEIFS(C$2:C$313,A$2:A$313,"&gt;="&amp;DATE(YEAR(TODAY()),MONTH(TODAY()),1),A$2:A$313,"&lt;"&amp;DATE(YEAR(TODAY()),MONTH(TODAY())+1,1),B$2:B$313,$B$380),"")</f>
        <v/>
      </c>
      <c r="D380" s="10">
        <f>IFERROR(AVERAGEIFS(D$2:D$313,A$2:A$313,"&gt;="&amp;DATE(YEAR(TODAY()),MONTH(TODAY()),1),A$2:A$313,"&lt;"&amp;DATE(YEAR(TODAY()),MONTH(TODAY())+1,1),B$2:B$313,$B$380),"")</f>
        <v/>
      </c>
      <c r="E380" s="10">
        <f>IFERROR(AVERAGEIFS(E$2:E$313,A$2:A$313,"&gt;="&amp;DATE(YEAR(TODAY()),MONTH(TODAY()),1),A$2:A$313,"&lt;"&amp;DATE(YEAR(TODAY()),MONTH(TODAY())+1,1),B$2:B$313,$B$380),"")</f>
        <v/>
      </c>
      <c r="F380" s="11">
        <f>IFERROR(SUMPRODUCT((YEAR(A$2:A$313)=YEAR(TODAY()))*(MONTH(A$2:A$313)=MONTH(TODAY()))*(B$2:B$313=$B$380)*(F$2:F$313),"")</f>
        <v/>
      </c>
    </row>
    <row r="381">
      <c r="B381" s="2" t="inlineStr">
        <is>
          <t>磷酸锰铁锂</t>
        </is>
      </c>
      <c r="C381" s="10">
        <f>IFERROR(AVERAGEIFS(C$2:C$313,A$2:A$313,"&gt;="&amp;DATE(YEAR(TODAY()),MONTH(TODAY()),1),A$2:A$313,"&lt;"&amp;DATE(YEAR(TODAY()),MONTH(TODAY())+1,1),B$2:B$313,$B$381),"")</f>
        <v/>
      </c>
      <c r="D381" s="10">
        <f>IFERROR(AVERAGEIFS(D$2:D$313,A$2:A$313,"&gt;="&amp;DATE(YEAR(TODAY()),MONTH(TODAY()),1),A$2:A$313,"&lt;"&amp;DATE(YEAR(TODAY()),MONTH(TODAY())+1,1),B$2:B$313,$B$381),"")</f>
        <v/>
      </c>
      <c r="E381" s="10">
        <f>IFERROR(AVERAGEIFS(E$2:E$313,A$2:A$313,"&gt;="&amp;DATE(YEAR(TODAY()),MONTH(TODAY()),1),A$2:A$313,"&lt;"&amp;DATE(YEAR(TODAY()),MONTH(TODAY())+1,1),B$2:B$313,$B$381),"")</f>
        <v/>
      </c>
      <c r="F381" s="11">
        <f>IFERROR(SUMPRODUCT((YEAR(A$2:A$313)=YEAR(TODAY()))*(MONTH(A$2:A$313)=MONTH(TODAY()))*(B$2:B$313=$B$381)*(F$2:F$313),"")</f>
        <v/>
      </c>
    </row>
    <row r="382">
      <c r="B382" s="2" t="inlineStr">
        <is>
          <t>金属钴FOB</t>
        </is>
      </c>
      <c r="C382" s="10">
        <f>IFERROR(AVERAGEIFS(C$2:C$313,A$2:A$313,"&gt;="&amp;DATE(YEAR(TODAY()),MONTH(TODAY()),1),A$2:A$313,"&lt;"&amp;DATE(YEAR(TODAY()),MONTH(TODAY())+1,1),B$2:B$313,$B$382),"")</f>
        <v/>
      </c>
      <c r="D382" s="10">
        <f>IFERROR(AVERAGEIFS(D$2:D$313,A$2:A$313,"&gt;="&amp;DATE(YEAR(TODAY()),MONTH(TODAY()),1),A$2:A$313,"&lt;"&amp;DATE(YEAR(TODAY()),MONTH(TODAY())+1,1),B$2:B$313,$B$382),"")</f>
        <v/>
      </c>
      <c r="E382" s="10">
        <f>IFERROR(AVERAGEIFS(E$2:E$313,A$2:A$313,"&gt;="&amp;DATE(YEAR(TODAY()),MONTH(TODAY()),1),A$2:A$313,"&lt;"&amp;DATE(YEAR(TODAY()),MONTH(TODAY())+1,1),B$2:B$313,$B$382),"")</f>
        <v/>
      </c>
      <c r="F382" s="11">
        <f>IFERROR(SUMPRODUCT((YEAR(A$2:A$313)=YEAR(TODAY()))*(MONTH(A$2:A$313)=MONTH(TODAY()))*(B$2:B$313=$B$382)*(F$2:F$313),"")</f>
        <v/>
      </c>
    </row>
    <row r="383">
      <c r="B383" s="2" t="inlineStr">
        <is>
          <t>钴中间品中钴含量≥30%</t>
        </is>
      </c>
      <c r="C383" s="10">
        <f>IFERROR(AVERAGEIFS(C$2:C$313,A$2:A$313,"&gt;="&amp;DATE(YEAR(TODAY()),MONTH(TODAY()),1),A$2:A$313,"&lt;"&amp;DATE(YEAR(TODAY()),MONTH(TODAY())+1,1),B$2:B$313,$B$383),"")</f>
        <v/>
      </c>
      <c r="D383" s="10">
        <f>IFERROR(AVERAGEIFS(D$2:D$313,A$2:A$313,"&gt;="&amp;DATE(YEAR(TODAY()),MONTH(TODAY()),1),A$2:A$313,"&lt;"&amp;DATE(YEAR(TODAY()),MONTH(TODAY())+1,1),B$2:B$313,$B$383),"")</f>
        <v/>
      </c>
      <c r="E383" s="10">
        <f>IFERROR(AVERAGEIFS(E$2:E$313,A$2:A$313,"&gt;="&amp;DATE(YEAR(TODAY()),MONTH(TODAY()),1),A$2:A$313,"&lt;"&amp;DATE(YEAR(TODAY()),MONTH(TODAY())+1,1),B$2:B$313,$B$383),"")</f>
        <v/>
      </c>
      <c r="F383" s="11">
        <f>IFERROR(SUMPRODUCT((YEAR(A$2:A$313)=YEAR(TODAY()))*(MONTH(A$2:A$313)=MONTH(TODAY()))*(B$2:B$313=$B$383)*(F$2:F$313),"")</f>
        <v/>
      </c>
    </row>
    <row r="384">
      <c r="B384" s="2" t="inlineStr">
        <is>
          <t>钴中间品原料计价系数（对SMM硫酸钴均价）</t>
        </is>
      </c>
      <c r="C384" s="10">
        <f>IFERROR(AVERAGEIFS(C$2:C$313,A$2:A$313,"&gt;="&amp;DATE(YEAR(TODAY()),MONTH(TODAY()),1),A$2:A$313,"&lt;"&amp;DATE(YEAR(TODAY()),MONTH(TODAY())+1,1),B$2:B$313,$B$384),"")</f>
        <v/>
      </c>
      <c r="D384" s="10">
        <f>IFERROR(AVERAGEIFS(D$2:D$313,A$2:A$313,"&gt;="&amp;DATE(YEAR(TODAY()),MONTH(TODAY()),1),A$2:A$313,"&lt;"&amp;DATE(YEAR(TODAY()),MONTH(TODAY())+1,1),B$2:B$313,$B$384),"")</f>
        <v/>
      </c>
      <c r="E384" s="10">
        <f>IFERROR(AVERAGEIFS(E$2:E$313,A$2:A$313,"&gt;="&amp;DATE(YEAR(TODAY()),MONTH(TODAY()),1),A$2:A$313,"&lt;"&amp;DATE(YEAR(TODAY()),MONTH(TODAY())+1,1),B$2:B$313,$B$384),"")</f>
        <v/>
      </c>
      <c r="F384" s="11">
        <f>IFERROR(SUMPRODUCT((YEAR(A$2:A$313)=YEAR(TODAY()))*(MONTH(A$2:A$313)=MONTH(TODAY()))*(B$2:B$313=$B$384)*(F$2:F$313),"")</f>
        <v/>
      </c>
    </row>
    <row r="385">
      <c r="B385" s="2" t="inlineStr">
        <is>
          <t>钴酸锂</t>
        </is>
      </c>
      <c r="C385" s="10">
        <f>IFERROR(AVERAGEIFS(C$2:C$313,A$2:A$313,"&gt;="&amp;DATE(YEAR(TODAY()),MONTH(TODAY()),1),A$2:A$313,"&lt;"&amp;DATE(YEAR(TODAY()),MONTH(TODAY())+1,1),B$2:B$313,$B$385),"")</f>
        <v/>
      </c>
      <c r="D385" s="10">
        <f>IFERROR(AVERAGEIFS(D$2:D$313,A$2:A$313,"&gt;="&amp;DATE(YEAR(TODAY()),MONTH(TODAY()),1),A$2:A$313,"&lt;"&amp;DATE(YEAR(TODAY()),MONTH(TODAY())+1,1),B$2:B$313,$B$385),"")</f>
        <v/>
      </c>
      <c r="E385" s="10">
        <f>IFERROR(AVERAGEIFS(E$2:E$313,A$2:A$313,"&gt;="&amp;DATE(YEAR(TODAY()),MONTH(TODAY()),1),A$2:A$313,"&lt;"&amp;DATE(YEAR(TODAY()),MONTH(TODAY())+1,1),B$2:B$313,$B$385),"")</f>
        <v/>
      </c>
      <c r="F385" s="11">
        <f>IFERROR(SUMPRODUCT((YEAR(A$2:A$313)=YEAR(TODAY()))*(MONTH(A$2:A$313)=MONTH(TODAY()))*(B$2:B$313=$B$385)*(F$2:F$313),"")</f>
        <v/>
      </c>
    </row>
    <row r="386">
      <c r="B386" s="2" t="inlineStr">
        <is>
          <t>钴酸锂聚合物软包</t>
        </is>
      </c>
      <c r="C386" s="10">
        <f>IFERROR(AVERAGEIFS(C$2:C$313,A$2:A$313,"&gt;="&amp;DATE(YEAR(TODAY()),MONTH(TODAY()),1),A$2:A$313,"&lt;"&amp;DATE(YEAR(TODAY()),MONTH(TODAY())+1,1),B$2:B$313,$B$386),"")</f>
        <v/>
      </c>
      <c r="D386" s="10">
        <f>IFERROR(AVERAGEIFS(D$2:D$313,A$2:A$313,"&gt;="&amp;DATE(YEAR(TODAY()),MONTH(TODAY()),1),A$2:A$313,"&lt;"&amp;DATE(YEAR(TODAY()),MONTH(TODAY())+1,1),B$2:B$313,$B$386),"")</f>
        <v/>
      </c>
      <c r="E386" s="10">
        <f>IFERROR(AVERAGEIFS(E$2:E$313,A$2:A$313,"&gt;="&amp;DATE(YEAR(TODAY()),MONTH(TODAY()),1),A$2:A$313,"&lt;"&amp;DATE(YEAR(TODAY()),MONTH(TODAY())+1,1),B$2:B$313,$B$386),"")</f>
        <v/>
      </c>
      <c r="F386" s="11">
        <f>IFERROR(SUMPRODUCT((YEAR(A$2:A$313)=YEAR(TODAY()))*(MONTH(A$2:A$313)=MONTH(TODAY()))*(B$2:B$313=$B$386)*(F$2:F$313),"")</f>
        <v/>
      </c>
    </row>
    <row r="387">
      <c r="B387" s="2" t="inlineStr">
        <is>
          <t>钴酸锂铝壳</t>
        </is>
      </c>
      <c r="C387" s="10">
        <f>IFERROR(AVERAGEIFS(C$2:C$313,A$2:A$313,"&gt;="&amp;DATE(YEAR(TODAY()),MONTH(TODAY()),1),A$2:A$313,"&lt;"&amp;DATE(YEAR(TODAY()),MONTH(TODAY())+1,1),B$2:B$313,$B$387),"")</f>
        <v/>
      </c>
      <c r="D387" s="10">
        <f>IFERROR(AVERAGEIFS(D$2:D$313,A$2:A$313,"&gt;="&amp;DATE(YEAR(TODAY()),MONTH(TODAY()),1),A$2:A$313,"&lt;"&amp;DATE(YEAR(TODAY()),MONTH(TODAY())+1,1),B$2:B$313,$B$387),"")</f>
        <v/>
      </c>
      <c r="E387" s="10">
        <f>IFERROR(AVERAGEIFS(E$2:E$313,A$2:A$313,"&gt;="&amp;DATE(YEAR(TODAY()),MONTH(TODAY()),1),A$2:A$313,"&lt;"&amp;DATE(YEAR(TODAY()),MONTH(TODAY())+1,1),B$2:B$313,$B$387),"")</f>
        <v/>
      </c>
      <c r="F387" s="11">
        <f>IFERROR(SUMPRODUCT((YEAR(A$2:A$313)=YEAR(TODAY()))*(MONTH(A$2:A$313)=MONTH(TODAY()))*(B$2:B$313=$B$387)*(F$2:F$313),"")</f>
        <v/>
      </c>
    </row>
    <row r="388">
      <c r="B388" s="2" t="inlineStr">
        <is>
          <t>锰酸锂圆柱钢壳</t>
        </is>
      </c>
      <c r="C388" s="10">
        <f>IFERROR(AVERAGEIFS(C$2:C$313,A$2:A$313,"&gt;="&amp;DATE(YEAR(TODAY()),MONTH(TODAY()),1),A$2:A$313,"&lt;"&amp;DATE(YEAR(TODAY()),MONTH(TODAY())+1,1),B$2:B$313,$B$388),"")</f>
        <v/>
      </c>
      <c r="D388" s="10">
        <f>IFERROR(AVERAGEIFS(D$2:D$313,A$2:A$313,"&gt;="&amp;DATE(YEAR(TODAY()),MONTH(TODAY()),1),A$2:A$313,"&lt;"&amp;DATE(YEAR(TODAY()),MONTH(TODAY())+1,1),B$2:B$313,$B$388),"")</f>
        <v/>
      </c>
      <c r="E388" s="10">
        <f>IFERROR(AVERAGEIFS(E$2:E$313,A$2:A$313,"&gt;="&amp;DATE(YEAR(TODAY()),MONTH(TODAY()),1),A$2:A$313,"&lt;"&amp;DATE(YEAR(TODAY()),MONTH(TODAY())+1,1),B$2:B$313,$B$388),"")</f>
        <v/>
      </c>
      <c r="F388" s="11">
        <f>IFERROR(SUMPRODUCT((YEAR(A$2:A$313)=YEAR(TODAY()))*(MONTH(A$2:A$313)=MONTH(TODAY()))*(B$2:B$313=$B$388)*(F$2:F$313),"")</f>
        <v/>
      </c>
    </row>
    <row r="389">
      <c r="B389" s="2" t="inlineStr">
        <is>
          <t>非洲硫酸锂(CIF中国)</t>
        </is>
      </c>
      <c r="C389" s="10">
        <f>IFERROR(AVERAGEIFS(C$2:C$313,A$2:A$313,"&gt;="&amp;DATE(YEAR(TODAY()),MONTH(TODAY()),1),A$2:A$313,"&lt;"&amp;DATE(YEAR(TODAY()),MONTH(TODAY())+1,1),B$2:B$313,$B$389),"")</f>
        <v/>
      </c>
      <c r="D389" s="10">
        <f>IFERROR(AVERAGEIFS(D$2:D$313,A$2:A$313,"&gt;="&amp;DATE(YEAR(TODAY()),MONTH(TODAY()),1),A$2:A$313,"&lt;"&amp;DATE(YEAR(TODAY()),MONTH(TODAY())+1,1),B$2:B$313,$B$389),"")</f>
        <v/>
      </c>
      <c r="E389" s="10">
        <f>IFERROR(AVERAGEIFS(E$2:E$313,A$2:A$313,"&gt;="&amp;DATE(YEAR(TODAY()),MONTH(TODAY()),1),A$2:A$313,"&lt;"&amp;DATE(YEAR(TODAY()),MONTH(TODAY())+1,1),B$2:B$313,$B$389),"")</f>
        <v/>
      </c>
      <c r="F389" s="11">
        <f>IFERROR(SUMPRODUCT((YEAR(A$2:A$313)=YEAR(TODAY()))*(MONTH(A$2:A$313)=MONTH(TODAY()))*(B$2:B$313=$B$389)*(F$2:F$313),"")</f>
        <v/>
      </c>
    </row>
    <row r="390">
      <c r="B390" s="2" t="inlineStr">
        <is>
          <t>非洲锂辉石精矿（CIF中国）指数</t>
        </is>
      </c>
      <c r="C390" s="10">
        <f>IFERROR(AVERAGEIFS(C$2:C$313,A$2:A$313,"&gt;="&amp;DATE(YEAR(TODAY()),MONTH(TODAY()),1),A$2:A$313,"&lt;"&amp;DATE(YEAR(TODAY()),MONTH(TODAY())+1,1),B$2:B$313,$B$390),"")</f>
        <v/>
      </c>
      <c r="D390" s="10">
        <f>IFERROR(AVERAGEIFS(D$2:D$313,A$2:A$313,"&gt;="&amp;DATE(YEAR(TODAY()),MONTH(TODAY()),1),A$2:A$313,"&lt;"&amp;DATE(YEAR(TODAY()),MONTH(TODAY())+1,1),B$2:B$313,$B$390),"")</f>
        <v/>
      </c>
      <c r="E390" s="10">
        <f>IFERROR(AVERAGEIFS(E$2:E$313,A$2:A$313,"&gt;="&amp;DATE(YEAR(TODAY()),MONTH(TODAY()),1),A$2:A$313,"&lt;"&amp;DATE(YEAR(TODAY()),MONTH(TODAY())+1,1),B$2:B$313,$B$390),"")</f>
        <v/>
      </c>
      <c r="F390" s="11">
        <f>IFERROR(SUMPRODUCT((YEAR(A$2:A$313)=YEAR(TODAY()))*(MONTH(A$2:A$313)=MONTH(TODAY()))*(B$2:B$313=$B$390)*(F$2:F$313),"")</f>
        <v/>
      </c>
    </row>
  </sheetData>
  <autoFilter ref="A1:H313"/>
  <mergeCells count="1">
    <mergeCell ref="A315:H3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6">
      <c r="A26" s="8" t="inlineStr">
        <is>
          <t>当月均价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>
      <c r="C27" s="2" t="inlineStr">
        <is>
          <t>CME氢氧化锂</t>
        </is>
      </c>
      <c r="D27" s="10">
        <f>IFERROR(AVERAGEIFS(D$2:D$24,A$2:A$24,"&gt;="&amp;DATE(YEAR(TODAY()),MONTH(TODAY()),1),A$2:A$24,"&lt;"&amp;DATE(YEAR(TODAY()),MONTH(TODAY())+1,1),C$2:C$24,$C$27),"")</f>
        <v/>
      </c>
      <c r="E27" s="10">
        <f>IFERROR(AVERAGEIFS(E$2:E$24,A$2:A$24,"&gt;="&amp;DATE(YEAR(TODAY()),MONTH(TODAY()),1),A$2:A$24,"&lt;"&amp;DATE(YEAR(TODAY()),MONTH(TODAY())+1,1),C$2:C$24,$C$27),"")</f>
        <v/>
      </c>
      <c r="F27" s="10">
        <f>IFERROR(AVERAGEIFS(F$2:F$24,A$2:A$24,"&gt;="&amp;DATE(YEAR(TODAY()),MONTH(TODAY()),1),A$2:A$24,"&lt;"&amp;DATE(YEAR(TODAY()),MONTH(TODAY())+1,1),C$2:C$24,$C$27),"")</f>
        <v/>
      </c>
      <c r="G27" s="10">
        <f>IFERROR(AVERAGEIFS(G$2:G$24,A$2:A$24,"&gt;="&amp;DATE(YEAR(TODAY()),MONTH(TODAY()),1),A$2:A$24,"&lt;"&amp;DATE(YEAR(TODAY()),MONTH(TODAY())+1,1),C$2:C$24,$C$27),"")</f>
        <v/>
      </c>
      <c r="H27" s="11">
        <f>IFERROR(SUMPRODUCT((YEAR(A$2:A$24)=YEAR(TODAY()))*(MONTH(A$2:A$24)=MONTH(TODAY()))*(C$2:C$24=$C$27)*(H$2:H$24),"")</f>
        <v/>
      </c>
    </row>
    <row r="28">
      <c r="C28" s="2" t="inlineStr">
        <is>
          <t>CME钴</t>
        </is>
      </c>
      <c r="D28" s="10">
        <f>IFERROR(AVERAGEIFS(D$2:D$24,A$2:A$24,"&gt;="&amp;DATE(YEAR(TODAY()),MONTH(TODAY()),1),A$2:A$24,"&lt;"&amp;DATE(YEAR(TODAY()),MONTH(TODAY())+1,1),C$2:C$24,$C$28),"")</f>
        <v/>
      </c>
      <c r="E28" s="10">
        <f>IFERROR(AVERAGEIFS(E$2:E$24,A$2:A$24,"&gt;="&amp;DATE(YEAR(TODAY()),MONTH(TODAY()),1),A$2:A$24,"&lt;"&amp;DATE(YEAR(TODAY()),MONTH(TODAY())+1,1),C$2:C$24,$C$28),"")</f>
        <v/>
      </c>
      <c r="F28" s="10">
        <f>IFERROR(AVERAGEIFS(F$2:F$24,A$2:A$24,"&gt;="&amp;DATE(YEAR(TODAY()),MONTH(TODAY()),1),A$2:A$24,"&lt;"&amp;DATE(YEAR(TODAY()),MONTH(TODAY())+1,1),C$2:C$24,$C$28),"")</f>
        <v/>
      </c>
      <c r="G28" s="10">
        <f>IFERROR(AVERAGEIFS(G$2:G$24,A$2:A$24,"&gt;="&amp;DATE(YEAR(TODAY()),MONTH(TODAY()),1),A$2:A$24,"&lt;"&amp;DATE(YEAR(TODAY()),MONTH(TODAY())+1,1),C$2:C$24,$C$28),"")</f>
        <v/>
      </c>
      <c r="H28" s="11">
        <f>IFERROR(SUMPRODUCT((YEAR(A$2:A$24)=YEAR(TODAY()))*(MONTH(A$2:A$24)=MONTH(TODAY()))*(C$2:C$24=$C$28)*(H$2:H$24),"")</f>
        <v/>
      </c>
    </row>
    <row r="29">
      <c r="C29" s="2" t="inlineStr">
        <is>
          <t>沪镍(NI)连续</t>
        </is>
      </c>
      <c r="D29" s="10">
        <f>IFERROR(AVERAGEIFS(D$2:D$24,A$2:A$24,"&gt;="&amp;DATE(YEAR(TODAY()),MONTH(TODAY()),1),A$2:A$24,"&lt;"&amp;DATE(YEAR(TODAY()),MONTH(TODAY())+1,1),C$2:C$24,$C$29),"")</f>
        <v/>
      </c>
      <c r="E29" s="10">
        <f>IFERROR(AVERAGEIFS(E$2:E$24,A$2:A$24,"&gt;="&amp;DATE(YEAR(TODAY()),MONTH(TODAY()),1),A$2:A$24,"&lt;"&amp;DATE(YEAR(TODAY()),MONTH(TODAY())+1,1),C$2:C$24,$C$29),"")</f>
        <v/>
      </c>
      <c r="F29" s="10">
        <f>IFERROR(AVERAGEIFS(F$2:F$24,A$2:A$24,"&gt;="&amp;DATE(YEAR(TODAY()),MONTH(TODAY()),1),A$2:A$24,"&lt;"&amp;DATE(YEAR(TODAY()),MONTH(TODAY())+1,1),C$2:C$24,$C$29),"")</f>
        <v/>
      </c>
      <c r="G29" s="10">
        <f>IFERROR(AVERAGEIFS(G$2:G$24,A$2:A$24,"&gt;="&amp;DATE(YEAR(TODAY()),MONTH(TODAY()),1),A$2:A$24,"&lt;"&amp;DATE(YEAR(TODAY()),MONTH(TODAY())+1,1),C$2:C$24,$C$29),"")</f>
        <v/>
      </c>
      <c r="H29" s="11">
        <f>IFERROR(SUMPRODUCT((YEAR(A$2:A$24)=YEAR(TODAY()))*(MONTH(A$2:A$24)=MONTH(TODAY()))*(C$2:C$24=$C$29)*(H$2:H$24),"")</f>
        <v/>
      </c>
    </row>
    <row r="30">
      <c r="C30" s="2" t="inlineStr">
        <is>
          <t>碳酸锂(LC)连续</t>
        </is>
      </c>
      <c r="D30" s="10">
        <f>IFERROR(AVERAGEIFS(D$2:D$24,A$2:A$24,"&gt;="&amp;DATE(YEAR(TODAY()),MONTH(TODAY()),1),A$2:A$24,"&lt;"&amp;DATE(YEAR(TODAY()),MONTH(TODAY())+1,1),C$2:C$24,$C$30),"")</f>
        <v/>
      </c>
      <c r="E30" s="10">
        <f>IFERROR(AVERAGEIFS(E$2:E$24,A$2:A$24,"&gt;="&amp;DATE(YEAR(TODAY()),MONTH(TODAY()),1),A$2:A$24,"&lt;"&amp;DATE(YEAR(TODAY()),MONTH(TODAY())+1,1),C$2:C$24,$C$30),"")</f>
        <v/>
      </c>
      <c r="F30" s="10">
        <f>IFERROR(AVERAGEIFS(F$2:F$24,A$2:A$24,"&gt;="&amp;DATE(YEAR(TODAY()),MONTH(TODAY()),1),A$2:A$24,"&lt;"&amp;DATE(YEAR(TODAY()),MONTH(TODAY())+1,1),C$2:C$24,$C$30),"")</f>
        <v/>
      </c>
      <c r="G30" s="10">
        <f>IFERROR(AVERAGEIFS(G$2:G$24,A$2:A$24,"&gt;="&amp;DATE(YEAR(TODAY()),MONTH(TODAY()),1),A$2:A$24,"&lt;"&amp;DATE(YEAR(TODAY()),MONTH(TODAY())+1,1),C$2:C$24,$C$30),"")</f>
        <v/>
      </c>
      <c r="H30" s="11">
        <f>IFERROR(SUMPRODUCT((YEAR(A$2:A$24)=YEAR(TODAY()))*(MONTH(A$2:A$24)=MONTH(TODAY()))*(C$2:C$24=$C$30)*(H$2:H$24),"")</f>
        <v/>
      </c>
    </row>
    <row r="31">
      <c r="C31" s="2" t="inlineStr">
        <is>
          <t>美元/人民币(USDCNY)</t>
        </is>
      </c>
      <c r="D31" s="10">
        <f>IFERROR(AVERAGEIFS(D$2:D$24,A$2:A$24,"&gt;="&amp;DATE(YEAR(TODAY()),MONTH(TODAY()),1),A$2:A$24,"&lt;"&amp;DATE(YEAR(TODAY()),MONTH(TODAY())+1,1),C$2:C$24,$C$31),"")</f>
        <v/>
      </c>
      <c r="E31" s="10">
        <f>IFERROR(AVERAGEIFS(E$2:E$24,A$2:A$24,"&gt;="&amp;DATE(YEAR(TODAY()),MONTH(TODAY()),1),A$2:A$24,"&lt;"&amp;DATE(YEAR(TODAY()),MONTH(TODAY())+1,1),C$2:C$24,$C$31),"")</f>
        <v/>
      </c>
      <c r="F31" s="10">
        <f>IFERROR(AVERAGEIFS(F$2:F$24,A$2:A$24,"&gt;="&amp;DATE(YEAR(TODAY()),MONTH(TODAY()),1),A$2:A$24,"&lt;"&amp;DATE(YEAR(TODAY()),MONTH(TODAY())+1,1),C$2:C$24,$C$31),"")</f>
        <v/>
      </c>
      <c r="G31" s="10">
        <f>IFERROR(AVERAGEIFS(G$2:G$24,A$2:A$24,"&gt;="&amp;DATE(YEAR(TODAY()),MONTH(TODAY()),1),A$2:A$24,"&lt;"&amp;DATE(YEAR(TODAY()),MONTH(TODAY())+1,1),C$2:C$24,$C$31),"")</f>
        <v/>
      </c>
      <c r="H31" s="11">
        <f>IFERROR(SUMPRODUCT((YEAR(A$2:A$24)=YEAR(TODAY()))*(MONTH(A$2:A$24)=MONTH(TODAY()))*(C$2:C$24=$C$31)*(H$2:H$24),"")</f>
        <v/>
      </c>
    </row>
  </sheetData>
  <autoFilter ref="A1:J24"/>
  <mergeCells count="1">
    <mergeCell ref="A26:J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2026-06-19T08:30:18Z</dcterms:created>
  <dcterms:modified xmlns:dcterms="http://purl.org/dc/terms/" xmlns:xsi="http://www.w3.org/2001/XMLSchema-instance" xsi:type="dcterms:W3CDTF">2026-06-19T08:30:19Z</dcterms:modified>
</cp:coreProperties>
</file>