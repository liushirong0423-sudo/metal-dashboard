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现货" sheetId="1" state="visible" r:id="rId1"/>
    <sheet xmlns:r="http://schemas.openxmlformats.org/officeDocument/2006/relationships" name="期货" sheetId="2" state="visible" r:id="rId2"/>
    <sheet xmlns:r="http://schemas.openxmlformats.org/officeDocument/2006/relationships" name="黑粉计价" sheetId="3" state="visible" r:id="rId3"/>
  </sheets>
  <definedNames>
    <definedName name="_xlnm._FilterDatabase" localSheetId="0" hidden="1">'现货'!$A$1:$H$238</definedName>
    <definedName name="_xlnm._FilterDatabase" localSheetId="1" hidden="1">'期货'!$A$1:$J$19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+#,##0;-#,##0;0"/>
    <numFmt numFmtId="166" formatCode="#,##0.0"/>
    <numFmt numFmtId="167" formatCode="0.0"/>
  </numFmts>
  <fonts count="12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color rgb="002F5496"/>
      <sz val="11"/>
    </font>
    <font>
      <name val="Microsoft YaHei"/>
      <b val="1"/>
      <color rgb="00806000"/>
      <sz val="10"/>
    </font>
    <font>
      <name val="Microsoft YaHei"/>
      <b val="1"/>
      <color rgb="00FFFFFF"/>
      <sz val="14"/>
    </font>
    <font>
      <name val="Microsoft YaHei"/>
      <color rgb="00808080"/>
      <sz val="9"/>
    </font>
    <font>
      <name val="Microsoft YaHei"/>
      <color rgb="00666666"/>
      <sz val="10"/>
    </font>
    <font>
      <name val="Microsoft YaHei"/>
      <b val="1"/>
      <color rgb="00C65911"/>
      <sz val="10"/>
    </font>
    <font>
      <name val="Microsoft YaHei"/>
      <b val="1"/>
      <color rgb="00375623"/>
      <sz val="10"/>
    </font>
    <font>
      <name val="Microsoft YaHei"/>
      <b val="1"/>
      <color rgb="00006100"/>
      <sz val="12"/>
    </font>
    <font>
      <name val="Microsoft YaHei"/>
      <b val="1"/>
      <sz val="10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ED7D31"/>
      </left>
      <right style="medium">
        <color rgb="00ED7D31"/>
      </right>
      <top style="medium">
        <color rgb="00ED7D31"/>
      </top>
      <bottom style="medium">
        <color rgb="00ED7D31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3" fontId="4" fillId="4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0" fontId="5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3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166" fontId="8" fillId="6" borderId="2" applyAlignment="1" pivotButton="0" quotePrefix="0" xfId="0">
      <alignment horizontal="center" vertical="center"/>
    </xf>
    <xf numFmtId="167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0" borderId="1" applyAlignment="1" pivotButton="0" quotePrefix="0" xfId="0">
      <alignment horizontal="left" vertical="center"/>
    </xf>
    <xf numFmtId="167" fontId="6" fillId="0" borderId="1" pivotButton="0" quotePrefix="0" xfId="0"/>
    <xf numFmtId="4" fontId="6" fillId="0" borderId="1" pivotButton="0" quotePrefix="0" xfId="0"/>
    <xf numFmtId="0" fontId="9" fillId="7" borderId="1" applyAlignment="1" pivotButton="0" quotePrefix="0" xfId="0">
      <alignment horizontal="left" vertical="center"/>
    </xf>
    <xf numFmtId="3" fontId="9" fillId="7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3" fontId="10" fillId="8" borderId="1" applyAlignment="1" pivotButton="0" quotePrefix="0" xfId="0">
      <alignment horizontal="right" vertical="center"/>
    </xf>
    <xf numFmtId="0" fontId="10" fillId="8" borderId="1" pivotButton="0" quotePrefix="0" xfId="0"/>
    <xf numFmtId="0" fontId="11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4" customWidth="1" min="8" max="8"/>
  </cols>
  <sheetData>
    <row r="1">
      <c r="A1" s="1" t="inlineStr">
        <is>
          <t>日期</t>
        </is>
      </c>
      <c r="B1" s="1" t="inlineStr">
        <is>
          <t>产品</t>
        </is>
      </c>
      <c r="C1" s="1" t="inlineStr">
        <is>
          <t>最低价</t>
        </is>
      </c>
      <c r="D1" s="1" t="inlineStr">
        <is>
          <t>最高价</t>
        </is>
      </c>
      <c r="E1" s="1" t="inlineStr">
        <is>
          <t>均价</t>
        </is>
      </c>
      <c r="F1" s="1" t="inlineStr">
        <is>
          <t>涨跌</t>
        </is>
      </c>
      <c r="G1" s="1" t="inlineStr">
        <is>
          <t>单位</t>
        </is>
      </c>
      <c r="H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SMM电池级氢氧化锂指数</t>
        </is>
      </c>
      <c r="C2" s="3" t="n">
        <v>157638</v>
      </c>
      <c r="D2" s="4" t="n">
        <v>157638</v>
      </c>
      <c r="E2" s="4" t="n">
        <v>157638</v>
      </c>
      <c r="F2" s="4" t="n">
        <v>2899</v>
      </c>
      <c r="G2" s="5" t="inlineStr">
        <is>
          <t>元/吨</t>
        </is>
      </c>
      <c r="H2" s="5" t="inlineStr">
        <is>
          <t>SMM</t>
        </is>
      </c>
    </row>
    <row r="3">
      <c r="A3" s="2" t="inlineStr">
        <is>
          <t>2026/06/14</t>
        </is>
      </c>
      <c r="B3" s="2" t="inlineStr">
        <is>
          <t>SMM电池级硫酸镍指数</t>
        </is>
      </c>
      <c r="C3" s="3" t="n">
        <v>33038</v>
      </c>
      <c r="D3" s="4" t="n">
        <v>33038</v>
      </c>
      <c r="E3" s="4" t="n">
        <v>33038</v>
      </c>
      <c r="F3" s="4" t="n">
        <v>-135</v>
      </c>
      <c r="G3" s="5" t="inlineStr">
        <is>
          <t>元/吨</t>
        </is>
      </c>
      <c r="H3" s="5" t="inlineStr">
        <is>
          <t>SMM</t>
        </is>
      </c>
    </row>
    <row r="4">
      <c r="A4" s="2" t="inlineStr">
        <is>
          <t>2026/06/14</t>
        </is>
      </c>
      <c r="B4" s="2" t="inlineStr">
        <is>
          <t>SMM电池级碳酸锂指数</t>
        </is>
      </c>
      <c r="C4" s="3" t="n">
        <v>170621</v>
      </c>
      <c r="D4" s="4" t="n">
        <v>170621</v>
      </c>
      <c r="E4" s="4" t="n">
        <v>170621</v>
      </c>
      <c r="F4" s="4" t="n">
        <v>3941</v>
      </c>
      <c r="G4" s="5" t="inlineStr">
        <is>
          <t>元/吨</t>
        </is>
      </c>
      <c r="H4" s="5" t="inlineStr">
        <is>
          <t>SMM</t>
        </is>
      </c>
    </row>
    <row r="5">
      <c r="A5" s="2" t="inlineStr">
        <is>
          <t>2026/06/14</t>
        </is>
      </c>
      <c r="B5" s="2" t="inlineStr">
        <is>
          <t>SMM硫酸钴指数</t>
        </is>
      </c>
      <c r="C5" s="3" t="n">
        <v>89724</v>
      </c>
      <c r="D5" s="4" t="n">
        <v>89724</v>
      </c>
      <c r="E5" s="4" t="n">
        <v>89724</v>
      </c>
      <c r="F5" s="6" t="n">
        <v>-16</v>
      </c>
      <c r="G5" s="5" t="inlineStr">
        <is>
          <t>元/吨</t>
        </is>
      </c>
      <c r="H5" s="5" t="inlineStr">
        <is>
          <t>SMM</t>
        </is>
      </c>
    </row>
    <row r="6">
      <c r="A6" s="2" t="inlineStr">
        <is>
          <t>2026/06/14</t>
        </is>
      </c>
      <c r="B6" s="2" t="inlineStr">
        <is>
          <t>四氧化三钴</t>
        </is>
      </c>
      <c r="C6" s="3" t="n">
        <v>341000</v>
      </c>
      <c r="D6" s="4" t="n">
        <v>350000</v>
      </c>
      <c r="E6" s="4" t="n">
        <v>345500</v>
      </c>
      <c r="F6" s="4" t="n">
        <v>-1500</v>
      </c>
      <c r="G6" s="5" t="inlineStr">
        <is>
          <t>元/吨</t>
        </is>
      </c>
      <c r="H6" s="5" t="inlineStr">
        <is>
          <t>SMM</t>
        </is>
      </c>
    </row>
    <row r="7">
      <c r="A7" s="2" t="inlineStr">
        <is>
          <t>2026/06/14</t>
        </is>
      </c>
      <c r="B7" s="2" t="inlineStr">
        <is>
          <t>工业级碳酸锂</t>
        </is>
      </c>
      <c r="C7" s="3" t="n">
        <v>162000</v>
      </c>
      <c r="D7" s="4" t="n">
        <v>171000</v>
      </c>
      <c r="E7" s="4" t="n">
        <v>166500</v>
      </c>
      <c r="F7" s="4" t="n">
        <v>4000</v>
      </c>
      <c r="G7" s="5" t="inlineStr">
        <is>
          <t>元/吨</t>
        </is>
      </c>
      <c r="H7" s="5" t="inlineStr">
        <is>
          <t>SMM</t>
        </is>
      </c>
    </row>
    <row r="8">
      <c r="A8" s="2" t="inlineStr">
        <is>
          <t>2026/06/14</t>
        </is>
      </c>
      <c r="B8" s="2" t="inlineStr">
        <is>
          <t>氯化钴</t>
        </is>
      </c>
      <c r="C8" s="3" t="n">
        <v>110000</v>
      </c>
      <c r="D8" s="4" t="n">
        <v>115000</v>
      </c>
      <c r="E8" s="4" t="n">
        <v>112500</v>
      </c>
      <c r="F8" s="4" t="n">
        <v>0</v>
      </c>
      <c r="G8" s="5" t="inlineStr">
        <is>
          <t>元/吨</t>
        </is>
      </c>
      <c r="H8" s="5" t="inlineStr">
        <is>
          <t>SMM</t>
        </is>
      </c>
    </row>
    <row r="9">
      <c r="A9" s="2" t="inlineStr">
        <is>
          <t>2026/06/14</t>
        </is>
      </c>
      <c r="B9" s="2" t="inlineStr">
        <is>
          <t>电池级氢氧化锂（粗颗粒）</t>
        </is>
      </c>
      <c r="C9" s="3" t="n">
        <v>149000</v>
      </c>
      <c r="D9" s="4" t="n">
        <v>164000</v>
      </c>
      <c r="E9" s="4" t="n">
        <v>156500</v>
      </c>
      <c r="F9" s="4" t="n">
        <v>4000</v>
      </c>
      <c r="G9" s="5" t="inlineStr">
        <is>
          <t>元/吨</t>
        </is>
      </c>
      <c r="H9" s="5" t="inlineStr">
        <is>
          <t>SMM</t>
        </is>
      </c>
    </row>
    <row r="10">
      <c r="A10" s="2" t="inlineStr">
        <is>
          <t>2026/06/14</t>
        </is>
      </c>
      <c r="B10" s="2" t="inlineStr">
        <is>
          <t>电池级硫酸镍</t>
        </is>
      </c>
      <c r="C10" s="3" t="n">
        <v>33400</v>
      </c>
      <c r="D10" s="4" t="n">
        <v>33800</v>
      </c>
      <c r="E10" s="4" t="n">
        <v>33600</v>
      </c>
      <c r="F10" s="4" t="n">
        <v>-100</v>
      </c>
      <c r="G10" s="5" t="inlineStr">
        <is>
          <t>元/吨</t>
        </is>
      </c>
      <c r="H10" s="5" t="inlineStr">
        <is>
          <t>SMM</t>
        </is>
      </c>
    </row>
    <row r="11">
      <c r="A11" s="2" t="inlineStr">
        <is>
          <t>2026/06/14</t>
        </is>
      </c>
      <c r="B11" s="2" t="inlineStr">
        <is>
          <t>电池级碳酸锂</t>
        </is>
      </c>
      <c r="C11" s="3" t="n">
        <v>166000</v>
      </c>
      <c r="D11" s="4" t="n">
        <v>175000</v>
      </c>
      <c r="E11" s="4" t="n">
        <v>170500</v>
      </c>
      <c r="F11" s="4" t="n">
        <v>4000</v>
      </c>
      <c r="G11" s="5" t="inlineStr">
        <is>
          <t>元/吨</t>
        </is>
      </c>
      <c r="H11" s="5" t="inlineStr">
        <is>
          <t>SMM</t>
        </is>
      </c>
    </row>
    <row r="12">
      <c r="A12" s="2" t="inlineStr">
        <is>
          <t>2026/06/14</t>
        </is>
      </c>
      <c r="B12" s="2" t="inlineStr">
        <is>
          <t>电解钴</t>
        </is>
      </c>
      <c r="C12" s="3" t="n">
        <v>385000</v>
      </c>
      <c r="D12" s="4" t="n">
        <v>412000</v>
      </c>
      <c r="E12" s="4" t="n">
        <v>398500</v>
      </c>
      <c r="F12" s="4" t="n">
        <v>-4000</v>
      </c>
      <c r="G12" s="5" t="inlineStr">
        <is>
          <t>元/吨</t>
        </is>
      </c>
      <c r="H12" s="5" t="inlineStr">
        <is>
          <t>SMM</t>
        </is>
      </c>
    </row>
    <row r="13">
      <c r="A13" s="2" t="inlineStr">
        <is>
          <t>2026/06/14</t>
        </is>
      </c>
      <c r="B13" s="2" t="inlineStr">
        <is>
          <t>硫酸钴</t>
        </is>
      </c>
      <c r="C13" s="3" t="n">
        <v>88500</v>
      </c>
      <c r="D13" s="4" t="n">
        <v>91500</v>
      </c>
      <c r="E13" s="4" t="n">
        <v>90000</v>
      </c>
      <c r="F13" s="4" t="n">
        <v>0</v>
      </c>
      <c r="G13" s="5" t="inlineStr">
        <is>
          <t>元/吨</t>
        </is>
      </c>
      <c r="H13" s="5" t="inlineStr">
        <is>
          <t>SMM</t>
        </is>
      </c>
    </row>
    <row r="14">
      <c r="A14" s="2" t="inlineStr">
        <is>
          <t>2026/06/15</t>
        </is>
      </c>
      <c r="B14" s="2" t="inlineStr">
        <is>
          <t>5系三元前驱体</t>
        </is>
      </c>
      <c r="C14" s="3" t="n">
        <v>101450</v>
      </c>
      <c r="D14" s="4" t="n">
        <v>106650</v>
      </c>
      <c r="E14" s="4" t="n">
        <v>104050</v>
      </c>
      <c r="F14" s="4" t="n">
        <v>-200</v>
      </c>
      <c r="G14" s="5" t="inlineStr">
        <is>
          <t>元/吨</t>
        </is>
      </c>
      <c r="H14" s="5" t="inlineStr">
        <is>
          <t>SMM</t>
        </is>
      </c>
    </row>
    <row r="15">
      <c r="A15" s="2" t="inlineStr">
        <is>
          <t>2026/06/15</t>
        </is>
      </c>
      <c r="B15" s="2" t="inlineStr">
        <is>
          <t>5系三元材料</t>
        </is>
      </c>
      <c r="C15" s="3" t="n">
        <v>186900</v>
      </c>
      <c r="D15" s="4" t="n">
        <v>195800</v>
      </c>
      <c r="E15" s="4" t="n">
        <v>191350</v>
      </c>
      <c r="F15" s="4" t="n">
        <v>-400</v>
      </c>
      <c r="G15" s="5" t="inlineStr">
        <is>
          <t>元/吨</t>
        </is>
      </c>
      <c r="H15" s="5" t="inlineStr">
        <is>
          <t>SMM</t>
        </is>
      </c>
    </row>
    <row r="16">
      <c r="A16" s="2" t="inlineStr">
        <is>
          <t>2026/06/15</t>
        </is>
      </c>
      <c r="B16" s="2" t="inlineStr">
        <is>
          <t>6系三元前驱体（单晶/动力型）</t>
        </is>
      </c>
      <c r="C16" s="3" t="n">
        <v>94200</v>
      </c>
      <c r="D16" s="4" t="n">
        <v>98900</v>
      </c>
      <c r="E16" s="4" t="n">
        <v>96550</v>
      </c>
      <c r="F16" s="4" t="n">
        <v>-100</v>
      </c>
      <c r="G16" s="5" t="inlineStr">
        <is>
          <t>元/吨</t>
        </is>
      </c>
      <c r="H16" s="5" t="inlineStr">
        <is>
          <t>SMM</t>
        </is>
      </c>
    </row>
    <row r="17">
      <c r="A17" s="2" t="inlineStr">
        <is>
          <t>2026/06/15</t>
        </is>
      </c>
      <c r="B17" s="2" t="inlineStr">
        <is>
          <t>6系三元材料（单晶/动力型）</t>
        </is>
      </c>
      <c r="C17" s="3" t="n">
        <v>191000</v>
      </c>
      <c r="D17" s="4" t="n">
        <v>200500</v>
      </c>
      <c r="E17" s="4" t="n">
        <v>195750</v>
      </c>
      <c r="F17" s="4" t="n">
        <v>-300</v>
      </c>
      <c r="G17" s="5" t="inlineStr">
        <is>
          <t>元/吨</t>
        </is>
      </c>
      <c r="H17" s="5" t="inlineStr">
        <is>
          <t>SMM</t>
        </is>
      </c>
    </row>
    <row r="18">
      <c r="A18" s="2" t="inlineStr">
        <is>
          <t>2026/06/15</t>
        </is>
      </c>
      <c r="B18" s="2" t="inlineStr">
        <is>
          <t>8系三元前驱体（多晶/动力型）</t>
        </is>
      </c>
      <c r="C18" s="3" t="n">
        <v>116650</v>
      </c>
      <c r="D18" s="4" t="n">
        <v>122450</v>
      </c>
      <c r="E18" s="4" t="n">
        <v>119550</v>
      </c>
      <c r="F18" s="4" t="n">
        <v>-150</v>
      </c>
      <c r="G18" s="5" t="inlineStr">
        <is>
          <t>元/吨</t>
        </is>
      </c>
      <c r="H18" s="5" t="inlineStr">
        <is>
          <t>SMM</t>
        </is>
      </c>
    </row>
    <row r="19">
      <c r="A19" s="2" t="inlineStr">
        <is>
          <t>2026/06/15</t>
        </is>
      </c>
      <c r="B19" s="2" t="inlineStr">
        <is>
          <t>8系三元材料</t>
        </is>
      </c>
      <c r="C19" s="3" t="n">
        <v>214300</v>
      </c>
      <c r="D19" s="4" t="n">
        <v>223900</v>
      </c>
      <c r="E19" s="4" t="n">
        <v>219100</v>
      </c>
      <c r="F19" s="4" t="n">
        <v>-400</v>
      </c>
      <c r="G19" s="5" t="inlineStr">
        <is>
          <t>元/吨</t>
        </is>
      </c>
      <c r="H19" s="5" t="inlineStr">
        <is>
          <t>SMM</t>
        </is>
      </c>
    </row>
    <row r="20">
      <c r="A20" s="2" t="inlineStr">
        <is>
          <t>2026/06/15</t>
        </is>
      </c>
      <c r="B20" s="2" t="inlineStr">
        <is>
          <t>MHP系数（对SMM电池级硫酸镍指数）</t>
        </is>
      </c>
      <c r="C20" s="7" t="n">
        <v>85</v>
      </c>
      <c r="D20" s="6" t="n">
        <v>86</v>
      </c>
      <c r="E20" s="6" t="n">
        <v>85.5</v>
      </c>
      <c r="F20" s="6" t="n">
        <v>0.5</v>
      </c>
      <c r="G20" s="5" t="inlineStr">
        <is>
          <t>%</t>
        </is>
      </c>
      <c r="H20" s="5" t="inlineStr">
        <is>
          <t>SMM</t>
        </is>
      </c>
    </row>
    <row r="21">
      <c r="A21" s="2" t="inlineStr">
        <is>
          <t>2026/06/15</t>
        </is>
      </c>
      <c r="B21" s="2" t="inlineStr">
        <is>
          <t>MHP钴元素计价系数（对SMM硫酸钴均价）</t>
        </is>
      </c>
      <c r="C21" s="7" t="n">
        <v>92</v>
      </c>
      <c r="D21" s="6" t="n">
        <v>93</v>
      </c>
      <c r="E21" s="6" t="n">
        <v>92.5</v>
      </c>
      <c r="F21" s="4" t="n">
        <v>0</v>
      </c>
      <c r="G21" s="5" t="inlineStr">
        <is>
          <t>%</t>
        </is>
      </c>
      <c r="H21" s="5" t="inlineStr">
        <is>
          <t>SMM</t>
        </is>
      </c>
    </row>
    <row r="22">
      <c r="A22" s="2" t="inlineStr">
        <is>
          <t>2026/06/15</t>
        </is>
      </c>
      <c r="B22" s="2" t="inlineStr">
        <is>
          <t>NCA三元材料</t>
        </is>
      </c>
      <c r="C22" s="3" t="n">
        <v>211600</v>
      </c>
      <c r="D22" s="4" t="n">
        <v>219900</v>
      </c>
      <c r="E22" s="4" t="n">
        <v>215750</v>
      </c>
      <c r="F22" s="4" t="n">
        <v>-600</v>
      </c>
      <c r="G22" s="5" t="inlineStr">
        <is>
          <t>元/吨</t>
        </is>
      </c>
      <c r="H22" s="5" t="inlineStr">
        <is>
          <t>SMM</t>
        </is>
      </c>
    </row>
    <row r="23">
      <c r="A23" s="2" t="inlineStr">
        <is>
          <t>2026/06/15</t>
        </is>
      </c>
      <c r="B23" s="2" t="inlineStr">
        <is>
          <t>SMM三元极片粉钴系数指数</t>
        </is>
      </c>
      <c r="C23" s="7" t="n">
        <v>79</v>
      </c>
      <c r="D23" s="6" t="n">
        <v>79</v>
      </c>
      <c r="E23" s="6" t="n">
        <v>79</v>
      </c>
      <c r="F23" s="4" t="n">
        <v>0</v>
      </c>
      <c r="G23" s="5" t="inlineStr">
        <is>
          <t>%</t>
        </is>
      </c>
      <c r="H23" s="5" t="inlineStr">
        <is>
          <t>SMM</t>
        </is>
      </c>
    </row>
    <row r="24">
      <c r="A24" s="2" t="inlineStr">
        <is>
          <t>2026/06/15</t>
        </is>
      </c>
      <c r="B24" s="2" t="inlineStr">
        <is>
          <t>SMM三元极片粉锂系数指数</t>
        </is>
      </c>
      <c r="C24" s="7" t="n">
        <v>79.05</v>
      </c>
      <c r="D24" s="6" t="n">
        <v>79.05</v>
      </c>
      <c r="E24" s="6" t="n">
        <v>79.05</v>
      </c>
      <c r="F24" s="4" t="n">
        <v>0</v>
      </c>
      <c r="G24" s="5" t="inlineStr">
        <is>
          <t>%</t>
        </is>
      </c>
      <c r="H24" s="5" t="inlineStr">
        <is>
          <t>SMM</t>
        </is>
      </c>
    </row>
    <row r="25">
      <c r="A25" s="2" t="inlineStr">
        <is>
          <t>2026/06/15</t>
        </is>
      </c>
      <c r="B25" s="2" t="inlineStr">
        <is>
          <t>SMM三元极片粉镍系数指数</t>
        </is>
      </c>
      <c r="C25" s="7" t="n">
        <v>79.05</v>
      </c>
      <c r="D25" s="6" t="n">
        <v>79.05</v>
      </c>
      <c r="E25" s="6" t="n">
        <v>79.05</v>
      </c>
      <c r="F25" s="4" t="n">
        <v>0</v>
      </c>
      <c r="G25" s="5" t="inlineStr">
        <is>
          <t>%</t>
        </is>
      </c>
      <c r="H25" s="5" t="inlineStr">
        <is>
          <t>SMM</t>
        </is>
      </c>
    </row>
    <row r="26">
      <c r="A26" s="2" t="inlineStr">
        <is>
          <t>2026/06/15</t>
        </is>
      </c>
      <c r="B26" s="2" t="inlineStr">
        <is>
          <t>SMM三元电池粉钴系数指数</t>
        </is>
      </c>
      <c r="C26" s="7" t="n">
        <v>75.72</v>
      </c>
      <c r="D26" s="6" t="n">
        <v>75.72</v>
      </c>
      <c r="E26" s="6" t="n">
        <v>75.72</v>
      </c>
      <c r="F26" s="6" t="n">
        <v>-0.13</v>
      </c>
      <c r="G26" s="5" t="inlineStr">
        <is>
          <t>%</t>
        </is>
      </c>
      <c r="H26" s="5" t="inlineStr">
        <is>
          <t>SMM</t>
        </is>
      </c>
    </row>
    <row r="27">
      <c r="A27" s="2" t="inlineStr">
        <is>
          <t>2026/06/15</t>
        </is>
      </c>
      <c r="B27" s="2" t="inlineStr">
        <is>
          <t>SMM三元电池粉锂系数指数</t>
        </is>
      </c>
      <c r="C27" s="7" t="n">
        <v>75.83</v>
      </c>
      <c r="D27" s="6" t="n">
        <v>75.83</v>
      </c>
      <c r="E27" s="6" t="n">
        <v>75.83</v>
      </c>
      <c r="F27" s="6" t="n">
        <v>-0.16</v>
      </c>
      <c r="G27" s="5" t="inlineStr">
        <is>
          <t>%</t>
        </is>
      </c>
      <c r="H27" s="5" t="inlineStr">
        <is>
          <t>SMM</t>
        </is>
      </c>
    </row>
    <row r="28">
      <c r="A28" s="2" t="inlineStr">
        <is>
          <t>2026/06/15</t>
        </is>
      </c>
      <c r="B28" s="2" t="inlineStr">
        <is>
          <t>SMM三元电池粉镍系数指数</t>
        </is>
      </c>
      <c r="C28" s="7" t="n">
        <v>75.83</v>
      </c>
      <c r="D28" s="6" t="n">
        <v>75.83</v>
      </c>
      <c r="E28" s="6" t="n">
        <v>75.83</v>
      </c>
      <c r="F28" s="6" t="n">
        <v>-0.16</v>
      </c>
      <c r="G28" s="5" t="inlineStr">
        <is>
          <t>%</t>
        </is>
      </c>
      <c r="H28" s="5" t="inlineStr">
        <is>
          <t>SMM</t>
        </is>
      </c>
    </row>
    <row r="29">
      <c r="A29" s="2" t="inlineStr">
        <is>
          <t>2026/06/15</t>
        </is>
      </c>
      <c r="B29" s="2" t="inlineStr">
        <is>
          <t>SMM六氟磷酸锂指数</t>
        </is>
      </c>
      <c r="C29" s="3" t="n">
        <v>102407</v>
      </c>
      <c r="D29" s="4" t="n">
        <v>106587</v>
      </c>
      <c r="E29" s="4" t="n">
        <v>104497</v>
      </c>
      <c r="F29" s="6" t="n">
        <v>-76.5</v>
      </c>
      <c r="G29" s="5" t="inlineStr">
        <is>
          <t>元/吨</t>
        </is>
      </c>
      <c r="H29" s="5" t="inlineStr">
        <is>
          <t>SMM</t>
        </is>
      </c>
    </row>
    <row r="30">
      <c r="A30" s="2" t="inlineStr">
        <is>
          <t>2026/06/15</t>
        </is>
      </c>
      <c r="B30" s="2" t="inlineStr">
        <is>
          <t>SMM电池级氢氧化锂指数</t>
        </is>
      </c>
      <c r="C30" s="3" t="n">
        <v>155318</v>
      </c>
      <c r="D30" s="4" t="n">
        <v>155318</v>
      </c>
      <c r="E30" s="4" t="n">
        <v>155318</v>
      </c>
      <c r="F30" s="4" t="n">
        <v>-2320</v>
      </c>
      <c r="G30" s="5" t="inlineStr">
        <is>
          <t>元/吨</t>
        </is>
      </c>
      <c r="H30" s="5" t="inlineStr">
        <is>
          <t>SMM</t>
        </is>
      </c>
    </row>
    <row r="31">
      <c r="A31" s="2" t="inlineStr">
        <is>
          <t>2026/06/15</t>
        </is>
      </c>
      <c r="B31" s="2" t="inlineStr">
        <is>
          <t>SMM电池级硫酸锰指数</t>
        </is>
      </c>
      <c r="C31" s="3" t="n">
        <v>7646</v>
      </c>
      <c r="D31" s="4" t="n">
        <v>7646</v>
      </c>
      <c r="E31" s="4" t="n">
        <v>7646</v>
      </c>
      <c r="F31" s="6" t="n">
        <v>6</v>
      </c>
      <c r="G31" s="5" t="inlineStr">
        <is>
          <t>元/吨</t>
        </is>
      </c>
      <c r="H31" s="5" t="inlineStr">
        <is>
          <t>SMM</t>
        </is>
      </c>
    </row>
    <row r="32">
      <c r="A32" s="2" t="inlineStr">
        <is>
          <t>2026/06/15</t>
        </is>
      </c>
      <c r="B32" s="2" t="inlineStr">
        <is>
          <t>SMM电池级硫酸镍指数</t>
        </is>
      </c>
      <c r="C32" s="3" t="n">
        <v>33050</v>
      </c>
      <c r="D32" s="4" t="n">
        <v>33050</v>
      </c>
      <c r="E32" s="4" t="n">
        <v>33050</v>
      </c>
      <c r="F32" s="6" t="n">
        <v>12</v>
      </c>
      <c r="G32" s="5" t="inlineStr">
        <is>
          <t>元/吨</t>
        </is>
      </c>
      <c r="H32" s="5" t="inlineStr">
        <is>
          <t>SMM</t>
        </is>
      </c>
    </row>
    <row r="33">
      <c r="A33" s="2" t="inlineStr">
        <is>
          <t>2026/06/15</t>
        </is>
      </c>
      <c r="B33" s="2" t="inlineStr">
        <is>
          <t>SMM电池级碳酸锂指数</t>
        </is>
      </c>
      <c r="C33" s="3" t="n">
        <v>170885</v>
      </c>
      <c r="D33" s="4" t="n">
        <v>170885</v>
      </c>
      <c r="E33" s="4" t="n">
        <v>170885</v>
      </c>
      <c r="F33" s="4" t="n">
        <v>264</v>
      </c>
      <c r="G33" s="5" t="inlineStr">
        <is>
          <t>元/吨</t>
        </is>
      </c>
      <c r="H33" s="5" t="inlineStr">
        <is>
          <t>SMM</t>
        </is>
      </c>
    </row>
    <row r="34">
      <c r="A34" s="2" t="inlineStr">
        <is>
          <t>2026/06/15</t>
        </is>
      </c>
      <c r="B34" s="2" t="inlineStr">
        <is>
          <t>SMM硫酸钴指数</t>
        </is>
      </c>
      <c r="C34" s="3" t="n">
        <v>89058</v>
      </c>
      <c r="D34" s="4" t="n">
        <v>89058</v>
      </c>
      <c r="E34" s="4" t="n">
        <v>89058</v>
      </c>
      <c r="F34" s="4" t="n">
        <v>-666</v>
      </c>
      <c r="G34" s="5" t="inlineStr">
        <is>
          <t>元/吨</t>
        </is>
      </c>
      <c r="H34" s="5" t="inlineStr">
        <is>
          <t>SMM</t>
        </is>
      </c>
    </row>
    <row r="35">
      <c r="A35" s="2" t="inlineStr">
        <is>
          <t>2026/06/15</t>
        </is>
      </c>
      <c r="B35" s="2" t="inlineStr">
        <is>
          <t>SMM磷酸铁锂极片粉指数</t>
        </is>
      </c>
      <c r="C35" s="3" t="n">
        <v>7494</v>
      </c>
      <c r="D35" s="4" t="n">
        <v>7494</v>
      </c>
      <c r="E35" s="4" t="n">
        <v>7494</v>
      </c>
      <c r="F35" s="6" t="n">
        <v>58</v>
      </c>
      <c r="G35" s="5" t="inlineStr">
        <is>
          <t>元/锂点</t>
        </is>
      </c>
      <c r="H35" s="5" t="inlineStr">
        <is>
          <t>SMM</t>
        </is>
      </c>
    </row>
    <row r="36">
      <c r="A36" s="2" t="inlineStr">
        <is>
          <t>2026/06/15</t>
        </is>
      </c>
      <c r="B36" s="2" t="inlineStr">
        <is>
          <t>SMM磷酸铁锂电池粉指数</t>
        </is>
      </c>
      <c r="C36" s="3" t="n">
        <v>7062</v>
      </c>
      <c r="D36" s="4" t="n">
        <v>7062</v>
      </c>
      <c r="E36" s="4" t="n">
        <v>7062</v>
      </c>
      <c r="F36" s="6" t="n">
        <v>1</v>
      </c>
      <c r="G36" s="5" t="inlineStr">
        <is>
          <t>元/锂点</t>
        </is>
      </c>
      <c r="H36" s="5" t="inlineStr">
        <is>
          <t>SMM</t>
        </is>
      </c>
    </row>
    <row r="37">
      <c r="A37" s="2" t="inlineStr">
        <is>
          <t>2026/06/15</t>
        </is>
      </c>
      <c r="B37" s="2" t="inlineStr">
        <is>
          <t>SMM钴酸锂极片粉钴系数指数</t>
        </is>
      </c>
      <c r="C37" s="7" t="n">
        <v>82.53</v>
      </c>
      <c r="D37" s="6" t="n">
        <v>82.53</v>
      </c>
      <c r="E37" s="6" t="n">
        <v>82.53</v>
      </c>
      <c r="F37" s="6" t="n">
        <v>-0.78</v>
      </c>
      <c r="G37" s="5" t="inlineStr">
        <is>
          <t>%</t>
        </is>
      </c>
      <c r="H37" s="5" t="inlineStr">
        <is>
          <t>SMM</t>
        </is>
      </c>
    </row>
    <row r="38">
      <c r="A38" s="2" t="inlineStr">
        <is>
          <t>2026/06/15</t>
        </is>
      </c>
      <c r="B38" s="2" t="inlineStr">
        <is>
          <t>SMM钴酸锂极片粉锂系数指数</t>
        </is>
      </c>
      <c r="C38" s="7" t="n">
        <v>76.5</v>
      </c>
      <c r="D38" s="6" t="n">
        <v>76.5</v>
      </c>
      <c r="E38" s="6" t="n">
        <v>76.5</v>
      </c>
      <c r="F38" s="6" t="n">
        <v>-0.26</v>
      </c>
      <c r="G38" s="5" t="inlineStr">
        <is>
          <t>%</t>
        </is>
      </c>
      <c r="H38" s="5" t="inlineStr">
        <is>
          <t>SMM</t>
        </is>
      </c>
    </row>
    <row r="39">
      <c r="A39" s="2" t="inlineStr">
        <is>
          <t>2026/06/15</t>
        </is>
      </c>
      <c r="B39" s="2" t="inlineStr">
        <is>
          <t>SMM钴酸锂电池粉钴系数指数</t>
        </is>
      </c>
      <c r="C39" s="7" t="n">
        <v>80.13</v>
      </c>
      <c r="D39" s="6" t="n">
        <v>80.13</v>
      </c>
      <c r="E39" s="6" t="n">
        <v>80.13</v>
      </c>
      <c r="F39" s="6" t="n">
        <v>-0.92</v>
      </c>
      <c r="G39" s="5" t="inlineStr">
        <is>
          <t>%</t>
        </is>
      </c>
      <c r="H39" s="5" t="inlineStr">
        <is>
          <t>SMM</t>
        </is>
      </c>
    </row>
    <row r="40">
      <c r="A40" s="2" t="inlineStr">
        <is>
          <t>2026/06/15</t>
        </is>
      </c>
      <c r="B40" s="2" t="inlineStr">
        <is>
          <t>SMM钴酸锂电池粉锂系数指数</t>
        </is>
      </c>
      <c r="C40" s="7" t="n">
        <v>76.11</v>
      </c>
      <c r="D40" s="6" t="n">
        <v>76.11</v>
      </c>
      <c r="E40" s="6" t="n">
        <v>76.11</v>
      </c>
      <c r="F40" s="6" t="n">
        <v>-0.31</v>
      </c>
      <c r="G40" s="5" t="inlineStr">
        <is>
          <t>%</t>
        </is>
      </c>
      <c r="H40" s="5" t="inlineStr">
        <is>
          <t>SMM</t>
        </is>
      </c>
    </row>
    <row r="41">
      <c r="A41" s="2" t="inlineStr">
        <is>
          <t>2026/06/15</t>
        </is>
      </c>
      <c r="B41" s="2" t="inlineStr">
        <is>
          <t>三元方壳锂电B品</t>
        </is>
      </c>
      <c r="C41" s="7" t="n">
        <v>0.75</v>
      </c>
      <c r="D41" s="6" t="n">
        <v>0.85</v>
      </c>
      <c r="E41" s="6" t="n">
        <v>0.8</v>
      </c>
      <c r="F41" s="4" t="n">
        <v>0</v>
      </c>
      <c r="G41" s="5" t="inlineStr">
        <is>
          <t>元/Ah</t>
        </is>
      </c>
      <c r="H41" s="5" t="inlineStr">
        <is>
          <t>SMM</t>
        </is>
      </c>
    </row>
    <row r="42">
      <c r="A42" s="2" t="inlineStr">
        <is>
          <t>2026/06/15</t>
        </is>
      </c>
      <c r="B42" s="2" t="inlineStr">
        <is>
          <t>六氟磷酸锂（国产）</t>
        </is>
      </c>
      <c r="C42" s="3" t="n">
        <v>110000</v>
      </c>
      <c r="D42" s="4" t="n">
        <v>118000</v>
      </c>
      <c r="E42" s="4" t="n">
        <v>114000</v>
      </c>
      <c r="F42" s="4" t="n">
        <v>0</v>
      </c>
      <c r="G42" s="5" t="inlineStr">
        <is>
          <t>元/吨</t>
        </is>
      </c>
      <c r="H42" s="5" t="inlineStr">
        <is>
          <t>SMM</t>
        </is>
      </c>
    </row>
    <row r="43">
      <c r="A43" s="2" t="inlineStr">
        <is>
          <t>2026/06/15</t>
        </is>
      </c>
      <c r="B43" s="2" t="inlineStr">
        <is>
          <t>四氧化三钴</t>
        </is>
      </c>
      <c r="C43" s="3" t="n">
        <v>339000</v>
      </c>
      <c r="D43" s="4" t="n">
        <v>350000</v>
      </c>
      <c r="E43" s="4" t="n">
        <v>344500</v>
      </c>
      <c r="F43" s="4" t="n">
        <v>-1000</v>
      </c>
      <c r="G43" s="5" t="inlineStr">
        <is>
          <t>元/吨</t>
        </is>
      </c>
      <c r="H43" s="5" t="inlineStr">
        <is>
          <t>SMM</t>
        </is>
      </c>
    </row>
    <row r="44">
      <c r="A44" s="2" t="inlineStr">
        <is>
          <t>2026/06/15</t>
        </is>
      </c>
      <c r="B44" s="2" t="inlineStr">
        <is>
          <t>四氧化三锰（电池级）</t>
        </is>
      </c>
      <c r="C44" s="3" t="n">
        <v>14000</v>
      </c>
      <c r="D44" s="4" t="n">
        <v>16000</v>
      </c>
      <c r="E44" s="4" t="n">
        <v>15000</v>
      </c>
      <c r="F44" s="4" t="n">
        <v>0</v>
      </c>
      <c r="G44" s="5" t="inlineStr">
        <is>
          <t>元/吨</t>
        </is>
      </c>
      <c r="H44" s="5" t="inlineStr">
        <is>
          <t>SMM</t>
        </is>
      </c>
    </row>
    <row r="45">
      <c r="A45" s="2" t="inlineStr">
        <is>
          <t>2026/06/15</t>
        </is>
      </c>
      <c r="B45" s="2" t="inlineStr">
        <is>
          <t>工业级氢氧化锂</t>
        </is>
      </c>
      <c r="C45" s="3" t="n">
        <v>139000</v>
      </c>
      <c r="D45" s="4" t="n">
        <v>146000</v>
      </c>
      <c r="E45" s="4" t="n">
        <v>142500</v>
      </c>
      <c r="F45" s="4" t="n">
        <v>-1500</v>
      </c>
      <c r="G45" s="5" t="inlineStr">
        <is>
          <t>元/吨</t>
        </is>
      </c>
      <c r="H45" s="5" t="inlineStr">
        <is>
          <t>SMM</t>
        </is>
      </c>
    </row>
    <row r="46">
      <c r="A46" s="2" t="inlineStr">
        <is>
          <t>2026/06/15</t>
        </is>
      </c>
      <c r="B46" s="2" t="inlineStr">
        <is>
          <t>工业级碳酸锂</t>
        </is>
      </c>
      <c r="C46" s="3" t="n">
        <v>162000</v>
      </c>
      <c r="D46" s="4" t="n">
        <v>171000</v>
      </c>
      <c r="E46" s="4" t="n">
        <v>166500</v>
      </c>
      <c r="F46" s="4" t="n">
        <v>0</v>
      </c>
      <c r="G46" s="5" t="inlineStr">
        <is>
          <t>元/吨</t>
        </is>
      </c>
      <c r="H46" s="5" t="inlineStr">
        <is>
          <t>SMM</t>
        </is>
      </c>
    </row>
    <row r="47">
      <c r="A47" s="2" t="inlineStr">
        <is>
          <t>2026/06/15</t>
        </is>
      </c>
      <c r="B47" s="2" t="inlineStr">
        <is>
          <t>工业级金属锂</t>
        </is>
      </c>
      <c r="C47" s="3" t="n">
        <v>1070000</v>
      </c>
      <c r="D47" s="4" t="n">
        <v>1140000</v>
      </c>
      <c r="E47" s="4" t="n">
        <v>1105000</v>
      </c>
      <c r="F47" s="4" t="n">
        <v>0</v>
      </c>
      <c r="G47" s="5" t="inlineStr">
        <is>
          <t>元/吨</t>
        </is>
      </c>
      <c r="H47" s="5" t="inlineStr">
        <is>
          <t>SMM</t>
        </is>
      </c>
    </row>
    <row r="48">
      <c r="A48" s="2" t="inlineStr">
        <is>
          <t>2026/06/15</t>
        </is>
      </c>
      <c r="B48" s="2" t="inlineStr">
        <is>
          <t>巴西锂辉石精矿（CIF中国）现货</t>
        </is>
      </c>
      <c r="C48" s="3" t="n">
        <v>2430</v>
      </c>
      <c r="D48" s="4" t="n">
        <v>2550</v>
      </c>
      <c r="E48" s="4" t="n">
        <v>2490</v>
      </c>
      <c r="F48" s="6" t="n">
        <v>-5</v>
      </c>
      <c r="G48" s="5" t="inlineStr">
        <is>
          <t>美元/吨</t>
        </is>
      </c>
      <c r="H48" s="5" t="inlineStr">
        <is>
          <t>SMM</t>
        </is>
      </c>
    </row>
    <row r="49">
      <c r="A49" s="2" t="inlineStr">
        <is>
          <t>2026/06/15</t>
        </is>
      </c>
      <c r="B49" s="2" t="inlineStr">
        <is>
          <t>废旧磷酸铁锂储能正极片</t>
        </is>
      </c>
      <c r="C49" s="3" t="n">
        <v>22400</v>
      </c>
      <c r="D49" s="4" t="n">
        <v>25550</v>
      </c>
      <c r="E49" s="4" t="n">
        <v>23975</v>
      </c>
      <c r="F49" s="4" t="n">
        <v>325</v>
      </c>
      <c r="G49" s="5" t="inlineStr">
        <is>
          <t>元/吨</t>
        </is>
      </c>
      <c r="H49" s="5" t="inlineStr">
        <is>
          <t>SMM</t>
        </is>
      </c>
    </row>
    <row r="50">
      <c r="A50" s="2" t="inlineStr">
        <is>
          <t>2026/06/15</t>
        </is>
      </c>
      <c r="B50" s="2" t="inlineStr">
        <is>
          <t>废旧磷酸铁锂动力正极片</t>
        </is>
      </c>
      <c r="C50" s="3" t="n">
        <v>26600</v>
      </c>
      <c r="D50" s="4" t="n">
        <v>30750</v>
      </c>
      <c r="E50" s="4" t="n">
        <v>28675</v>
      </c>
      <c r="F50" s="4" t="n">
        <v>425</v>
      </c>
      <c r="G50" s="5" t="inlineStr">
        <is>
          <t>元/吨</t>
        </is>
      </c>
      <c r="H50" s="5" t="inlineStr">
        <is>
          <t>SMM</t>
        </is>
      </c>
    </row>
    <row r="51">
      <c r="A51" s="2" t="inlineStr">
        <is>
          <t>2026/06/15</t>
        </is>
      </c>
      <c r="B51" s="2" t="inlineStr">
        <is>
          <t>废旧磷酸铁锂软包电池</t>
        </is>
      </c>
      <c r="C51" s="3" t="n">
        <v>16600</v>
      </c>
      <c r="D51" s="4" t="n">
        <v>18300</v>
      </c>
      <c r="E51" s="4" t="n">
        <v>17450</v>
      </c>
      <c r="F51" s="4" t="n">
        <v>0</v>
      </c>
      <c r="G51" s="5" t="inlineStr">
        <is>
          <t>元/吨</t>
        </is>
      </c>
      <c r="H51" s="5" t="inlineStr">
        <is>
          <t>SMM</t>
        </is>
      </c>
    </row>
    <row r="52">
      <c r="A52" s="2" t="inlineStr">
        <is>
          <t>2026/06/15</t>
        </is>
      </c>
      <c r="B52" s="2" t="inlineStr">
        <is>
          <t>废旧磷酸铁锂钢壳电池</t>
        </is>
      </c>
      <c r="C52" s="3" t="n">
        <v>10800</v>
      </c>
      <c r="D52" s="4" t="n">
        <v>11800</v>
      </c>
      <c r="E52" s="4" t="n">
        <v>11300</v>
      </c>
      <c r="F52" s="4" t="n">
        <v>0</v>
      </c>
      <c r="G52" s="5" t="inlineStr">
        <is>
          <t>元/吨</t>
        </is>
      </c>
      <c r="H52" s="5" t="inlineStr">
        <is>
          <t>SMM</t>
        </is>
      </c>
    </row>
    <row r="53">
      <c r="A53" s="2" t="inlineStr">
        <is>
          <t>2026/06/15</t>
        </is>
      </c>
      <c r="B53" s="2" t="inlineStr">
        <is>
          <t>废旧磷酸铁锂铝壳电池</t>
        </is>
      </c>
      <c r="C53" s="3" t="n">
        <v>17800</v>
      </c>
      <c r="D53" s="4" t="n">
        <v>19300</v>
      </c>
      <c r="E53" s="4" t="n">
        <v>18550</v>
      </c>
      <c r="F53" s="4" t="n">
        <v>0</v>
      </c>
      <c r="G53" s="5" t="inlineStr">
        <is>
          <t>元/吨</t>
        </is>
      </c>
      <c r="H53" s="5" t="inlineStr">
        <is>
          <t>SMM</t>
        </is>
      </c>
    </row>
    <row r="54">
      <c r="A54" s="2" t="inlineStr">
        <is>
          <t>2026/06/15</t>
        </is>
      </c>
      <c r="B54" s="2" t="inlineStr">
        <is>
          <t>方形磷酸铁锂电池B品</t>
        </is>
      </c>
      <c r="C54" s="7" t="n">
        <v>0.68</v>
      </c>
      <c r="D54" s="6" t="n">
        <v>0.8</v>
      </c>
      <c r="E54" s="6" t="n">
        <v>0.74</v>
      </c>
      <c r="F54" s="4" t="n">
        <v>0</v>
      </c>
      <c r="G54" s="5" t="inlineStr">
        <is>
          <t>元/Ah</t>
        </is>
      </c>
      <c r="H54" s="5" t="inlineStr">
        <is>
          <t>SMM</t>
        </is>
      </c>
    </row>
    <row r="55">
      <c r="A55" s="2" t="inlineStr">
        <is>
          <t>2026/06/15</t>
        </is>
      </c>
      <c r="B55" s="2" t="inlineStr">
        <is>
          <t>氧化亚镍</t>
        </is>
      </c>
      <c r="C55" s="3" t="n">
        <v>118000</v>
      </c>
      <c r="D55" s="4" t="n">
        <v>126000</v>
      </c>
      <c r="E55" s="4" t="n">
        <v>122000</v>
      </c>
      <c r="F55" s="4" t="n">
        <v>0</v>
      </c>
      <c r="G55" s="5" t="inlineStr">
        <is>
          <t>元/吨</t>
        </is>
      </c>
      <c r="H55" s="5" t="inlineStr">
        <is>
          <t>SMM</t>
        </is>
      </c>
    </row>
    <row r="56">
      <c r="A56" s="2" t="inlineStr">
        <is>
          <t>2026/06/15</t>
        </is>
      </c>
      <c r="B56" s="2" t="inlineStr">
        <is>
          <t>氧化钴</t>
        </is>
      </c>
      <c r="C56" s="3" t="n">
        <v>315000</v>
      </c>
      <c r="D56" s="4" t="n">
        <v>330000</v>
      </c>
      <c r="E56" s="4" t="n">
        <v>322500</v>
      </c>
      <c r="F56" s="4" t="n">
        <v>-5500</v>
      </c>
      <c r="G56" s="5" t="inlineStr">
        <is>
          <t>元/吨</t>
        </is>
      </c>
      <c r="H56" s="5" t="inlineStr">
        <is>
          <t>SMM</t>
        </is>
      </c>
    </row>
    <row r="57">
      <c r="A57" s="2" t="inlineStr">
        <is>
          <t>2026/06/15</t>
        </is>
      </c>
      <c r="B57" s="2" t="inlineStr">
        <is>
          <t>氯化钴</t>
        </is>
      </c>
      <c r="C57" s="3" t="n">
        <v>108000</v>
      </c>
      <c r="D57" s="4" t="n">
        <v>114000</v>
      </c>
      <c r="E57" s="4" t="n">
        <v>111000</v>
      </c>
      <c r="F57" s="4" t="n">
        <v>-1500</v>
      </c>
      <c r="G57" s="5" t="inlineStr">
        <is>
          <t>元/吨</t>
        </is>
      </c>
      <c r="H57" s="5" t="inlineStr">
        <is>
          <t>SMM</t>
        </is>
      </c>
    </row>
    <row r="58">
      <c r="A58" s="2" t="inlineStr">
        <is>
          <t>2026/06/15</t>
        </is>
      </c>
      <c r="B58" s="2" t="inlineStr">
        <is>
          <t>氯化镍NiCl₂·6H₂O</t>
        </is>
      </c>
      <c r="C58" s="3" t="n">
        <v>39000</v>
      </c>
      <c r="D58" s="4" t="n">
        <v>41000</v>
      </c>
      <c r="E58" s="4" t="n">
        <v>40000</v>
      </c>
      <c r="F58" s="4" t="n">
        <v>0</v>
      </c>
      <c r="G58" s="5" t="inlineStr">
        <is>
          <t>元/吨</t>
        </is>
      </c>
      <c r="H58" s="5" t="inlineStr">
        <is>
          <t>SMM</t>
        </is>
      </c>
    </row>
    <row r="59">
      <c r="A59" s="2" t="inlineStr">
        <is>
          <t>2026/06/15</t>
        </is>
      </c>
      <c r="B59" s="2" t="inlineStr">
        <is>
          <t>津巴布韦锂辉石精矿（CIF中国）现货</t>
        </is>
      </c>
      <c r="C59" s="3" t="n">
        <v>2420</v>
      </c>
      <c r="D59" s="4" t="n">
        <v>2530</v>
      </c>
      <c r="E59" s="4" t="n">
        <v>2475</v>
      </c>
      <c r="F59" s="4" t="n">
        <v>125</v>
      </c>
      <c r="G59" s="5" t="inlineStr">
        <is>
          <t>美元/吨</t>
        </is>
      </c>
      <c r="H59" s="5" t="inlineStr">
        <is>
          <t>SMM</t>
        </is>
      </c>
    </row>
    <row r="60">
      <c r="A60" s="2" t="inlineStr">
        <is>
          <t>2026/06/15</t>
        </is>
      </c>
      <c r="B60" s="2" t="inlineStr">
        <is>
          <t>澳大利亚锂辉石精矿（CIF中国）现货</t>
        </is>
      </c>
      <c r="C60" s="3" t="n">
        <v>2450</v>
      </c>
      <c r="D60" s="4" t="n">
        <v>2560</v>
      </c>
      <c r="E60" s="4" t="n">
        <v>2505</v>
      </c>
      <c r="F60" s="6" t="n">
        <v>-5</v>
      </c>
      <c r="G60" s="5" t="inlineStr">
        <is>
          <t>美元/吨</t>
        </is>
      </c>
      <c r="H60" s="5" t="inlineStr">
        <is>
          <t>SMM</t>
        </is>
      </c>
    </row>
    <row r="61">
      <c r="A61" s="2" t="inlineStr">
        <is>
          <t>2026/06/15</t>
        </is>
      </c>
      <c r="B61" s="2" t="inlineStr">
        <is>
          <t>电池级无水氯化锂</t>
        </is>
      </c>
      <c r="C61" s="3" t="n">
        <v>235</v>
      </c>
      <c r="D61" s="4" t="n">
        <v>295</v>
      </c>
      <c r="E61" s="4" t="n">
        <v>265</v>
      </c>
      <c r="F61" s="4" t="n">
        <v>0</v>
      </c>
      <c r="G61" s="5" t="inlineStr">
        <is>
          <t>元/千克</t>
        </is>
      </c>
      <c r="H61" s="5" t="inlineStr">
        <is>
          <t>SMM</t>
        </is>
      </c>
    </row>
    <row r="62">
      <c r="A62" s="2" t="inlineStr">
        <is>
          <t>2026/06/15</t>
        </is>
      </c>
      <c r="B62" s="2" t="inlineStr">
        <is>
          <t>电池级氟化锂</t>
        </is>
      </c>
      <c r="C62" s="3" t="n">
        <v>288000</v>
      </c>
      <c r="D62" s="4" t="n">
        <v>295000</v>
      </c>
      <c r="E62" s="4" t="n">
        <v>291500</v>
      </c>
      <c r="F62" s="4" t="n">
        <v>0</v>
      </c>
      <c r="G62" s="5" t="inlineStr">
        <is>
          <t>元/吨</t>
        </is>
      </c>
      <c r="H62" s="5" t="inlineStr">
        <is>
          <t>SMM</t>
        </is>
      </c>
    </row>
    <row r="63">
      <c r="A63" s="2" t="inlineStr">
        <is>
          <t>2026/06/15</t>
        </is>
      </c>
      <c r="B63" s="2" t="inlineStr">
        <is>
          <t>电池级氢氧化锂(CIF中日韩)</t>
        </is>
      </c>
      <c r="C63" s="7" t="n">
        <v>18.25</v>
      </c>
      <c r="D63" s="6" t="n">
        <v>21.15</v>
      </c>
      <c r="E63" s="6" t="n">
        <v>19.7</v>
      </c>
      <c r="F63" s="6" t="n">
        <v>-0.125</v>
      </c>
      <c r="G63" s="5" t="inlineStr">
        <is>
          <t>美元/千克</t>
        </is>
      </c>
      <c r="H63" s="5" t="inlineStr">
        <is>
          <t>SMM</t>
        </is>
      </c>
    </row>
    <row r="64">
      <c r="A64" s="2" t="inlineStr">
        <is>
          <t>2026/06/15</t>
        </is>
      </c>
      <c r="B64" s="2" t="inlineStr">
        <is>
          <t>电池级氢氧化锂(CIF韩国)</t>
        </is>
      </c>
      <c r="C64" s="7" t="n">
        <v>18.1</v>
      </c>
      <c r="D64" s="6" t="n">
        <v>21.1</v>
      </c>
      <c r="E64" s="6" t="n">
        <v>19.6</v>
      </c>
      <c r="F64" s="6" t="n">
        <v>-0.13</v>
      </c>
      <c r="G64" s="5" t="inlineStr">
        <is>
          <t>美元/千克</t>
        </is>
      </c>
      <c r="H64" s="5" t="inlineStr">
        <is>
          <t>SMM</t>
        </is>
      </c>
    </row>
    <row r="65">
      <c r="A65" s="2" t="inlineStr">
        <is>
          <t>2026/06/15</t>
        </is>
      </c>
      <c r="B65" s="2" t="inlineStr">
        <is>
          <t>电池级氢氧化锂(微粉）</t>
        </is>
      </c>
      <c r="C65" s="3" t="n">
        <v>154000</v>
      </c>
      <c r="D65" s="4" t="n">
        <v>168000</v>
      </c>
      <c r="E65" s="4" t="n">
        <v>161000</v>
      </c>
      <c r="F65" s="4" t="n">
        <v>-1500</v>
      </c>
      <c r="G65" s="5" t="inlineStr">
        <is>
          <t>元/吨</t>
        </is>
      </c>
      <c r="H65" s="5" t="inlineStr">
        <is>
          <t>SMM</t>
        </is>
      </c>
    </row>
    <row r="66">
      <c r="A66" s="2" t="inlineStr">
        <is>
          <t>2026/06/15</t>
        </is>
      </c>
      <c r="B66" s="2" t="inlineStr">
        <is>
          <t>电池级氢氧化锂（粗颗粒）</t>
        </is>
      </c>
      <c r="C66" s="3" t="n">
        <v>148000</v>
      </c>
      <c r="D66" s="4" t="n">
        <v>162000</v>
      </c>
      <c r="E66" s="4" t="n">
        <v>155000</v>
      </c>
      <c r="F66" s="4" t="n">
        <v>-1500</v>
      </c>
      <c r="G66" s="5" t="inlineStr">
        <is>
          <t>元/吨</t>
        </is>
      </c>
      <c r="H66" s="5" t="inlineStr">
        <is>
          <t>SMM</t>
        </is>
      </c>
    </row>
    <row r="67">
      <c r="A67" s="2" t="inlineStr">
        <is>
          <t>2026/06/15</t>
        </is>
      </c>
      <c r="B67" s="2" t="inlineStr">
        <is>
          <t>电池级硫酸锰（出厂价）</t>
        </is>
      </c>
      <c r="C67" s="3" t="n">
        <v>7590</v>
      </c>
      <c r="D67" s="4" t="n">
        <v>7790</v>
      </c>
      <c r="E67" s="4" t="n">
        <v>7690</v>
      </c>
      <c r="F67" s="4" t="n">
        <v>0</v>
      </c>
      <c r="G67" s="5" t="inlineStr">
        <is>
          <t>元/吨</t>
        </is>
      </c>
      <c r="H67" s="5" t="inlineStr">
        <is>
          <t>SMM</t>
        </is>
      </c>
    </row>
    <row r="68">
      <c r="A68" s="2" t="inlineStr">
        <is>
          <t>2026/06/15</t>
        </is>
      </c>
      <c r="B68" s="2" t="inlineStr">
        <is>
          <t>电池级硫酸镍</t>
        </is>
      </c>
      <c r="C68" s="3" t="n">
        <v>33400</v>
      </c>
      <c r="D68" s="4" t="n">
        <v>33820</v>
      </c>
      <c r="E68" s="4" t="n">
        <v>33610</v>
      </c>
      <c r="F68" s="6" t="n">
        <v>10</v>
      </c>
      <c r="G68" s="5" t="inlineStr">
        <is>
          <t>元/吨</t>
        </is>
      </c>
      <c r="H68" s="5" t="inlineStr">
        <is>
          <t>SMM</t>
        </is>
      </c>
    </row>
    <row r="69">
      <c r="A69" s="2" t="inlineStr">
        <is>
          <t>2026/06/15</t>
        </is>
      </c>
      <c r="B69" s="2" t="inlineStr">
        <is>
          <t>电池级碳酸锂</t>
        </is>
      </c>
      <c r="C69" s="3" t="n">
        <v>166000</v>
      </c>
      <c r="D69" s="4" t="n">
        <v>175000</v>
      </c>
      <c r="E69" s="4" t="n">
        <v>170500</v>
      </c>
      <c r="F69" s="4" t="n">
        <v>0</v>
      </c>
      <c r="G69" s="5" t="inlineStr">
        <is>
          <t>元/吨</t>
        </is>
      </c>
      <c r="H69" s="5" t="inlineStr">
        <is>
          <t>SMM</t>
        </is>
      </c>
    </row>
    <row r="70">
      <c r="A70" s="2" t="inlineStr">
        <is>
          <t>2026/06/15</t>
        </is>
      </c>
      <c r="B70" s="2" t="inlineStr">
        <is>
          <t>电池级碳酸锂(CIF韩国)</t>
        </is>
      </c>
      <c r="C70" s="7" t="n">
        <v>20.15</v>
      </c>
      <c r="D70" s="6" t="n">
        <v>22.25</v>
      </c>
      <c r="E70" s="6" t="n">
        <v>21.2</v>
      </c>
      <c r="F70" s="4" t="n">
        <v>0</v>
      </c>
      <c r="G70" s="5" t="inlineStr">
        <is>
          <t>美元/千克</t>
        </is>
      </c>
      <c r="H70" s="5" t="inlineStr">
        <is>
          <t>SMM</t>
        </is>
      </c>
    </row>
    <row r="71">
      <c r="A71" s="2" t="inlineStr">
        <is>
          <t>2026/06/15</t>
        </is>
      </c>
      <c r="B71" s="2" t="inlineStr">
        <is>
          <t>电池级碳酸锂（CIF中日韩）</t>
        </is>
      </c>
      <c r="C71" s="7" t="n">
        <v>20.35</v>
      </c>
      <c r="D71" s="6" t="n">
        <v>22.3</v>
      </c>
      <c r="E71" s="6" t="n">
        <v>21.33</v>
      </c>
      <c r="F71" s="4" t="n">
        <v>0</v>
      </c>
      <c r="G71" s="5" t="inlineStr">
        <is>
          <t>美元/千克</t>
        </is>
      </c>
      <c r="H71" s="5" t="inlineStr">
        <is>
          <t>SMM</t>
        </is>
      </c>
    </row>
    <row r="72">
      <c r="A72" s="2" t="inlineStr">
        <is>
          <t>2026/06/15</t>
        </is>
      </c>
      <c r="B72" s="2" t="inlineStr">
        <is>
          <t>电池级金属锂</t>
        </is>
      </c>
      <c r="C72" s="3" t="n">
        <v>1100000</v>
      </c>
      <c r="D72" s="4" t="n">
        <v>1170000</v>
      </c>
      <c r="E72" s="4" t="n">
        <v>1135000</v>
      </c>
      <c r="F72" s="4" t="n">
        <v>0</v>
      </c>
      <c r="G72" s="5" t="inlineStr">
        <is>
          <t>元/吨</t>
        </is>
      </c>
      <c r="H72" s="5" t="inlineStr">
        <is>
          <t>SMM</t>
        </is>
      </c>
    </row>
    <row r="73">
      <c r="A73" s="2" t="inlineStr">
        <is>
          <t>2026/06/15</t>
        </is>
      </c>
      <c r="B73" s="2" t="inlineStr">
        <is>
          <t>电解钴</t>
        </is>
      </c>
      <c r="C73" s="3" t="n">
        <v>385000</v>
      </c>
      <c r="D73" s="4" t="n">
        <v>410000</v>
      </c>
      <c r="E73" s="4" t="n">
        <v>397500</v>
      </c>
      <c r="F73" s="4" t="n">
        <v>-1000</v>
      </c>
      <c r="G73" s="5" t="inlineStr">
        <is>
          <t>元/吨</t>
        </is>
      </c>
      <c r="H73" s="5" t="inlineStr">
        <is>
          <t>SMM</t>
        </is>
      </c>
    </row>
    <row r="74">
      <c r="A74" s="2" t="inlineStr">
        <is>
          <t>2026/06/15</t>
        </is>
      </c>
      <c r="B74" s="2" t="inlineStr">
        <is>
          <t>电解钴（鹿特丹仓库）</t>
        </is>
      </c>
      <c r="C74" s="7" t="n">
        <v>25.5</v>
      </c>
      <c r="D74" s="6" t="n">
        <v>26.8</v>
      </c>
      <c r="E74" s="6" t="n">
        <v>26.15</v>
      </c>
      <c r="F74" s="6" t="n">
        <v>0.03</v>
      </c>
      <c r="G74" s="5" t="inlineStr">
        <is>
          <t>美元/磅</t>
        </is>
      </c>
      <c r="H74" s="5" t="inlineStr">
        <is>
          <t>SMM</t>
        </is>
      </c>
    </row>
    <row r="75">
      <c r="A75" s="2" t="inlineStr">
        <is>
          <t>2026/06/15</t>
        </is>
      </c>
      <c r="B75" s="2" t="inlineStr">
        <is>
          <t>电镀级硫酸镍</t>
        </is>
      </c>
      <c r="C75" s="3" t="n">
        <v>34500</v>
      </c>
      <c r="D75" s="4" t="n">
        <v>39000</v>
      </c>
      <c r="E75" s="4" t="n">
        <v>36750</v>
      </c>
      <c r="F75" s="4" t="n">
        <v>0</v>
      </c>
      <c r="G75" s="5" t="inlineStr">
        <is>
          <t>元/吨</t>
        </is>
      </c>
      <c r="H75" s="5" t="inlineStr">
        <is>
          <t>SMM</t>
        </is>
      </c>
    </row>
    <row r="76">
      <c r="A76" s="2" t="inlineStr">
        <is>
          <t>2026/06/15</t>
        </is>
      </c>
      <c r="B76" s="2" t="inlineStr">
        <is>
          <t>硫酸钴</t>
        </is>
      </c>
      <c r="C76" s="3" t="n">
        <v>88000</v>
      </c>
      <c r="D76" s="4" t="n">
        <v>90500</v>
      </c>
      <c r="E76" s="4" t="n">
        <v>89250</v>
      </c>
      <c r="F76" s="4" t="n">
        <v>-750</v>
      </c>
      <c r="G76" s="5" t="inlineStr">
        <is>
          <t>元/吨</t>
        </is>
      </c>
      <c r="H76" s="5" t="inlineStr">
        <is>
          <t>SMM</t>
        </is>
      </c>
    </row>
    <row r="77">
      <c r="A77" s="2" t="inlineStr">
        <is>
          <t>2026/06/15</t>
        </is>
      </c>
      <c r="B77" s="2" t="inlineStr">
        <is>
          <t>碳酸钴</t>
        </is>
      </c>
      <c r="C77" s="3" t="n">
        <v>215000</v>
      </c>
      <c r="D77" s="4" t="n">
        <v>232000</v>
      </c>
      <c r="E77" s="4" t="n">
        <v>223500</v>
      </c>
      <c r="F77" s="4" t="n">
        <v>-4000</v>
      </c>
      <c r="G77" s="5" t="inlineStr">
        <is>
          <t>元/吨</t>
        </is>
      </c>
      <c r="H77" s="5" t="inlineStr">
        <is>
          <t>SMM</t>
        </is>
      </c>
    </row>
    <row r="78">
      <c r="A78" s="2" t="inlineStr">
        <is>
          <t>2026/06/15</t>
        </is>
      </c>
      <c r="B78" s="2" t="inlineStr">
        <is>
          <t>磷酸铁锂</t>
        </is>
      </c>
      <c r="C78" s="3" t="n">
        <v>59570</v>
      </c>
      <c r="D78" s="4" t="n">
        <v>60570</v>
      </c>
      <c r="E78" s="4" t="n">
        <v>60070</v>
      </c>
      <c r="F78" s="4" t="n">
        <v>0</v>
      </c>
      <c r="G78" s="5" t="inlineStr">
        <is>
          <t>元/吨</t>
        </is>
      </c>
      <c r="H78" s="5" t="inlineStr">
        <is>
          <t>SMM</t>
        </is>
      </c>
    </row>
    <row r="79">
      <c r="A79" s="2" t="inlineStr">
        <is>
          <t>2026/06/15</t>
        </is>
      </c>
      <c r="B79" s="2" t="inlineStr">
        <is>
          <t>磷酸锰铁锂</t>
        </is>
      </c>
      <c r="C79" s="3" t="n">
        <v>64500</v>
      </c>
      <c r="D79" s="4" t="n">
        <v>69500</v>
      </c>
      <c r="E79" s="4" t="n">
        <v>67000</v>
      </c>
      <c r="F79" s="4" t="n">
        <v>0</v>
      </c>
      <c r="G79" s="5" t="inlineStr">
        <is>
          <t>元/吨</t>
        </is>
      </c>
      <c r="H79" s="5" t="inlineStr">
        <is>
          <t>SMM</t>
        </is>
      </c>
    </row>
    <row r="80">
      <c r="A80" s="2" t="inlineStr">
        <is>
          <t>2026/06/15</t>
        </is>
      </c>
      <c r="B80" s="2" t="inlineStr">
        <is>
          <t>金属钴FOB</t>
        </is>
      </c>
      <c r="C80" s="7" t="n">
        <v>25</v>
      </c>
      <c r="D80" s="6" t="n">
        <v>25.5</v>
      </c>
      <c r="E80" s="6" t="n">
        <v>25.25</v>
      </c>
      <c r="F80" s="4" t="n">
        <v>0</v>
      </c>
      <c r="G80" s="5" t="inlineStr">
        <is>
          <t>美元/磅</t>
        </is>
      </c>
      <c r="H80" s="5" t="inlineStr">
        <is>
          <t>SMM</t>
        </is>
      </c>
    </row>
    <row r="81">
      <c r="A81" s="2" t="inlineStr">
        <is>
          <t>2026/06/15</t>
        </is>
      </c>
      <c r="B81" s="2" t="inlineStr">
        <is>
          <t>钴中间品中钴含量≥30%</t>
        </is>
      </c>
      <c r="C81" s="3" t="n">
        <v>25737</v>
      </c>
      <c r="D81" s="4" t="n">
        <v>25737</v>
      </c>
      <c r="E81" s="4" t="n">
        <v>25737</v>
      </c>
      <c r="F81" s="4" t="n">
        <v>-925</v>
      </c>
      <c r="G81" s="5" t="inlineStr">
        <is>
          <t>元/金属吨</t>
        </is>
      </c>
      <c r="H81" s="5" t="inlineStr">
        <is>
          <t>SMM</t>
        </is>
      </c>
    </row>
    <row r="82">
      <c r="A82" s="2" t="inlineStr">
        <is>
          <t>2026/06/15</t>
        </is>
      </c>
      <c r="B82" s="2" t="inlineStr">
        <is>
          <t>钴中间品原料计价系数（对SMM硫酸钴均价）</t>
        </is>
      </c>
      <c r="C82" s="7" t="n">
        <v>99</v>
      </c>
      <c r="D82" s="4" t="n">
        <v>100</v>
      </c>
      <c r="E82" s="6" t="n">
        <v>99.5</v>
      </c>
      <c r="F82" s="4" t="n">
        <v>0</v>
      </c>
      <c r="G82" s="5" t="inlineStr">
        <is>
          <t>%</t>
        </is>
      </c>
      <c r="H82" s="5" t="inlineStr">
        <is>
          <t>SMM</t>
        </is>
      </c>
    </row>
    <row r="83">
      <c r="A83" s="2" t="inlineStr">
        <is>
          <t>2026/06/15</t>
        </is>
      </c>
      <c r="B83" s="2" t="inlineStr">
        <is>
          <t>钴酸锂</t>
        </is>
      </c>
      <c r="C83" s="3" t="n">
        <v>382000</v>
      </c>
      <c r="D83" s="4" t="n">
        <v>385000</v>
      </c>
      <c r="E83" s="4" t="n">
        <v>383500</v>
      </c>
      <c r="F83" s="4" t="n">
        <v>0</v>
      </c>
      <c r="G83" s="5" t="inlineStr">
        <is>
          <t>元/吨</t>
        </is>
      </c>
      <c r="H83" s="5" t="inlineStr">
        <is>
          <t>SMM</t>
        </is>
      </c>
    </row>
    <row r="84">
      <c r="A84" s="2" t="inlineStr">
        <is>
          <t>2026/06/15</t>
        </is>
      </c>
      <c r="B84" s="2" t="inlineStr">
        <is>
          <t>钴酸锂聚合物软包</t>
        </is>
      </c>
      <c r="C84" s="3" t="n">
        <v>98000</v>
      </c>
      <c r="D84" s="4" t="n">
        <v>101600</v>
      </c>
      <c r="E84" s="4" t="n">
        <v>99800</v>
      </c>
      <c r="F84" s="4" t="n">
        <v>0</v>
      </c>
      <c r="G84" s="5" t="inlineStr">
        <is>
          <t>元/吨</t>
        </is>
      </c>
      <c r="H84" s="5" t="inlineStr">
        <is>
          <t>SMM</t>
        </is>
      </c>
    </row>
    <row r="85">
      <c r="A85" s="2" t="inlineStr">
        <is>
          <t>2026/06/15</t>
        </is>
      </c>
      <c r="B85" s="2" t="inlineStr">
        <is>
          <t>钴酸锂铝壳</t>
        </is>
      </c>
      <c r="C85" s="3" t="n">
        <v>84000</v>
      </c>
      <c r="D85" s="4" t="n">
        <v>94000</v>
      </c>
      <c r="E85" s="4" t="n">
        <v>89000</v>
      </c>
      <c r="F85" s="4" t="n">
        <v>0</v>
      </c>
      <c r="G85" s="5" t="inlineStr">
        <is>
          <t>元/吨</t>
        </is>
      </c>
      <c r="H85" s="5" t="inlineStr">
        <is>
          <t>SMM</t>
        </is>
      </c>
    </row>
    <row r="86">
      <c r="A86" s="2" t="inlineStr">
        <is>
          <t>2026/06/15</t>
        </is>
      </c>
      <c r="B86" s="2" t="inlineStr">
        <is>
          <t>锰酸锂圆柱钢壳</t>
        </is>
      </c>
      <c r="C86" s="3" t="n">
        <v>5000</v>
      </c>
      <c r="D86" s="4" t="n">
        <v>7400</v>
      </c>
      <c r="E86" s="4" t="n">
        <v>6200</v>
      </c>
      <c r="F86" s="4" t="n">
        <v>0</v>
      </c>
      <c r="G86" s="5" t="inlineStr">
        <is>
          <t>元/吨</t>
        </is>
      </c>
      <c r="H86" s="5" t="inlineStr">
        <is>
          <t>SMM</t>
        </is>
      </c>
    </row>
    <row r="87">
      <c r="A87" s="2" t="inlineStr">
        <is>
          <t>2026/06/15</t>
        </is>
      </c>
      <c r="B87" s="2" t="inlineStr">
        <is>
          <t>非洲硫酸锂(CIF中国)</t>
        </is>
      </c>
      <c r="C87" s="3" t="n">
        <v>8108</v>
      </c>
      <c r="D87" s="4" t="n">
        <v>8598</v>
      </c>
      <c r="E87" s="4" t="n">
        <v>8353</v>
      </c>
      <c r="F87" s="6" t="n">
        <v>9.5</v>
      </c>
      <c r="G87" s="5" t="inlineStr">
        <is>
          <t>美元/吨</t>
        </is>
      </c>
      <c r="H87" s="5" t="inlineStr">
        <is>
          <t>SMM</t>
        </is>
      </c>
    </row>
    <row r="88">
      <c r="A88" s="2" t="inlineStr">
        <is>
          <t>2026/06/15</t>
        </is>
      </c>
      <c r="B88" s="2" t="inlineStr">
        <is>
          <t>非洲锂辉石精矿（CIF中国）指数</t>
        </is>
      </c>
      <c r="C88" s="3" t="n">
        <v>2470</v>
      </c>
      <c r="D88" s="4" t="n">
        <v>2470</v>
      </c>
      <c r="E88" s="4" t="n">
        <v>2470</v>
      </c>
      <c r="F88" s="4" t="n">
        <v>172</v>
      </c>
      <c r="G88" s="5" t="inlineStr">
        <is>
          <t>美元/吨</t>
        </is>
      </c>
      <c r="H88" s="5" t="inlineStr">
        <is>
          <t>SMM</t>
        </is>
      </c>
    </row>
    <row r="89">
      <c r="A89" s="2" t="inlineStr">
        <is>
          <t>2026/06/16</t>
        </is>
      </c>
      <c r="B89" s="2" t="inlineStr">
        <is>
          <t>5系三元前驱体</t>
        </is>
      </c>
      <c r="C89" s="3" t="n">
        <v>101150</v>
      </c>
      <c r="D89" s="4" t="n">
        <v>106350</v>
      </c>
      <c r="E89" s="4" t="n">
        <v>103750</v>
      </c>
      <c r="F89" s="4" t="n">
        <v>-300</v>
      </c>
      <c r="G89" s="5" t="inlineStr">
        <is>
          <t>元/吨</t>
        </is>
      </c>
      <c r="H89" s="5" t="inlineStr">
        <is>
          <t>SMM</t>
        </is>
      </c>
    </row>
    <row r="90">
      <c r="A90" s="2" t="inlineStr">
        <is>
          <t>2026/06/16</t>
        </is>
      </c>
      <c r="B90" s="2" t="inlineStr">
        <is>
          <t>5系三元材料</t>
        </is>
      </c>
      <c r="C90" s="3" t="n">
        <v>186300</v>
      </c>
      <c r="D90" s="4" t="n">
        <v>194800</v>
      </c>
      <c r="E90" s="4" t="n">
        <v>190550</v>
      </c>
      <c r="F90" s="4" t="n">
        <v>-800</v>
      </c>
      <c r="G90" s="5" t="inlineStr">
        <is>
          <t>元/吨</t>
        </is>
      </c>
      <c r="H90" s="5" t="inlineStr">
        <is>
          <t>SMM</t>
        </is>
      </c>
    </row>
    <row r="91">
      <c r="A91" s="2" t="inlineStr">
        <is>
          <t>2026/06/16</t>
        </is>
      </c>
      <c r="B91" s="2" t="inlineStr">
        <is>
          <t>6系三元前驱体（单晶/动力型）</t>
        </is>
      </c>
      <c r="C91" s="3" t="n">
        <v>94000</v>
      </c>
      <c r="D91" s="4" t="n">
        <v>98700</v>
      </c>
      <c r="E91" s="4" t="n">
        <v>96350</v>
      </c>
      <c r="F91" s="4" t="n">
        <v>-200</v>
      </c>
      <c r="G91" s="5" t="inlineStr">
        <is>
          <t>元/吨</t>
        </is>
      </c>
      <c r="H91" s="5" t="inlineStr">
        <is>
          <t>SMM</t>
        </is>
      </c>
    </row>
    <row r="92">
      <c r="A92" s="2" t="inlineStr">
        <is>
          <t>2026/06/16</t>
        </is>
      </c>
      <c r="B92" s="2" t="inlineStr">
        <is>
          <t>6系三元材料（单晶/动力型）</t>
        </is>
      </c>
      <c r="C92" s="3" t="n">
        <v>190700</v>
      </c>
      <c r="D92" s="4" t="n">
        <v>200200</v>
      </c>
      <c r="E92" s="4" t="n">
        <v>195450</v>
      </c>
      <c r="F92" s="4" t="n">
        <v>-300</v>
      </c>
      <c r="G92" s="5" t="inlineStr">
        <is>
          <t>元/吨</t>
        </is>
      </c>
      <c r="H92" s="5" t="inlineStr">
        <is>
          <t>SMM</t>
        </is>
      </c>
    </row>
    <row r="93">
      <c r="A93" s="2" t="inlineStr">
        <is>
          <t>2026/06/16</t>
        </is>
      </c>
      <c r="B93" s="2" t="inlineStr">
        <is>
          <t>8系三元前驱体（多晶/动力型）</t>
        </is>
      </c>
      <c r="C93" s="3" t="n">
        <v>116550</v>
      </c>
      <c r="D93" s="4" t="n">
        <v>122250</v>
      </c>
      <c r="E93" s="4" t="n">
        <v>119400</v>
      </c>
      <c r="F93" s="4" t="n">
        <v>-150</v>
      </c>
      <c r="G93" s="5" t="inlineStr">
        <is>
          <t>元/吨</t>
        </is>
      </c>
      <c r="H93" s="5" t="inlineStr">
        <is>
          <t>SMM</t>
        </is>
      </c>
    </row>
    <row r="94">
      <c r="A94" s="2" t="inlineStr">
        <is>
          <t>2026/06/16</t>
        </is>
      </c>
      <c r="B94" s="2" t="inlineStr">
        <is>
          <t>8系三元材料</t>
        </is>
      </c>
      <c r="C94" s="3" t="n">
        <v>214000</v>
      </c>
      <c r="D94" s="4" t="n">
        <v>223600</v>
      </c>
      <c r="E94" s="4" t="n">
        <v>218800</v>
      </c>
      <c r="F94" s="4" t="n">
        <v>-300</v>
      </c>
      <c r="G94" s="5" t="inlineStr">
        <is>
          <t>元/吨</t>
        </is>
      </c>
      <c r="H94" s="5" t="inlineStr">
        <is>
          <t>SMM</t>
        </is>
      </c>
    </row>
    <row r="95">
      <c r="A95" s="2" t="inlineStr">
        <is>
          <t>2026/06/16</t>
        </is>
      </c>
      <c r="B95" s="2" t="inlineStr">
        <is>
          <t>MHP系数（对SMM电池级硫酸镍指数）</t>
        </is>
      </c>
      <c r="C95" s="7" t="n">
        <v>85.5</v>
      </c>
      <c r="D95" s="6" t="n">
        <v>87</v>
      </c>
      <c r="E95" s="6" t="n">
        <v>86.25</v>
      </c>
      <c r="F95" s="6" t="n">
        <v>0.75</v>
      </c>
      <c r="G95" s="5" t="inlineStr">
        <is>
          <t>%</t>
        </is>
      </c>
      <c r="H95" s="5" t="inlineStr">
        <is>
          <t>SMM</t>
        </is>
      </c>
    </row>
    <row r="96">
      <c r="A96" s="2" t="inlineStr">
        <is>
          <t>2026/06/16</t>
        </is>
      </c>
      <c r="B96" s="2" t="inlineStr">
        <is>
          <t>MHP钴元素计价系数（对SMM硫酸钴均价）</t>
        </is>
      </c>
      <c r="C96" s="7" t="n">
        <v>92</v>
      </c>
      <c r="D96" s="6" t="n">
        <v>93</v>
      </c>
      <c r="E96" s="6" t="n">
        <v>92.5</v>
      </c>
      <c r="F96" s="4" t="n">
        <v>0</v>
      </c>
      <c r="G96" s="5" t="inlineStr">
        <is>
          <t>%</t>
        </is>
      </c>
      <c r="H96" s="5" t="inlineStr">
        <is>
          <t>SMM</t>
        </is>
      </c>
    </row>
    <row r="97">
      <c r="A97" s="2" t="inlineStr">
        <is>
          <t>2026/06/16</t>
        </is>
      </c>
      <c r="B97" s="2" t="inlineStr">
        <is>
          <t>NCA三元材料</t>
        </is>
      </c>
      <c r="C97" s="3" t="n">
        <v>211100</v>
      </c>
      <c r="D97" s="4" t="n">
        <v>219400</v>
      </c>
      <c r="E97" s="4" t="n">
        <v>215250</v>
      </c>
      <c r="F97" s="4" t="n">
        <v>-500</v>
      </c>
      <c r="G97" s="5" t="inlineStr">
        <is>
          <t>元/吨</t>
        </is>
      </c>
      <c r="H97" s="5" t="inlineStr">
        <is>
          <t>SMM</t>
        </is>
      </c>
    </row>
    <row r="98">
      <c r="A98" s="2" t="inlineStr">
        <is>
          <t>2026/06/16</t>
        </is>
      </c>
      <c r="B98" s="2" t="inlineStr">
        <is>
          <t>SMM三元极片粉钴系数指数</t>
        </is>
      </c>
      <c r="C98" s="7" t="n">
        <v>79</v>
      </c>
      <c r="D98" s="6" t="n">
        <v>79</v>
      </c>
      <c r="E98" s="6" t="n">
        <v>79</v>
      </c>
      <c r="F98" s="4" t="n">
        <v>0</v>
      </c>
      <c r="G98" s="5" t="inlineStr">
        <is>
          <t>%</t>
        </is>
      </c>
      <c r="H98" s="5" t="inlineStr">
        <is>
          <t>SMM</t>
        </is>
      </c>
    </row>
    <row r="99">
      <c r="A99" s="2" t="inlineStr">
        <is>
          <t>2026/06/16</t>
        </is>
      </c>
      <c r="B99" s="2" t="inlineStr">
        <is>
          <t>SMM三元极片粉锂系数指数</t>
        </is>
      </c>
      <c r="C99" s="7" t="n">
        <v>79.05</v>
      </c>
      <c r="D99" s="6" t="n">
        <v>79.05</v>
      </c>
      <c r="E99" s="6" t="n">
        <v>79.05</v>
      </c>
      <c r="F99" s="4" t="n">
        <v>0</v>
      </c>
      <c r="G99" s="5" t="inlineStr">
        <is>
          <t>%</t>
        </is>
      </c>
      <c r="H99" s="5" t="inlineStr">
        <is>
          <t>SMM</t>
        </is>
      </c>
    </row>
    <row r="100">
      <c r="A100" s="2" t="inlineStr">
        <is>
          <t>2026/06/16</t>
        </is>
      </c>
      <c r="B100" s="2" t="inlineStr">
        <is>
          <t>SMM三元极片粉镍系数指数</t>
        </is>
      </c>
      <c r="C100" s="7" t="n">
        <v>79.05</v>
      </c>
      <c r="D100" s="6" t="n">
        <v>79.05</v>
      </c>
      <c r="E100" s="6" t="n">
        <v>79.05</v>
      </c>
      <c r="F100" s="4" t="n">
        <v>0</v>
      </c>
      <c r="G100" s="5" t="inlineStr">
        <is>
          <t>%</t>
        </is>
      </c>
      <c r="H100" s="5" t="inlineStr">
        <is>
          <t>SMM</t>
        </is>
      </c>
    </row>
    <row r="101">
      <c r="A101" s="2" t="inlineStr">
        <is>
          <t>2026/06/16</t>
        </is>
      </c>
      <c r="B101" s="2" t="inlineStr">
        <is>
          <t>SMM三元电池粉钴系数指数</t>
        </is>
      </c>
      <c r="C101" s="7" t="n">
        <v>75.72</v>
      </c>
      <c r="D101" s="6" t="n">
        <v>75.72</v>
      </c>
      <c r="E101" s="6" t="n">
        <v>75.72</v>
      </c>
      <c r="F101" s="4" t="n">
        <v>0</v>
      </c>
      <c r="G101" s="5" t="inlineStr">
        <is>
          <t>%</t>
        </is>
      </c>
      <c r="H101" s="5" t="inlineStr">
        <is>
          <t>SMM</t>
        </is>
      </c>
    </row>
    <row r="102">
      <c r="A102" s="2" t="inlineStr">
        <is>
          <t>2026/06/16</t>
        </is>
      </c>
      <c r="B102" s="2" t="inlineStr">
        <is>
          <t>SMM三元电池粉锂系数指数</t>
        </is>
      </c>
      <c r="C102" s="7" t="n">
        <v>75.83</v>
      </c>
      <c r="D102" s="6" t="n">
        <v>75.83</v>
      </c>
      <c r="E102" s="6" t="n">
        <v>75.83</v>
      </c>
      <c r="F102" s="4" t="n">
        <v>0</v>
      </c>
      <c r="G102" s="5" t="inlineStr">
        <is>
          <t>%</t>
        </is>
      </c>
      <c r="H102" s="5" t="inlineStr">
        <is>
          <t>SMM</t>
        </is>
      </c>
    </row>
    <row r="103">
      <c r="A103" s="2" t="inlineStr">
        <is>
          <t>2026/06/16</t>
        </is>
      </c>
      <c r="B103" s="2" t="inlineStr">
        <is>
          <t>SMM三元电池粉镍系数指数</t>
        </is>
      </c>
      <c r="C103" s="7" t="n">
        <v>75.83</v>
      </c>
      <c r="D103" s="6" t="n">
        <v>75.83</v>
      </c>
      <c r="E103" s="6" t="n">
        <v>75.83</v>
      </c>
      <c r="F103" s="4" t="n">
        <v>0</v>
      </c>
      <c r="G103" s="5" t="inlineStr">
        <is>
          <t>%</t>
        </is>
      </c>
      <c r="H103" s="5" t="inlineStr">
        <is>
          <t>SMM</t>
        </is>
      </c>
    </row>
    <row r="104">
      <c r="A104" s="2" t="inlineStr">
        <is>
          <t>2026/06/16</t>
        </is>
      </c>
      <c r="B104" s="2" t="inlineStr">
        <is>
          <t>SMM六氟磷酸锂指数</t>
        </is>
      </c>
      <c r="C104" s="3" t="n">
        <v>102322</v>
      </c>
      <c r="D104" s="4" t="n">
        <v>106498</v>
      </c>
      <c r="E104" s="4" t="n">
        <v>104410</v>
      </c>
      <c r="F104" s="6" t="n">
        <v>-87</v>
      </c>
      <c r="G104" s="5" t="inlineStr">
        <is>
          <t>元/吨</t>
        </is>
      </c>
      <c r="H104" s="5" t="inlineStr">
        <is>
          <t>SMM</t>
        </is>
      </c>
    </row>
    <row r="105">
      <c r="A105" s="2" t="inlineStr">
        <is>
          <t>2026/06/16</t>
        </is>
      </c>
      <c r="B105" s="2" t="inlineStr">
        <is>
          <t>SMM电池级氢氧化锂指数</t>
        </is>
      </c>
      <c r="C105" s="3" t="n">
        <v>154204</v>
      </c>
      <c r="D105" s="4" t="n">
        <v>154204</v>
      </c>
      <c r="E105" s="4" t="n">
        <v>154204</v>
      </c>
      <c r="F105" s="4" t="n">
        <v>-1114</v>
      </c>
      <c r="G105" s="5" t="inlineStr">
        <is>
          <t>元/吨</t>
        </is>
      </c>
      <c r="H105" s="5" t="inlineStr">
        <is>
          <t>SMM</t>
        </is>
      </c>
    </row>
    <row r="106">
      <c r="A106" s="2" t="inlineStr">
        <is>
          <t>2026/06/16</t>
        </is>
      </c>
      <c r="B106" s="2" t="inlineStr">
        <is>
          <t>SMM电池级硫酸锰指数</t>
        </is>
      </c>
      <c r="C106" s="3" t="n">
        <v>7651</v>
      </c>
      <c r="D106" s="4" t="n">
        <v>7651</v>
      </c>
      <c r="E106" s="4" t="n">
        <v>7651</v>
      </c>
      <c r="F106" s="6" t="n">
        <v>5</v>
      </c>
      <c r="G106" s="5" t="inlineStr">
        <is>
          <t>元/吨</t>
        </is>
      </c>
      <c r="H106" s="5" t="inlineStr">
        <is>
          <t>SMM</t>
        </is>
      </c>
    </row>
    <row r="107">
      <c r="A107" s="2" t="inlineStr">
        <is>
          <t>2026/06/16</t>
        </is>
      </c>
      <c r="B107" s="2" t="inlineStr">
        <is>
          <t>SMM电池级硫酸镍指数</t>
        </is>
      </c>
      <c r="C107" s="3" t="n">
        <v>33051</v>
      </c>
      <c r="D107" s="4" t="n">
        <v>33051</v>
      </c>
      <c r="E107" s="4" t="n">
        <v>33051</v>
      </c>
      <c r="F107" s="6" t="n">
        <v>1</v>
      </c>
      <c r="G107" s="5" t="inlineStr">
        <is>
          <t>元/吨</t>
        </is>
      </c>
      <c r="H107" s="5" t="inlineStr">
        <is>
          <t>SMM</t>
        </is>
      </c>
    </row>
    <row r="108">
      <c r="A108" s="2" t="inlineStr">
        <is>
          <t>2026/06/16</t>
        </is>
      </c>
      <c r="B108" s="2" t="inlineStr">
        <is>
          <t>SMM电池级碳酸锂指数</t>
        </is>
      </c>
      <c r="C108" s="3" t="n">
        <v>168094</v>
      </c>
      <c r="D108" s="4" t="n">
        <v>168094</v>
      </c>
      <c r="E108" s="4" t="n">
        <v>168094</v>
      </c>
      <c r="F108" s="4" t="n">
        <v>-2791</v>
      </c>
      <c r="G108" s="5" t="inlineStr">
        <is>
          <t>元/吨</t>
        </is>
      </c>
      <c r="H108" s="5" t="inlineStr">
        <is>
          <t>SMM</t>
        </is>
      </c>
    </row>
    <row r="109">
      <c r="A109" s="2" t="inlineStr">
        <is>
          <t>2026/06/16</t>
        </is>
      </c>
      <c r="B109" s="2" t="inlineStr">
        <is>
          <t>SMM硫酸钴指数</t>
        </is>
      </c>
      <c r="C109" s="3" t="n">
        <v>88576</v>
      </c>
      <c r="D109" s="4" t="n">
        <v>88576</v>
      </c>
      <c r="E109" s="4" t="n">
        <v>88576</v>
      </c>
      <c r="F109" s="4" t="n">
        <v>-482</v>
      </c>
      <c r="G109" s="5" t="inlineStr">
        <is>
          <t>元/吨</t>
        </is>
      </c>
      <c r="H109" s="5" t="inlineStr">
        <is>
          <t>SMM</t>
        </is>
      </c>
    </row>
    <row r="110">
      <c r="A110" s="2" t="inlineStr">
        <is>
          <t>2026/06/16</t>
        </is>
      </c>
      <c r="B110" s="2" t="inlineStr">
        <is>
          <t>SMM磷酸铁锂极片粉指数</t>
        </is>
      </c>
      <c r="C110" s="3" t="n">
        <v>7489</v>
      </c>
      <c r="D110" s="4" t="n">
        <v>7489</v>
      </c>
      <c r="E110" s="4" t="n">
        <v>7489</v>
      </c>
      <c r="F110" s="6" t="n">
        <v>-5</v>
      </c>
      <c r="G110" s="5" t="inlineStr">
        <is>
          <t>元/锂点</t>
        </is>
      </c>
      <c r="H110" s="5" t="inlineStr">
        <is>
          <t>SMM</t>
        </is>
      </c>
    </row>
    <row r="111">
      <c r="A111" s="2" t="inlineStr">
        <is>
          <t>2026/06/16</t>
        </is>
      </c>
      <c r="B111" s="2" t="inlineStr">
        <is>
          <t>SMM磷酸铁锂电池粉指数</t>
        </is>
      </c>
      <c r="C111" s="3" t="n">
        <v>7062</v>
      </c>
      <c r="D111" s="4" t="n">
        <v>7062</v>
      </c>
      <c r="E111" s="4" t="n">
        <v>7062</v>
      </c>
      <c r="F111" s="4" t="n">
        <v>0</v>
      </c>
      <c r="G111" s="5" t="inlineStr">
        <is>
          <t>元/锂点</t>
        </is>
      </c>
      <c r="H111" s="5" t="inlineStr">
        <is>
          <t>SMM</t>
        </is>
      </c>
    </row>
    <row r="112">
      <c r="A112" s="2" t="inlineStr">
        <is>
          <t>2026/06/16</t>
        </is>
      </c>
      <c r="B112" s="2" t="inlineStr">
        <is>
          <t>SMM钴酸锂极片粉钴系数指数</t>
        </is>
      </c>
      <c r="C112" s="7" t="n">
        <v>82.53</v>
      </c>
      <c r="D112" s="6" t="n">
        <v>82.53</v>
      </c>
      <c r="E112" s="6" t="n">
        <v>82.53</v>
      </c>
      <c r="F112" s="4" t="n">
        <v>0</v>
      </c>
      <c r="G112" s="5" t="inlineStr">
        <is>
          <t>%</t>
        </is>
      </c>
      <c r="H112" s="5" t="inlineStr">
        <is>
          <t>SMM</t>
        </is>
      </c>
    </row>
    <row r="113">
      <c r="A113" s="2" t="inlineStr">
        <is>
          <t>2026/06/16</t>
        </is>
      </c>
      <c r="B113" s="2" t="inlineStr">
        <is>
          <t>SMM钴酸锂极片粉锂系数指数</t>
        </is>
      </c>
      <c r="C113" s="7" t="n">
        <v>76.5</v>
      </c>
      <c r="D113" s="6" t="n">
        <v>76.5</v>
      </c>
      <c r="E113" s="6" t="n">
        <v>76.5</v>
      </c>
      <c r="F113" s="4" t="n">
        <v>0</v>
      </c>
      <c r="G113" s="5" t="inlineStr">
        <is>
          <t>%</t>
        </is>
      </c>
      <c r="H113" s="5" t="inlineStr">
        <is>
          <t>SMM</t>
        </is>
      </c>
    </row>
    <row r="114">
      <c r="A114" s="2" t="inlineStr">
        <is>
          <t>2026/06/16</t>
        </is>
      </c>
      <c r="B114" s="2" t="inlineStr">
        <is>
          <t>SMM钴酸锂电池粉钴系数指数</t>
        </is>
      </c>
      <c r="C114" s="7" t="n">
        <v>80.13</v>
      </c>
      <c r="D114" s="6" t="n">
        <v>80.13</v>
      </c>
      <c r="E114" s="6" t="n">
        <v>80.13</v>
      </c>
      <c r="F114" s="4" t="n">
        <v>0</v>
      </c>
      <c r="G114" s="5" t="inlineStr">
        <is>
          <t>%</t>
        </is>
      </c>
      <c r="H114" s="5" t="inlineStr">
        <is>
          <t>SMM</t>
        </is>
      </c>
    </row>
    <row r="115">
      <c r="A115" s="2" t="inlineStr">
        <is>
          <t>2026/06/16</t>
        </is>
      </c>
      <c r="B115" s="2" t="inlineStr">
        <is>
          <t>SMM钴酸锂电池粉锂系数指数</t>
        </is>
      </c>
      <c r="C115" s="7" t="n">
        <v>76.11</v>
      </c>
      <c r="D115" s="6" t="n">
        <v>76.11</v>
      </c>
      <c r="E115" s="6" t="n">
        <v>76.11</v>
      </c>
      <c r="F115" s="4" t="n">
        <v>0</v>
      </c>
      <c r="G115" s="5" t="inlineStr">
        <is>
          <t>%</t>
        </is>
      </c>
      <c r="H115" s="5" t="inlineStr">
        <is>
          <t>SMM</t>
        </is>
      </c>
    </row>
    <row r="116">
      <c r="A116" s="2" t="inlineStr">
        <is>
          <t>2026/06/16</t>
        </is>
      </c>
      <c r="B116" s="2" t="inlineStr">
        <is>
          <t>三元方壳锂电B品</t>
        </is>
      </c>
      <c r="C116" s="7" t="n">
        <v>0.75</v>
      </c>
      <c r="D116" s="6" t="n">
        <v>0.85</v>
      </c>
      <c r="E116" s="6" t="n">
        <v>0.8</v>
      </c>
      <c r="F116" s="4" t="n">
        <v>0</v>
      </c>
      <c r="G116" s="5" t="inlineStr">
        <is>
          <t>元/Ah</t>
        </is>
      </c>
      <c r="H116" s="5" t="inlineStr">
        <is>
          <t>SMM</t>
        </is>
      </c>
    </row>
    <row r="117">
      <c r="A117" s="2" t="inlineStr">
        <is>
          <t>2026/06/16</t>
        </is>
      </c>
      <c r="B117" s="2" t="inlineStr">
        <is>
          <t>六氟磷酸锂（国产）</t>
        </is>
      </c>
      <c r="C117" s="3" t="n">
        <v>110000</v>
      </c>
      <c r="D117" s="4" t="n">
        <v>118000</v>
      </c>
      <c r="E117" s="4" t="n">
        <v>114000</v>
      </c>
      <c r="F117" s="4" t="n">
        <v>0</v>
      </c>
      <c r="G117" s="5" t="inlineStr">
        <is>
          <t>元/吨</t>
        </is>
      </c>
      <c r="H117" s="5" t="inlineStr">
        <is>
          <t>SMM</t>
        </is>
      </c>
    </row>
    <row r="118">
      <c r="A118" s="2" t="inlineStr">
        <is>
          <t>2026/06/16</t>
        </is>
      </c>
      <c r="B118" s="2" t="inlineStr">
        <is>
          <t>四氧化三钴</t>
        </is>
      </c>
      <c r="C118" s="3" t="n">
        <v>335000</v>
      </c>
      <c r="D118" s="4" t="n">
        <v>348000</v>
      </c>
      <c r="E118" s="4" t="n">
        <v>341500</v>
      </c>
      <c r="F118" s="4" t="n">
        <v>-3000</v>
      </c>
      <c r="G118" s="5" t="inlineStr">
        <is>
          <t>元/吨</t>
        </is>
      </c>
      <c r="H118" s="5" t="inlineStr">
        <is>
          <t>SMM</t>
        </is>
      </c>
    </row>
    <row r="119">
      <c r="A119" s="2" t="inlineStr">
        <is>
          <t>2026/06/16</t>
        </is>
      </c>
      <c r="B119" s="2" t="inlineStr">
        <is>
          <t>四氧化三锰（电池级）</t>
        </is>
      </c>
      <c r="C119" s="3" t="n">
        <v>14000</v>
      </c>
      <c r="D119" s="4" t="n">
        <v>16000</v>
      </c>
      <c r="E119" s="4" t="n">
        <v>15000</v>
      </c>
      <c r="F119" s="4" t="n">
        <v>0</v>
      </c>
      <c r="G119" s="5" t="inlineStr">
        <is>
          <t>元/吨</t>
        </is>
      </c>
      <c r="H119" s="5" t="inlineStr">
        <is>
          <t>SMM</t>
        </is>
      </c>
    </row>
    <row r="120">
      <c r="A120" s="2" t="inlineStr">
        <is>
          <t>2026/06/16</t>
        </is>
      </c>
      <c r="B120" s="2" t="inlineStr">
        <is>
          <t>工业级氢氧化锂</t>
        </is>
      </c>
      <c r="C120" s="3" t="n">
        <v>138000</v>
      </c>
      <c r="D120" s="4" t="n">
        <v>145000</v>
      </c>
      <c r="E120" s="4" t="n">
        <v>141500</v>
      </c>
      <c r="F120" s="4" t="n">
        <v>-1000</v>
      </c>
      <c r="G120" s="5" t="inlineStr">
        <is>
          <t>元/吨</t>
        </is>
      </c>
      <c r="H120" s="5" t="inlineStr">
        <is>
          <t>SMM</t>
        </is>
      </c>
    </row>
    <row r="121">
      <c r="A121" s="2" t="inlineStr">
        <is>
          <t>2026/06/16</t>
        </is>
      </c>
      <c r="B121" s="2" t="inlineStr">
        <is>
          <t>工业级碳酸锂</t>
        </is>
      </c>
      <c r="C121" s="3" t="n">
        <v>162000</v>
      </c>
      <c r="D121" s="4" t="n">
        <v>168000</v>
      </c>
      <c r="E121" s="4" t="n">
        <v>165000</v>
      </c>
      <c r="F121" s="4" t="n">
        <v>-1500</v>
      </c>
      <c r="G121" s="5" t="inlineStr">
        <is>
          <t>元/吨</t>
        </is>
      </c>
      <c r="H121" s="5" t="inlineStr">
        <is>
          <t>SMM</t>
        </is>
      </c>
    </row>
    <row r="122">
      <c r="A122" s="2" t="inlineStr">
        <is>
          <t>2026/06/16</t>
        </is>
      </c>
      <c r="B122" s="2" t="inlineStr">
        <is>
          <t>工业级金属锂</t>
        </is>
      </c>
      <c r="C122" s="3" t="n">
        <v>1070000</v>
      </c>
      <c r="D122" s="4" t="n">
        <v>1140000</v>
      </c>
      <c r="E122" s="4" t="n">
        <v>1105000</v>
      </c>
      <c r="F122" s="4" t="n">
        <v>0</v>
      </c>
      <c r="G122" s="5" t="inlineStr">
        <is>
          <t>元/吨</t>
        </is>
      </c>
      <c r="H122" s="5" t="inlineStr">
        <is>
          <t>SMM</t>
        </is>
      </c>
    </row>
    <row r="123">
      <c r="A123" s="2" t="inlineStr">
        <is>
          <t>2026/06/16</t>
        </is>
      </c>
      <c r="B123" s="2" t="inlineStr">
        <is>
          <t>巴西锂辉石精矿（CIF中国）现货</t>
        </is>
      </c>
      <c r="C123" s="3" t="n">
        <v>2425</v>
      </c>
      <c r="D123" s="4" t="n">
        <v>2535</v>
      </c>
      <c r="E123" s="4" t="n">
        <v>2480</v>
      </c>
      <c r="F123" s="6" t="n">
        <v>-10</v>
      </c>
      <c r="G123" s="5" t="inlineStr">
        <is>
          <t>美元/吨</t>
        </is>
      </c>
      <c r="H123" s="5" t="inlineStr">
        <is>
          <t>SMM</t>
        </is>
      </c>
    </row>
    <row r="124">
      <c r="A124" s="2" t="inlineStr">
        <is>
          <t>2026/06/16</t>
        </is>
      </c>
      <c r="B124" s="2" t="inlineStr">
        <is>
          <t>废旧磷酸铁锂储能正极片</t>
        </is>
      </c>
      <c r="C124" s="3" t="n">
        <v>22050</v>
      </c>
      <c r="D124" s="4" t="n">
        <v>25550</v>
      </c>
      <c r="E124" s="4" t="n">
        <v>23800</v>
      </c>
      <c r="F124" s="4" t="n">
        <v>-175</v>
      </c>
      <c r="G124" s="5" t="inlineStr">
        <is>
          <t>元/吨</t>
        </is>
      </c>
      <c r="H124" s="5" t="inlineStr">
        <is>
          <t>SMM</t>
        </is>
      </c>
    </row>
    <row r="125">
      <c r="A125" s="2" t="inlineStr">
        <is>
          <t>2026/06/16</t>
        </is>
      </c>
      <c r="B125" s="2" t="inlineStr">
        <is>
          <t>废旧磷酸铁锂动力正极片</t>
        </is>
      </c>
      <c r="C125" s="3" t="n">
        <v>26200</v>
      </c>
      <c r="D125" s="4" t="n">
        <v>30750</v>
      </c>
      <c r="E125" s="4" t="n">
        <v>28475</v>
      </c>
      <c r="F125" s="4" t="n">
        <v>-200</v>
      </c>
      <c r="G125" s="5" t="inlineStr">
        <is>
          <t>元/吨</t>
        </is>
      </c>
      <c r="H125" s="5" t="inlineStr">
        <is>
          <t>SMM</t>
        </is>
      </c>
    </row>
    <row r="126">
      <c r="A126" s="2" t="inlineStr">
        <is>
          <t>2026/06/16</t>
        </is>
      </c>
      <c r="B126" s="2" t="inlineStr">
        <is>
          <t>废旧磷酸铁锂软包电池</t>
        </is>
      </c>
      <c r="C126" s="3" t="n">
        <v>16500</v>
      </c>
      <c r="D126" s="4" t="n">
        <v>18000</v>
      </c>
      <c r="E126" s="4" t="n">
        <v>17250</v>
      </c>
      <c r="F126" s="4" t="n">
        <v>-200</v>
      </c>
      <c r="G126" s="5" t="inlineStr">
        <is>
          <t>元/吨</t>
        </is>
      </c>
      <c r="H126" s="5" t="inlineStr">
        <is>
          <t>SMM</t>
        </is>
      </c>
    </row>
    <row r="127">
      <c r="A127" s="2" t="inlineStr">
        <is>
          <t>2026/06/16</t>
        </is>
      </c>
      <c r="B127" s="2" t="inlineStr">
        <is>
          <t>废旧磷酸铁锂钢壳电池</t>
        </is>
      </c>
      <c r="C127" s="3" t="n">
        <v>10500</v>
      </c>
      <c r="D127" s="4" t="n">
        <v>11800</v>
      </c>
      <c r="E127" s="4" t="n">
        <v>11150</v>
      </c>
      <c r="F127" s="4" t="n">
        <v>-150</v>
      </c>
      <c r="G127" s="5" t="inlineStr">
        <is>
          <t>元/吨</t>
        </is>
      </c>
      <c r="H127" s="5" t="inlineStr">
        <is>
          <t>SMM</t>
        </is>
      </c>
    </row>
    <row r="128">
      <c r="A128" s="2" t="inlineStr">
        <is>
          <t>2026/06/16</t>
        </is>
      </c>
      <c r="B128" s="2" t="inlineStr">
        <is>
          <t>废旧磷酸铁锂铝壳电池</t>
        </is>
      </c>
      <c r="C128" s="3" t="n">
        <v>17800</v>
      </c>
      <c r="D128" s="4" t="n">
        <v>19000</v>
      </c>
      <c r="E128" s="4" t="n">
        <v>18400</v>
      </c>
      <c r="F128" s="4" t="n">
        <v>-150</v>
      </c>
      <c r="G128" s="5" t="inlineStr">
        <is>
          <t>元/吨</t>
        </is>
      </c>
      <c r="H128" s="5" t="inlineStr">
        <is>
          <t>SMM</t>
        </is>
      </c>
    </row>
    <row r="129">
      <c r="A129" s="2" t="inlineStr">
        <is>
          <t>2026/06/16</t>
        </is>
      </c>
      <c r="B129" s="2" t="inlineStr">
        <is>
          <t>方形磷酸铁锂电池B品</t>
        </is>
      </c>
      <c r="C129" s="7" t="n">
        <v>0.68</v>
      </c>
      <c r="D129" s="6" t="n">
        <v>0.8</v>
      </c>
      <c r="E129" s="6" t="n">
        <v>0.74</v>
      </c>
      <c r="F129" s="4" t="n">
        <v>0</v>
      </c>
      <c r="G129" s="5" t="inlineStr">
        <is>
          <t>元/Ah</t>
        </is>
      </c>
      <c r="H129" s="5" t="inlineStr">
        <is>
          <t>SMM</t>
        </is>
      </c>
    </row>
    <row r="130">
      <c r="A130" s="2" t="inlineStr">
        <is>
          <t>2026/06/16</t>
        </is>
      </c>
      <c r="B130" s="2" t="inlineStr">
        <is>
          <t>氧化亚镍</t>
        </is>
      </c>
      <c r="C130" s="3" t="n">
        <v>118000</v>
      </c>
      <c r="D130" s="4" t="n">
        <v>126000</v>
      </c>
      <c r="E130" s="4" t="n">
        <v>122000</v>
      </c>
      <c r="F130" s="4" t="n">
        <v>0</v>
      </c>
      <c r="G130" s="5" t="inlineStr">
        <is>
          <t>元/吨</t>
        </is>
      </c>
      <c r="H130" s="5" t="inlineStr">
        <is>
          <t>SMM</t>
        </is>
      </c>
    </row>
    <row r="131">
      <c r="A131" s="2" t="inlineStr">
        <is>
          <t>2026/06/16</t>
        </is>
      </c>
      <c r="B131" s="2" t="inlineStr">
        <is>
          <t>氧化钴</t>
        </is>
      </c>
      <c r="C131" s="3" t="n">
        <v>310000</v>
      </c>
      <c r="D131" s="4" t="n">
        <v>325000</v>
      </c>
      <c r="E131" s="4" t="n">
        <v>317500</v>
      </c>
      <c r="F131" s="4" t="n">
        <v>-5000</v>
      </c>
      <c r="G131" s="5" t="inlineStr">
        <is>
          <t>元/吨</t>
        </is>
      </c>
      <c r="H131" s="5" t="inlineStr">
        <is>
          <t>SMM</t>
        </is>
      </c>
    </row>
    <row r="132">
      <c r="A132" s="2" t="inlineStr">
        <is>
          <t>2026/06/16</t>
        </is>
      </c>
      <c r="B132" s="2" t="inlineStr">
        <is>
          <t>氯化钴</t>
        </is>
      </c>
      <c r="C132" s="3" t="n">
        <v>106000</v>
      </c>
      <c r="D132" s="4" t="n">
        <v>112000</v>
      </c>
      <c r="E132" s="4" t="n">
        <v>109000</v>
      </c>
      <c r="F132" s="4" t="n">
        <v>-2000</v>
      </c>
      <c r="G132" s="5" t="inlineStr">
        <is>
          <t>元/吨</t>
        </is>
      </c>
      <c r="H132" s="5" t="inlineStr">
        <is>
          <t>SMM</t>
        </is>
      </c>
    </row>
    <row r="133">
      <c r="A133" s="2" t="inlineStr">
        <is>
          <t>2026/06/16</t>
        </is>
      </c>
      <c r="B133" s="2" t="inlineStr">
        <is>
          <t>氯化镍NiCl₂·6H₂O</t>
        </is>
      </c>
      <c r="C133" s="3" t="n">
        <v>39000</v>
      </c>
      <c r="D133" s="4" t="n">
        <v>41000</v>
      </c>
      <c r="E133" s="4" t="n">
        <v>40000</v>
      </c>
      <c r="F133" s="4" t="n">
        <v>0</v>
      </c>
      <c r="G133" s="5" t="inlineStr">
        <is>
          <t>元/吨</t>
        </is>
      </c>
      <c r="H133" s="5" t="inlineStr">
        <is>
          <t>SMM</t>
        </is>
      </c>
    </row>
    <row r="134">
      <c r="A134" s="2" t="inlineStr">
        <is>
          <t>2026/06/16</t>
        </is>
      </c>
      <c r="B134" s="2" t="inlineStr">
        <is>
          <t>津巴布韦锂辉石精矿（CIF中国）现货</t>
        </is>
      </c>
      <c r="C134" s="3" t="n">
        <v>2420</v>
      </c>
      <c r="D134" s="4" t="n">
        <v>2530</v>
      </c>
      <c r="E134" s="4" t="n">
        <v>2475</v>
      </c>
      <c r="F134" s="4" t="n">
        <v>125</v>
      </c>
      <c r="G134" s="5" t="inlineStr">
        <is>
          <t>美元/吨</t>
        </is>
      </c>
      <c r="H134" s="5" t="inlineStr">
        <is>
          <t>SMM</t>
        </is>
      </c>
    </row>
    <row r="135">
      <c r="A135" s="2" t="inlineStr">
        <is>
          <t>2026/06/16</t>
        </is>
      </c>
      <c r="B135" s="2" t="inlineStr">
        <is>
          <t>澳大利亚锂辉石精矿（CIF中国）现货</t>
        </is>
      </c>
      <c r="C135" s="3" t="n">
        <v>2445</v>
      </c>
      <c r="D135" s="4" t="n">
        <v>2545</v>
      </c>
      <c r="E135" s="4" t="n">
        <v>2495</v>
      </c>
      <c r="F135" s="6" t="n">
        <v>-10</v>
      </c>
      <c r="G135" s="5" t="inlineStr">
        <is>
          <t>美元/吨</t>
        </is>
      </c>
      <c r="H135" s="5" t="inlineStr">
        <is>
          <t>SMM</t>
        </is>
      </c>
    </row>
    <row r="136">
      <c r="A136" s="2" t="inlineStr">
        <is>
          <t>2026/06/16</t>
        </is>
      </c>
      <c r="B136" s="2" t="inlineStr">
        <is>
          <t>电池级无水氯化锂</t>
        </is>
      </c>
      <c r="C136" s="3" t="n">
        <v>235</v>
      </c>
      <c r="D136" s="4" t="n">
        <v>291</v>
      </c>
      <c r="E136" s="4" t="n">
        <v>263</v>
      </c>
      <c r="F136" s="6" t="n">
        <v>-2</v>
      </c>
      <c r="G136" s="5" t="inlineStr">
        <is>
          <t>元/千克</t>
        </is>
      </c>
      <c r="H136" s="5" t="inlineStr">
        <is>
          <t>SMM</t>
        </is>
      </c>
    </row>
    <row r="137">
      <c r="A137" s="2" t="inlineStr">
        <is>
          <t>2026/06/16</t>
        </is>
      </c>
      <c r="B137" s="2" t="inlineStr">
        <is>
          <t>电池级氟化锂</t>
        </is>
      </c>
      <c r="C137" s="3" t="n">
        <v>288000</v>
      </c>
      <c r="D137" s="4" t="n">
        <v>295000</v>
      </c>
      <c r="E137" s="4" t="n">
        <v>291500</v>
      </c>
      <c r="F137" s="4" t="n">
        <v>0</v>
      </c>
      <c r="G137" s="5" t="inlineStr">
        <is>
          <t>元/吨</t>
        </is>
      </c>
      <c r="H137" s="5" t="inlineStr">
        <is>
          <t>SMM</t>
        </is>
      </c>
    </row>
    <row r="138">
      <c r="A138" s="2" t="inlineStr">
        <is>
          <t>2026/06/16</t>
        </is>
      </c>
      <c r="B138" s="2" t="inlineStr">
        <is>
          <t>电池级氢氧化锂(CIF中日韩)</t>
        </is>
      </c>
      <c r="C138" s="7" t="n">
        <v>18.05</v>
      </c>
      <c r="D138" s="6" t="n">
        <v>21.15</v>
      </c>
      <c r="E138" s="6" t="n">
        <v>19.6</v>
      </c>
      <c r="F138" s="6" t="n">
        <v>-0.1</v>
      </c>
      <c r="G138" s="5" t="inlineStr">
        <is>
          <t>美元/千克</t>
        </is>
      </c>
      <c r="H138" s="5" t="inlineStr">
        <is>
          <t>SMM</t>
        </is>
      </c>
    </row>
    <row r="139">
      <c r="A139" s="2" t="inlineStr">
        <is>
          <t>2026/06/16</t>
        </is>
      </c>
      <c r="B139" s="2" t="inlineStr">
        <is>
          <t>电池级氢氧化锂(CIF韩国)</t>
        </is>
      </c>
      <c r="C139" s="7" t="n">
        <v>17.9</v>
      </c>
      <c r="D139" s="6" t="n">
        <v>21.1</v>
      </c>
      <c r="E139" s="6" t="n">
        <v>19.5</v>
      </c>
      <c r="F139" s="6" t="n">
        <v>-0.1</v>
      </c>
      <c r="G139" s="5" t="inlineStr">
        <is>
          <t>美元/千克</t>
        </is>
      </c>
      <c r="H139" s="5" t="inlineStr">
        <is>
          <t>SMM</t>
        </is>
      </c>
    </row>
    <row r="140">
      <c r="A140" s="2" t="inlineStr">
        <is>
          <t>2026/06/16</t>
        </is>
      </c>
      <c r="B140" s="2" t="inlineStr">
        <is>
          <t>电池级氢氧化锂(微粉）</t>
        </is>
      </c>
      <c r="C140" s="3" t="n">
        <v>153000</v>
      </c>
      <c r="D140" s="4" t="n">
        <v>167000</v>
      </c>
      <c r="E140" s="4" t="n">
        <v>160000</v>
      </c>
      <c r="F140" s="4" t="n">
        <v>-1000</v>
      </c>
      <c r="G140" s="5" t="inlineStr">
        <is>
          <t>元/吨</t>
        </is>
      </c>
      <c r="H140" s="5" t="inlineStr">
        <is>
          <t>SMM</t>
        </is>
      </c>
    </row>
    <row r="141">
      <c r="A141" s="2" t="inlineStr">
        <is>
          <t>2026/06/16</t>
        </is>
      </c>
      <c r="B141" s="2" t="inlineStr">
        <is>
          <t>电池级氢氧化锂（粗颗粒）</t>
        </is>
      </c>
      <c r="C141" s="3" t="n">
        <v>146000</v>
      </c>
      <c r="D141" s="4" t="n">
        <v>162000</v>
      </c>
      <c r="E141" s="4" t="n">
        <v>154000</v>
      </c>
      <c r="F141" s="4" t="n">
        <v>-1000</v>
      </c>
      <c r="G141" s="5" t="inlineStr">
        <is>
          <t>元/吨</t>
        </is>
      </c>
      <c r="H141" s="5" t="inlineStr">
        <is>
          <t>SMM</t>
        </is>
      </c>
    </row>
    <row r="142">
      <c r="A142" s="2" t="inlineStr">
        <is>
          <t>2026/06/16</t>
        </is>
      </c>
      <c r="B142" s="2" t="inlineStr">
        <is>
          <t>电池级硫酸锰（出厂价）</t>
        </is>
      </c>
      <c r="C142" s="3" t="n">
        <v>7590</v>
      </c>
      <c r="D142" s="4" t="n">
        <v>7790</v>
      </c>
      <c r="E142" s="4" t="n">
        <v>7690</v>
      </c>
      <c r="F142" s="4" t="n">
        <v>0</v>
      </c>
      <c r="G142" s="5" t="inlineStr">
        <is>
          <t>元/吨</t>
        </is>
      </c>
      <c r="H142" s="5" t="inlineStr">
        <is>
          <t>SMM</t>
        </is>
      </c>
    </row>
    <row r="143">
      <c r="A143" s="2" t="inlineStr">
        <is>
          <t>2026/06/16</t>
        </is>
      </c>
      <c r="B143" s="2" t="inlineStr">
        <is>
          <t>电池级硫酸镍</t>
        </is>
      </c>
      <c r="C143" s="3" t="n">
        <v>33400</v>
      </c>
      <c r="D143" s="4" t="n">
        <v>33820</v>
      </c>
      <c r="E143" s="4" t="n">
        <v>33610</v>
      </c>
      <c r="F143" s="4" t="n">
        <v>0</v>
      </c>
      <c r="G143" s="5" t="inlineStr">
        <is>
          <t>元/吨</t>
        </is>
      </c>
      <c r="H143" s="5" t="inlineStr">
        <is>
          <t>SMM</t>
        </is>
      </c>
    </row>
    <row r="144">
      <c r="A144" s="2" t="inlineStr">
        <is>
          <t>2026/06/16</t>
        </is>
      </c>
      <c r="B144" s="2" t="inlineStr">
        <is>
          <t>电池级碳酸锂</t>
        </is>
      </c>
      <c r="C144" s="3" t="n">
        <v>166000</v>
      </c>
      <c r="D144" s="4" t="n">
        <v>172000</v>
      </c>
      <c r="E144" s="4" t="n">
        <v>169000</v>
      </c>
      <c r="F144" s="4" t="n">
        <v>-1500</v>
      </c>
      <c r="G144" s="5" t="inlineStr">
        <is>
          <t>元/吨</t>
        </is>
      </c>
      <c r="H144" s="5" t="inlineStr">
        <is>
          <t>SMM</t>
        </is>
      </c>
    </row>
    <row r="145">
      <c r="A145" s="2" t="inlineStr">
        <is>
          <t>2026/06/16</t>
        </is>
      </c>
      <c r="B145" s="2" t="inlineStr">
        <is>
          <t>电池级碳酸锂(CIF韩国)</t>
        </is>
      </c>
      <c r="C145" s="7" t="n">
        <v>20.15</v>
      </c>
      <c r="D145" s="6" t="n">
        <v>22.05</v>
      </c>
      <c r="E145" s="6" t="n">
        <v>21.1</v>
      </c>
      <c r="F145" s="6" t="n">
        <v>-0.1</v>
      </c>
      <c r="G145" s="5" t="inlineStr">
        <is>
          <t>美元/千克</t>
        </is>
      </c>
      <c r="H145" s="5" t="inlineStr">
        <is>
          <t>SMM</t>
        </is>
      </c>
    </row>
    <row r="146">
      <c r="A146" s="2" t="inlineStr">
        <is>
          <t>2026/06/16</t>
        </is>
      </c>
      <c r="B146" s="2" t="inlineStr">
        <is>
          <t>电池级碳酸锂（CIF中日韩）</t>
        </is>
      </c>
      <c r="C146" s="7" t="n">
        <v>20.35</v>
      </c>
      <c r="D146" s="6" t="n">
        <v>22.1</v>
      </c>
      <c r="E146" s="6" t="n">
        <v>21.23</v>
      </c>
      <c r="F146" s="6" t="n">
        <v>-0.1</v>
      </c>
      <c r="G146" s="5" t="inlineStr">
        <is>
          <t>美元/千克</t>
        </is>
      </c>
      <c r="H146" s="5" t="inlineStr">
        <is>
          <t>SMM</t>
        </is>
      </c>
    </row>
    <row r="147">
      <c r="A147" s="2" t="inlineStr">
        <is>
          <t>2026/06/16</t>
        </is>
      </c>
      <c r="B147" s="2" t="inlineStr">
        <is>
          <t>电池级金属锂</t>
        </is>
      </c>
      <c r="C147" s="3" t="n">
        <v>1100000</v>
      </c>
      <c r="D147" s="4" t="n">
        <v>1170000</v>
      </c>
      <c r="E147" s="4" t="n">
        <v>1135000</v>
      </c>
      <c r="F147" s="4" t="n">
        <v>0</v>
      </c>
      <c r="G147" s="5" t="inlineStr">
        <is>
          <t>元/吨</t>
        </is>
      </c>
      <c r="H147" s="5" t="inlineStr">
        <is>
          <t>SMM</t>
        </is>
      </c>
    </row>
    <row r="148">
      <c r="A148" s="2" t="inlineStr">
        <is>
          <t>2026/06/16</t>
        </is>
      </c>
      <c r="B148" s="2" t="inlineStr">
        <is>
          <t>电解钴</t>
        </is>
      </c>
      <c r="C148" s="3" t="n">
        <v>384000</v>
      </c>
      <c r="D148" s="4" t="n">
        <v>410000</v>
      </c>
      <c r="E148" s="4" t="n">
        <v>397000</v>
      </c>
      <c r="F148" s="4" t="n">
        <v>-500</v>
      </c>
      <c r="G148" s="5" t="inlineStr">
        <is>
          <t>元/吨</t>
        </is>
      </c>
      <c r="H148" s="5" t="inlineStr">
        <is>
          <t>SMM</t>
        </is>
      </c>
    </row>
    <row r="149">
      <c r="A149" s="2" t="inlineStr">
        <is>
          <t>2026/06/16</t>
        </is>
      </c>
      <c r="B149" s="2" t="inlineStr">
        <is>
          <t>电解钴（鹿特丹仓库）</t>
        </is>
      </c>
      <c r="C149" s="7" t="n">
        <v>25.5</v>
      </c>
      <c r="D149" s="6" t="n">
        <v>27</v>
      </c>
      <c r="E149" s="6" t="n">
        <v>26.25</v>
      </c>
      <c r="F149" s="6" t="n">
        <v>0.1</v>
      </c>
      <c r="G149" s="5" t="inlineStr">
        <is>
          <t>美元/磅</t>
        </is>
      </c>
      <c r="H149" s="5" t="inlineStr">
        <is>
          <t>SMM</t>
        </is>
      </c>
    </row>
    <row r="150">
      <c r="A150" s="2" t="inlineStr">
        <is>
          <t>2026/06/16</t>
        </is>
      </c>
      <c r="B150" s="2" t="inlineStr">
        <is>
          <t>电镀级硫酸镍</t>
        </is>
      </c>
      <c r="C150" s="3" t="n">
        <v>34500</v>
      </c>
      <c r="D150" s="4" t="n">
        <v>39000</v>
      </c>
      <c r="E150" s="4" t="n">
        <v>36750</v>
      </c>
      <c r="F150" s="4" t="n">
        <v>0</v>
      </c>
      <c r="G150" s="5" t="inlineStr">
        <is>
          <t>元/吨</t>
        </is>
      </c>
      <c r="H150" s="5" t="inlineStr">
        <is>
          <t>SMM</t>
        </is>
      </c>
    </row>
    <row r="151">
      <c r="A151" s="2" t="inlineStr">
        <is>
          <t>2026/06/16</t>
        </is>
      </c>
      <c r="B151" s="2" t="inlineStr">
        <is>
          <t>硫酸钴</t>
        </is>
      </c>
      <c r="C151" s="3" t="n">
        <v>87500</v>
      </c>
      <c r="D151" s="4" t="n">
        <v>90000</v>
      </c>
      <c r="E151" s="4" t="n">
        <v>88750</v>
      </c>
      <c r="F151" s="4" t="n">
        <v>-500</v>
      </c>
      <c r="G151" s="5" t="inlineStr">
        <is>
          <t>元/吨</t>
        </is>
      </c>
      <c r="H151" s="5" t="inlineStr">
        <is>
          <t>SMM</t>
        </is>
      </c>
    </row>
    <row r="152">
      <c r="A152" s="2" t="inlineStr">
        <is>
          <t>2026/06/16</t>
        </is>
      </c>
      <c r="B152" s="2" t="inlineStr">
        <is>
          <t>碳酸钴</t>
        </is>
      </c>
      <c r="C152" s="3" t="n">
        <v>210000</v>
      </c>
      <c r="D152" s="4" t="n">
        <v>230000</v>
      </c>
      <c r="E152" s="4" t="n">
        <v>220000</v>
      </c>
      <c r="F152" s="4" t="n">
        <v>-3500</v>
      </c>
      <c r="G152" s="5" t="inlineStr">
        <is>
          <t>元/吨</t>
        </is>
      </c>
      <c r="H152" s="5" t="inlineStr">
        <is>
          <t>SMM</t>
        </is>
      </c>
    </row>
    <row r="153">
      <c r="A153" s="2" t="inlineStr">
        <is>
          <t>2026/06/16</t>
        </is>
      </c>
      <c r="B153" s="2" t="inlineStr">
        <is>
          <t>磷酸铁锂</t>
        </is>
      </c>
      <c r="C153" s="3" t="n">
        <v>59410</v>
      </c>
      <c r="D153" s="4" t="n">
        <v>60210</v>
      </c>
      <c r="E153" s="4" t="n">
        <v>59810</v>
      </c>
      <c r="F153" s="4" t="n">
        <v>-260</v>
      </c>
      <c r="G153" s="5" t="inlineStr">
        <is>
          <t>元/吨</t>
        </is>
      </c>
      <c r="H153" s="5" t="inlineStr">
        <is>
          <t>SMM</t>
        </is>
      </c>
    </row>
    <row r="154">
      <c r="A154" s="2" t="inlineStr">
        <is>
          <t>2026/06/16</t>
        </is>
      </c>
      <c r="B154" s="2" t="inlineStr">
        <is>
          <t>磷酸锰铁锂</t>
        </is>
      </c>
      <c r="C154" s="3" t="n">
        <v>64500</v>
      </c>
      <c r="D154" s="4" t="n">
        <v>69500</v>
      </c>
      <c r="E154" s="4" t="n">
        <v>67000</v>
      </c>
      <c r="F154" s="4" t="n">
        <v>0</v>
      </c>
      <c r="G154" s="5" t="inlineStr">
        <is>
          <t>元/吨</t>
        </is>
      </c>
      <c r="H154" s="5" t="inlineStr">
        <is>
          <t>SMM</t>
        </is>
      </c>
    </row>
    <row r="155">
      <c r="A155" s="2" t="inlineStr">
        <is>
          <t>2026/06/16</t>
        </is>
      </c>
      <c r="B155" s="2" t="inlineStr">
        <is>
          <t>金属钴FOB</t>
        </is>
      </c>
      <c r="C155" s="7" t="n">
        <v>25</v>
      </c>
      <c r="D155" s="6" t="n">
        <v>25.5</v>
      </c>
      <c r="E155" s="6" t="n">
        <v>25.25</v>
      </c>
      <c r="F155" s="4" t="n">
        <v>0</v>
      </c>
      <c r="G155" s="5" t="inlineStr">
        <is>
          <t>美元/磅</t>
        </is>
      </c>
      <c r="H155" s="5" t="inlineStr">
        <is>
          <t>SMM</t>
        </is>
      </c>
    </row>
    <row r="156">
      <c r="A156" s="2" t="inlineStr">
        <is>
          <t>2026/06/16</t>
        </is>
      </c>
      <c r="B156" s="2" t="inlineStr">
        <is>
          <t>钴中间品中钴含量≥30%</t>
        </is>
      </c>
      <c r="C156" s="3" t="n">
        <v>25737</v>
      </c>
      <c r="D156" s="4" t="n">
        <v>25737</v>
      </c>
      <c r="E156" s="4" t="n">
        <v>25737</v>
      </c>
      <c r="F156" s="4" t="n">
        <v>-925</v>
      </c>
      <c r="G156" s="5" t="inlineStr">
        <is>
          <t>元/金属吨</t>
        </is>
      </c>
      <c r="H156" s="5" t="inlineStr">
        <is>
          <t>SMM</t>
        </is>
      </c>
    </row>
    <row r="157">
      <c r="A157" s="2" t="inlineStr">
        <is>
          <t>2026/06/16</t>
        </is>
      </c>
      <c r="B157" s="2" t="inlineStr">
        <is>
          <t>钴中间品原料计价系数（对SMM硫酸钴均价）</t>
        </is>
      </c>
      <c r="C157" s="7" t="n">
        <v>99</v>
      </c>
      <c r="D157" s="4" t="n">
        <v>100</v>
      </c>
      <c r="E157" s="6" t="n">
        <v>99.5</v>
      </c>
      <c r="F157" s="4" t="n">
        <v>0</v>
      </c>
      <c r="G157" s="5" t="inlineStr">
        <is>
          <t>%</t>
        </is>
      </c>
      <c r="H157" s="5" t="inlineStr">
        <is>
          <t>SMM</t>
        </is>
      </c>
    </row>
    <row r="158">
      <c r="A158" s="2" t="inlineStr">
        <is>
          <t>2026/06/16</t>
        </is>
      </c>
      <c r="B158" s="2" t="inlineStr">
        <is>
          <t>钴酸锂</t>
        </is>
      </c>
      <c r="C158" s="3" t="n">
        <v>381000</v>
      </c>
      <c r="D158" s="4" t="n">
        <v>384000</v>
      </c>
      <c r="E158" s="4" t="n">
        <v>382500</v>
      </c>
      <c r="F158" s="4" t="n">
        <v>-1000</v>
      </c>
      <c r="G158" s="5" t="inlineStr">
        <is>
          <t>元/吨</t>
        </is>
      </c>
      <c r="H158" s="5" t="inlineStr">
        <is>
          <t>SMM</t>
        </is>
      </c>
    </row>
    <row r="159">
      <c r="A159" s="2" t="inlineStr">
        <is>
          <t>2026/06/16</t>
        </is>
      </c>
      <c r="B159" s="2" t="inlineStr">
        <is>
          <t>钴酸锂聚合物软包</t>
        </is>
      </c>
      <c r="C159" s="3" t="n">
        <v>98000</v>
      </c>
      <c r="D159" s="4" t="n">
        <v>101200</v>
      </c>
      <c r="E159" s="4" t="n">
        <v>99600</v>
      </c>
      <c r="F159" s="4" t="n">
        <v>-200</v>
      </c>
      <c r="G159" s="5" t="inlineStr">
        <is>
          <t>元/吨</t>
        </is>
      </c>
      <c r="H159" s="5" t="inlineStr">
        <is>
          <t>SMM</t>
        </is>
      </c>
    </row>
    <row r="160">
      <c r="A160" s="2" t="inlineStr">
        <is>
          <t>2026/06/16</t>
        </is>
      </c>
      <c r="B160" s="2" t="inlineStr">
        <is>
          <t>钴酸锂铝壳</t>
        </is>
      </c>
      <c r="C160" s="3" t="n">
        <v>84000</v>
      </c>
      <c r="D160" s="4" t="n">
        <v>94000</v>
      </c>
      <c r="E160" s="4" t="n">
        <v>89000</v>
      </c>
      <c r="F160" s="4" t="n">
        <v>0</v>
      </c>
      <c r="G160" s="5" t="inlineStr">
        <is>
          <t>元/吨</t>
        </is>
      </c>
      <c r="H160" s="5" t="inlineStr">
        <is>
          <t>SMM</t>
        </is>
      </c>
    </row>
    <row r="161">
      <c r="A161" s="2" t="inlineStr">
        <is>
          <t>2026/06/16</t>
        </is>
      </c>
      <c r="B161" s="2" t="inlineStr">
        <is>
          <t>锰酸锂圆柱钢壳</t>
        </is>
      </c>
      <c r="C161" s="3" t="n">
        <v>5000</v>
      </c>
      <c r="D161" s="4" t="n">
        <v>7400</v>
      </c>
      <c r="E161" s="4" t="n">
        <v>6200</v>
      </c>
      <c r="F161" s="4" t="n">
        <v>0</v>
      </c>
      <c r="G161" s="5" t="inlineStr">
        <is>
          <t>元/吨</t>
        </is>
      </c>
      <c r="H161" s="5" t="inlineStr">
        <is>
          <t>SMM</t>
        </is>
      </c>
    </row>
    <row r="162">
      <c r="A162" s="2" t="inlineStr">
        <is>
          <t>2026/06/16</t>
        </is>
      </c>
      <c r="B162" s="2" t="inlineStr">
        <is>
          <t>非洲硫酸锂(CIF中国)</t>
        </is>
      </c>
      <c r="C162" s="3" t="n">
        <v>8104</v>
      </c>
      <c r="D162" s="4" t="n">
        <v>8431</v>
      </c>
      <c r="E162" s="4" t="n">
        <v>8267.5</v>
      </c>
      <c r="F162" s="6" t="n">
        <v>-85.5</v>
      </c>
      <c r="G162" s="5" t="inlineStr">
        <is>
          <t>美元/吨</t>
        </is>
      </c>
      <c r="H162" s="5" t="inlineStr">
        <is>
          <t>SMM</t>
        </is>
      </c>
    </row>
    <row r="163">
      <c r="A163" s="2" t="inlineStr">
        <is>
          <t>2026/06/16</t>
        </is>
      </c>
      <c r="B163" s="2" t="inlineStr">
        <is>
          <t>非洲锂辉石精矿（CIF中国）指数</t>
        </is>
      </c>
      <c r="C163" s="3" t="n">
        <v>2470</v>
      </c>
      <c r="D163" s="4" t="n">
        <v>2470</v>
      </c>
      <c r="E163" s="4" t="n">
        <v>2470</v>
      </c>
      <c r="F163" s="4" t="n">
        <v>172</v>
      </c>
      <c r="G163" s="5" t="inlineStr">
        <is>
          <t>美元/吨</t>
        </is>
      </c>
      <c r="H163" s="5" t="inlineStr">
        <is>
          <t>SMM</t>
        </is>
      </c>
    </row>
    <row r="164">
      <c r="A164" s="2" t="inlineStr">
        <is>
          <t>2026/06/18</t>
        </is>
      </c>
      <c r="B164" s="2" t="inlineStr">
        <is>
          <t>5系三元前驱体</t>
        </is>
      </c>
      <c r="C164" s="3" t="n">
        <v>100900</v>
      </c>
      <c r="D164" s="4" t="n">
        <v>106100</v>
      </c>
      <c r="E164" s="4" t="n">
        <v>103500</v>
      </c>
      <c r="F164" s="6" t="n">
        <v>-50</v>
      </c>
      <c r="G164" s="5" t="inlineStr">
        <is>
          <t>元/吨</t>
        </is>
      </c>
      <c r="H164" s="5" t="inlineStr">
        <is>
          <t>SMM</t>
        </is>
      </c>
    </row>
    <row r="165">
      <c r="A165" s="2" t="inlineStr">
        <is>
          <t>2026/06/18</t>
        </is>
      </c>
      <c r="B165" s="2" t="inlineStr">
        <is>
          <t>5系三元材料</t>
        </is>
      </c>
      <c r="C165" s="3" t="n">
        <v>185500</v>
      </c>
      <c r="D165" s="4" t="n">
        <v>193400</v>
      </c>
      <c r="E165" s="4" t="n">
        <v>189450</v>
      </c>
      <c r="F165" s="4" t="n">
        <v>-1100</v>
      </c>
      <c r="G165" s="5" t="inlineStr">
        <is>
          <t>元/吨</t>
        </is>
      </c>
      <c r="H165" s="5" t="inlineStr">
        <is>
          <t>SMM</t>
        </is>
      </c>
    </row>
    <row r="166">
      <c r="A166" s="2" t="inlineStr">
        <is>
          <t>2026/06/18</t>
        </is>
      </c>
      <c r="B166" s="2" t="inlineStr">
        <is>
          <t>6系三元前驱体（单晶/动力型）</t>
        </is>
      </c>
      <c r="C166" s="3" t="n">
        <v>93750</v>
      </c>
      <c r="D166" s="4" t="n">
        <v>98450</v>
      </c>
      <c r="E166" s="4" t="n">
        <v>96100</v>
      </c>
      <c r="F166" s="6" t="n">
        <v>-50</v>
      </c>
      <c r="G166" s="5" t="inlineStr">
        <is>
          <t>元/吨</t>
        </is>
      </c>
      <c r="H166" s="5" t="inlineStr">
        <is>
          <t>SMM</t>
        </is>
      </c>
    </row>
    <row r="167">
      <c r="A167" s="2" t="inlineStr">
        <is>
          <t>2026/06/18</t>
        </is>
      </c>
      <c r="B167" s="2" t="inlineStr">
        <is>
          <t>6系三元材料（单晶/动力型）</t>
        </is>
      </c>
      <c r="C167" s="3" t="n">
        <v>190000</v>
      </c>
      <c r="D167" s="4" t="n">
        <v>199500</v>
      </c>
      <c r="E167" s="4" t="n">
        <v>194750</v>
      </c>
      <c r="F167" s="4" t="n">
        <v>-800</v>
      </c>
      <c r="G167" s="5" t="inlineStr">
        <is>
          <t>元/吨</t>
        </is>
      </c>
      <c r="H167" s="5" t="inlineStr">
        <is>
          <t>SMM</t>
        </is>
      </c>
    </row>
    <row r="168">
      <c r="A168" s="2" t="inlineStr">
        <is>
          <t>2026/06/18</t>
        </is>
      </c>
      <c r="B168" s="2" t="inlineStr">
        <is>
          <t>8系三元前驱体（多晶/动力型）</t>
        </is>
      </c>
      <c r="C168" s="3" t="n">
        <v>116300</v>
      </c>
      <c r="D168" s="4" t="n">
        <v>122000</v>
      </c>
      <c r="E168" s="4" t="n">
        <v>119150</v>
      </c>
      <c r="F168" s="6" t="n">
        <v>-50</v>
      </c>
      <c r="G168" s="5" t="inlineStr">
        <is>
          <t>元/吨</t>
        </is>
      </c>
      <c r="H168" s="5" t="inlineStr">
        <is>
          <t>SMM</t>
        </is>
      </c>
    </row>
    <row r="169">
      <c r="A169" s="2" t="inlineStr">
        <is>
          <t>2026/06/18</t>
        </is>
      </c>
      <c r="B169" s="2" t="inlineStr">
        <is>
          <t>8系三元材料</t>
        </is>
      </c>
      <c r="C169" s="3" t="n">
        <v>213200</v>
      </c>
      <c r="D169" s="4" t="n">
        <v>222800</v>
      </c>
      <c r="E169" s="4" t="n">
        <v>218000</v>
      </c>
      <c r="F169" s="4" t="n">
        <v>-800</v>
      </c>
      <c r="G169" s="5" t="inlineStr">
        <is>
          <t>元/吨</t>
        </is>
      </c>
      <c r="H169" s="5" t="inlineStr">
        <is>
          <t>SMM</t>
        </is>
      </c>
    </row>
    <row r="170">
      <c r="A170" s="2" t="inlineStr">
        <is>
          <t>2026/06/18</t>
        </is>
      </c>
      <c r="B170" s="2" t="inlineStr">
        <is>
          <t>MHP系数（对SMM电池级硫酸镍指数）</t>
        </is>
      </c>
      <c r="C170" s="7" t="n">
        <v>86</v>
      </c>
      <c r="D170" s="6" t="n">
        <v>87</v>
      </c>
      <c r="E170" s="6" t="n">
        <v>86.5</v>
      </c>
      <c r="F170" s="6" t="n">
        <v>1</v>
      </c>
      <c r="G170" s="5" t="inlineStr">
        <is>
          <t>%</t>
        </is>
      </c>
      <c r="H170" s="5" t="inlineStr">
        <is>
          <t>SMM</t>
        </is>
      </c>
    </row>
    <row r="171">
      <c r="A171" s="2" t="inlineStr">
        <is>
          <t>2026/06/18</t>
        </is>
      </c>
      <c r="B171" s="2" t="inlineStr">
        <is>
          <t>MHP钴元素计价系数（对SMM硫酸钴均价）</t>
        </is>
      </c>
      <c r="C171" s="7" t="n">
        <v>92</v>
      </c>
      <c r="D171" s="6" t="n">
        <v>93</v>
      </c>
      <c r="E171" s="6" t="n">
        <v>92.5</v>
      </c>
      <c r="F171" s="4" t="n">
        <v>0</v>
      </c>
      <c r="G171" s="5" t="inlineStr">
        <is>
          <t>%</t>
        </is>
      </c>
      <c r="H171" s="5" t="inlineStr">
        <is>
          <t>SMM</t>
        </is>
      </c>
    </row>
    <row r="172">
      <c r="A172" s="2" t="inlineStr">
        <is>
          <t>2026/06/18</t>
        </is>
      </c>
      <c r="B172" s="2" t="inlineStr">
        <is>
          <t>NCA三元材料</t>
        </is>
      </c>
      <c r="C172" s="3" t="n">
        <v>210300</v>
      </c>
      <c r="D172" s="4" t="n">
        <v>218600</v>
      </c>
      <c r="E172" s="4" t="n">
        <v>214450</v>
      </c>
      <c r="F172" s="4" t="n">
        <v>-800</v>
      </c>
      <c r="G172" s="5" t="inlineStr">
        <is>
          <t>元/吨</t>
        </is>
      </c>
      <c r="H172" s="5" t="inlineStr">
        <is>
          <t>SMM</t>
        </is>
      </c>
    </row>
    <row r="173">
      <c r="A173" s="2" t="inlineStr">
        <is>
          <t>2026/06/18</t>
        </is>
      </c>
      <c r="B173" s="2" t="inlineStr">
        <is>
          <t>SMM三元极片粉钴系数指数</t>
        </is>
      </c>
      <c r="C173" s="7" t="n">
        <v>78.98999999999999</v>
      </c>
      <c r="D173" s="6" t="n">
        <v>78.98999999999999</v>
      </c>
      <c r="E173" s="6" t="n">
        <v>78.98999999999999</v>
      </c>
      <c r="F173" s="6" t="n">
        <v>-0.01</v>
      </c>
      <c r="G173" s="5" t="inlineStr">
        <is>
          <t>%</t>
        </is>
      </c>
      <c r="H173" s="5" t="inlineStr">
        <is>
          <t>SMM</t>
        </is>
      </c>
    </row>
    <row r="174">
      <c r="A174" s="2" t="inlineStr">
        <is>
          <t>2026/06/18</t>
        </is>
      </c>
      <c r="B174" s="2" t="inlineStr">
        <is>
          <t>SMM三元极片粉锂系数指数</t>
        </is>
      </c>
      <c r="C174" s="7" t="n">
        <v>79</v>
      </c>
      <c r="D174" s="6" t="n">
        <v>79</v>
      </c>
      <c r="E174" s="6" t="n">
        <v>79</v>
      </c>
      <c r="F174" s="6" t="n">
        <v>-0.05</v>
      </c>
      <c r="G174" s="5" t="inlineStr">
        <is>
          <t>%</t>
        </is>
      </c>
      <c r="H174" s="5" t="inlineStr">
        <is>
          <t>SMM</t>
        </is>
      </c>
    </row>
    <row r="175">
      <c r="A175" s="2" t="inlineStr">
        <is>
          <t>2026/06/18</t>
        </is>
      </c>
      <c r="B175" s="2" t="inlineStr">
        <is>
          <t>SMM三元极片粉镍系数指数</t>
        </is>
      </c>
      <c r="C175" s="7" t="n">
        <v>79</v>
      </c>
      <c r="D175" s="6" t="n">
        <v>79</v>
      </c>
      <c r="E175" s="6" t="n">
        <v>79</v>
      </c>
      <c r="F175" s="6" t="n">
        <v>-0.05</v>
      </c>
      <c r="G175" s="5" t="inlineStr">
        <is>
          <t>%</t>
        </is>
      </c>
      <c r="H175" s="5" t="inlineStr">
        <is>
          <t>SMM</t>
        </is>
      </c>
    </row>
    <row r="176">
      <c r="A176" s="2" t="inlineStr">
        <is>
          <t>2026/06/18</t>
        </is>
      </c>
      <c r="B176" s="2" t="inlineStr">
        <is>
          <t>SMM三元电池粉钴系数指数</t>
        </is>
      </c>
      <c r="C176" s="7" t="n">
        <v>75.72</v>
      </c>
      <c r="D176" s="6" t="n">
        <v>75.72</v>
      </c>
      <c r="E176" s="6" t="n">
        <v>75.72</v>
      </c>
      <c r="F176" s="4" t="n">
        <v>0</v>
      </c>
      <c r="G176" s="5" t="inlineStr">
        <is>
          <t>%</t>
        </is>
      </c>
      <c r="H176" s="5" t="inlineStr">
        <is>
          <t>SMM</t>
        </is>
      </c>
    </row>
    <row r="177">
      <c r="A177" s="2" t="inlineStr">
        <is>
          <t>2026/06/18</t>
        </is>
      </c>
      <c r="B177" s="2" t="inlineStr">
        <is>
          <t>SMM三元电池粉锂系数指数</t>
        </is>
      </c>
      <c r="C177" s="7" t="n">
        <v>75.73</v>
      </c>
      <c r="D177" s="6" t="n">
        <v>75.73</v>
      </c>
      <c r="E177" s="6" t="n">
        <v>75.73</v>
      </c>
      <c r="F177" s="6" t="n">
        <v>-0.1</v>
      </c>
      <c r="G177" s="5" t="inlineStr">
        <is>
          <t>%</t>
        </is>
      </c>
      <c r="H177" s="5" t="inlineStr">
        <is>
          <t>SMM</t>
        </is>
      </c>
    </row>
    <row r="178">
      <c r="A178" s="2" t="inlineStr">
        <is>
          <t>2026/06/18</t>
        </is>
      </c>
      <c r="B178" s="2" t="inlineStr">
        <is>
          <t>SMM三元电池粉镍系数指数</t>
        </is>
      </c>
      <c r="C178" s="7" t="n">
        <v>75.73</v>
      </c>
      <c r="D178" s="6" t="n">
        <v>75.73</v>
      </c>
      <c r="E178" s="6" t="n">
        <v>75.73</v>
      </c>
      <c r="F178" s="6" t="n">
        <v>-0.1</v>
      </c>
      <c r="G178" s="5" t="inlineStr">
        <is>
          <t>%</t>
        </is>
      </c>
      <c r="H178" s="5" t="inlineStr">
        <is>
          <t>SMM</t>
        </is>
      </c>
    </row>
    <row r="179">
      <c r="A179" s="2" t="inlineStr">
        <is>
          <t>2026/06/18</t>
        </is>
      </c>
      <c r="B179" s="2" t="inlineStr">
        <is>
          <t>SMM六氟磷酸锂指数</t>
        </is>
      </c>
      <c r="C179" s="3" t="n">
        <v>101802</v>
      </c>
      <c r="D179" s="4" t="n">
        <v>105958</v>
      </c>
      <c r="E179" s="4" t="n">
        <v>103880</v>
      </c>
      <c r="F179" s="4" t="n">
        <v>-508.5</v>
      </c>
      <c r="G179" s="5" t="inlineStr">
        <is>
          <t>元/吨</t>
        </is>
      </c>
      <c r="H179" s="5" t="inlineStr">
        <is>
          <t>SMM</t>
        </is>
      </c>
    </row>
    <row r="180">
      <c r="A180" s="2" t="inlineStr">
        <is>
          <t>2026/06/18</t>
        </is>
      </c>
      <c r="B180" s="2" t="inlineStr">
        <is>
          <t>SMM电池级氢氧化锂指数</t>
        </is>
      </c>
      <c r="C180" s="3" t="n">
        <v>152617</v>
      </c>
      <c r="D180" s="4" t="n">
        <v>152617</v>
      </c>
      <c r="E180" s="4" t="n">
        <v>152617</v>
      </c>
      <c r="F180" s="4" t="n">
        <v>-2079</v>
      </c>
      <c r="G180" s="5" t="inlineStr">
        <is>
          <t>元/吨</t>
        </is>
      </c>
      <c r="H180" s="5" t="inlineStr">
        <is>
          <t>SMM</t>
        </is>
      </c>
    </row>
    <row r="181">
      <c r="A181" s="2" t="inlineStr">
        <is>
          <t>2026/06/18</t>
        </is>
      </c>
      <c r="B181" s="2" t="inlineStr">
        <is>
          <t>SMM电池级硫酸锰指数</t>
        </is>
      </c>
      <c r="C181" s="3" t="n">
        <v>7658</v>
      </c>
      <c r="D181" s="4" t="n">
        <v>7658</v>
      </c>
      <c r="E181" s="4" t="n">
        <v>7658</v>
      </c>
      <c r="F181" s="6" t="n">
        <v>3</v>
      </c>
      <c r="G181" s="5" t="inlineStr">
        <is>
          <t>元/吨</t>
        </is>
      </c>
      <c r="H181" s="5" t="inlineStr">
        <is>
          <t>SMM</t>
        </is>
      </c>
    </row>
    <row r="182">
      <c r="A182" s="2" t="inlineStr">
        <is>
          <t>2026/06/18</t>
        </is>
      </c>
      <c r="B182" s="2" t="inlineStr">
        <is>
          <t>SMM电池级硫酸镍指数</t>
        </is>
      </c>
      <c r="C182" s="3" t="n">
        <v>33000</v>
      </c>
      <c r="D182" s="4" t="n">
        <v>33000</v>
      </c>
      <c r="E182" s="4" t="n">
        <v>33000</v>
      </c>
      <c r="F182" s="6" t="n">
        <v>-42</v>
      </c>
      <c r="G182" s="5" t="inlineStr">
        <is>
          <t>元/吨</t>
        </is>
      </c>
      <c r="H182" s="5" t="inlineStr">
        <is>
          <t>SMM</t>
        </is>
      </c>
    </row>
    <row r="183">
      <c r="A183" s="2" t="inlineStr">
        <is>
          <t>2026/06/18</t>
        </is>
      </c>
      <c r="B183" s="2" t="inlineStr">
        <is>
          <t>SMM电池级碳酸锂指数</t>
        </is>
      </c>
      <c r="C183" s="3" t="n">
        <v>167053</v>
      </c>
      <c r="D183" s="4" t="n">
        <v>167053</v>
      </c>
      <c r="E183" s="4" t="n">
        <v>167053</v>
      </c>
      <c r="F183" s="4" t="n">
        <v>-1430</v>
      </c>
      <c r="G183" s="5" t="inlineStr">
        <is>
          <t>元/吨</t>
        </is>
      </c>
      <c r="H183" s="5" t="inlineStr">
        <is>
          <t>SMM</t>
        </is>
      </c>
    </row>
    <row r="184">
      <c r="A184" s="2" t="inlineStr">
        <is>
          <t>2026/06/18</t>
        </is>
      </c>
      <c r="B184" s="2" t="inlineStr">
        <is>
          <t>SMM硫酸钴指数</t>
        </is>
      </c>
      <c r="C184" s="3" t="n">
        <v>88287</v>
      </c>
      <c r="D184" s="4" t="n">
        <v>88287</v>
      </c>
      <c r="E184" s="4" t="n">
        <v>88287</v>
      </c>
      <c r="F184" s="6" t="n">
        <v>-28</v>
      </c>
      <c r="G184" s="5" t="inlineStr">
        <is>
          <t>元/吨</t>
        </is>
      </c>
      <c r="H184" s="5" t="inlineStr">
        <is>
          <t>SMM</t>
        </is>
      </c>
    </row>
    <row r="185">
      <c r="A185" s="2" t="inlineStr">
        <is>
          <t>2026/06/18</t>
        </is>
      </c>
      <c r="B185" s="2" t="inlineStr">
        <is>
          <t>SMM磷酸铁锂极片粉指数</t>
        </is>
      </c>
      <c r="C185" s="3" t="n">
        <v>7458</v>
      </c>
      <c r="D185" s="4" t="n">
        <v>7458</v>
      </c>
      <c r="E185" s="4" t="n">
        <v>7458</v>
      </c>
      <c r="F185" s="6" t="n">
        <v>-31</v>
      </c>
      <c r="G185" s="5" t="inlineStr">
        <is>
          <t>元/锂点</t>
        </is>
      </c>
      <c r="H185" s="5" t="inlineStr">
        <is>
          <t>SMM</t>
        </is>
      </c>
    </row>
    <row r="186">
      <c r="A186" s="2" t="inlineStr">
        <is>
          <t>2026/06/18</t>
        </is>
      </c>
      <c r="B186" s="2" t="inlineStr">
        <is>
          <t>SMM磷酸铁锂电池粉指数</t>
        </is>
      </c>
      <c r="C186" s="3" t="n">
        <v>6975</v>
      </c>
      <c r="D186" s="4" t="n">
        <v>6975</v>
      </c>
      <c r="E186" s="4" t="n">
        <v>6975</v>
      </c>
      <c r="F186" s="6" t="n">
        <v>-87</v>
      </c>
      <c r="G186" s="5" t="inlineStr">
        <is>
          <t>元/锂点</t>
        </is>
      </c>
      <c r="H186" s="5" t="inlineStr">
        <is>
          <t>SMM</t>
        </is>
      </c>
    </row>
    <row r="187">
      <c r="A187" s="2" t="inlineStr">
        <is>
          <t>2026/06/18</t>
        </is>
      </c>
      <c r="B187" s="2" t="inlineStr">
        <is>
          <t>SMM钴酸锂极片粉钴系数指数</t>
        </is>
      </c>
      <c r="C187" s="7" t="n">
        <v>82.53</v>
      </c>
      <c r="D187" s="6" t="n">
        <v>82.53</v>
      </c>
      <c r="E187" s="6" t="n">
        <v>82.53</v>
      </c>
      <c r="F187" s="4" t="n">
        <v>0</v>
      </c>
      <c r="G187" s="5" t="inlineStr">
        <is>
          <t>%</t>
        </is>
      </c>
      <c r="H187" s="5" t="inlineStr">
        <is>
          <t>SMM</t>
        </is>
      </c>
    </row>
    <row r="188">
      <c r="A188" s="2" t="inlineStr">
        <is>
          <t>2026/06/18</t>
        </is>
      </c>
      <c r="B188" s="2" t="inlineStr">
        <is>
          <t>SMM钴酸锂极片粉锂系数指数</t>
        </is>
      </c>
      <c r="C188" s="7" t="n">
        <v>76.5</v>
      </c>
      <c r="D188" s="6" t="n">
        <v>76.5</v>
      </c>
      <c r="E188" s="6" t="n">
        <v>76.5</v>
      </c>
      <c r="F188" s="4" t="n">
        <v>0</v>
      </c>
      <c r="G188" s="5" t="inlineStr">
        <is>
          <t>%</t>
        </is>
      </c>
      <c r="H188" s="5" t="inlineStr">
        <is>
          <t>SMM</t>
        </is>
      </c>
    </row>
    <row r="189">
      <c r="A189" s="2" t="inlineStr">
        <is>
          <t>2026/06/18</t>
        </is>
      </c>
      <c r="B189" s="2" t="inlineStr">
        <is>
          <t>SMM钴酸锂电池粉钴系数指数</t>
        </is>
      </c>
      <c r="C189" s="7" t="n">
        <v>80.13</v>
      </c>
      <c r="D189" s="6" t="n">
        <v>80.13</v>
      </c>
      <c r="E189" s="6" t="n">
        <v>80.13</v>
      </c>
      <c r="F189" s="4" t="n">
        <v>0</v>
      </c>
      <c r="G189" s="5" t="inlineStr">
        <is>
          <t>%</t>
        </is>
      </c>
      <c r="H189" s="5" t="inlineStr">
        <is>
          <t>SMM</t>
        </is>
      </c>
    </row>
    <row r="190">
      <c r="A190" s="2" t="inlineStr">
        <is>
          <t>2026/06/18</t>
        </is>
      </c>
      <c r="B190" s="2" t="inlineStr">
        <is>
          <t>SMM钴酸锂电池粉锂系数指数</t>
        </is>
      </c>
      <c r="C190" s="7" t="n">
        <v>76.11</v>
      </c>
      <c r="D190" s="6" t="n">
        <v>76.11</v>
      </c>
      <c r="E190" s="6" t="n">
        <v>76.11</v>
      </c>
      <c r="F190" s="4" t="n">
        <v>0</v>
      </c>
      <c r="G190" s="5" t="inlineStr">
        <is>
          <t>%</t>
        </is>
      </c>
      <c r="H190" s="5" t="inlineStr">
        <is>
          <t>SMM</t>
        </is>
      </c>
    </row>
    <row r="191">
      <c r="A191" s="2" t="inlineStr">
        <is>
          <t>2026/06/18</t>
        </is>
      </c>
      <c r="B191" s="2" t="inlineStr">
        <is>
          <t>三元方壳锂电B品</t>
        </is>
      </c>
      <c r="C191" s="7" t="n">
        <v>0.75</v>
      </c>
      <c r="D191" s="6" t="n">
        <v>0.85</v>
      </c>
      <c r="E191" s="6" t="n">
        <v>0.8</v>
      </c>
      <c r="F191" s="4" t="n">
        <v>0</v>
      </c>
      <c r="G191" s="5" t="inlineStr">
        <is>
          <t>元/Ah</t>
        </is>
      </c>
      <c r="H191" s="5" t="inlineStr">
        <is>
          <t>SMM</t>
        </is>
      </c>
    </row>
    <row r="192">
      <c r="A192" s="2" t="inlineStr">
        <is>
          <t>2026/06/18</t>
        </is>
      </c>
      <c r="B192" s="2" t="inlineStr">
        <is>
          <t>六氟磷酸锂（国产）</t>
        </is>
      </c>
      <c r="C192" s="3" t="n">
        <v>110000</v>
      </c>
      <c r="D192" s="4" t="n">
        <v>112000</v>
      </c>
      <c r="E192" s="4" t="n">
        <v>111000</v>
      </c>
      <c r="F192" s="4" t="n">
        <v>-3000</v>
      </c>
      <c r="G192" s="5" t="inlineStr">
        <is>
          <t>元/吨</t>
        </is>
      </c>
      <c r="H192" s="5" t="inlineStr">
        <is>
          <t>SMM</t>
        </is>
      </c>
    </row>
    <row r="193">
      <c r="A193" s="2" t="inlineStr">
        <is>
          <t>2026/06/18</t>
        </is>
      </c>
      <c r="B193" s="2" t="inlineStr">
        <is>
          <t>四氧化三钴</t>
        </is>
      </c>
      <c r="C193" s="3" t="n">
        <v>332000</v>
      </c>
      <c r="D193" s="4" t="n">
        <v>345000</v>
      </c>
      <c r="E193" s="4" t="n">
        <v>338500</v>
      </c>
      <c r="F193" s="4" t="n">
        <v>0</v>
      </c>
      <c r="G193" s="5" t="inlineStr">
        <is>
          <t>元/吨</t>
        </is>
      </c>
      <c r="H193" s="5" t="inlineStr">
        <is>
          <t>SMM</t>
        </is>
      </c>
    </row>
    <row r="194">
      <c r="A194" s="2" t="inlineStr">
        <is>
          <t>2026/06/18</t>
        </is>
      </c>
      <c r="B194" s="2" t="inlineStr">
        <is>
          <t>四氧化三锰（电池级）</t>
        </is>
      </c>
      <c r="C194" s="3" t="n">
        <v>14000</v>
      </c>
      <c r="D194" s="4" t="n">
        <v>16000</v>
      </c>
      <c r="E194" s="4" t="n">
        <v>15000</v>
      </c>
      <c r="F194" s="4" t="n">
        <v>0</v>
      </c>
      <c r="G194" s="5" t="inlineStr">
        <is>
          <t>元/吨</t>
        </is>
      </c>
      <c r="H194" s="5" t="inlineStr">
        <is>
          <t>SMM</t>
        </is>
      </c>
    </row>
    <row r="195">
      <c r="A195" s="2" t="inlineStr">
        <is>
          <t>2026/06/18</t>
        </is>
      </c>
      <c r="B195" s="2" t="inlineStr">
        <is>
          <t>工业级氢氧化锂</t>
        </is>
      </c>
      <c r="C195" s="3" t="n">
        <v>136000</v>
      </c>
      <c r="D195" s="4" t="n">
        <v>144000</v>
      </c>
      <c r="E195" s="4" t="n">
        <v>140000</v>
      </c>
      <c r="F195" s="4" t="n">
        <v>-2000</v>
      </c>
      <c r="G195" s="5" t="inlineStr">
        <is>
          <t>元/吨</t>
        </is>
      </c>
      <c r="H195" s="5" t="inlineStr">
        <is>
          <t>SMM</t>
        </is>
      </c>
    </row>
    <row r="196">
      <c r="A196" s="2" t="inlineStr">
        <is>
          <t>2026/06/18</t>
        </is>
      </c>
      <c r="B196" s="2" t="inlineStr">
        <is>
          <t>工业级碳酸锂</t>
        </is>
      </c>
      <c r="C196" s="3" t="n">
        <v>160500</v>
      </c>
      <c r="D196" s="4" t="n">
        <v>166000</v>
      </c>
      <c r="E196" s="4" t="n">
        <v>163250</v>
      </c>
      <c r="F196" s="4" t="n">
        <v>-2250</v>
      </c>
      <c r="G196" s="5" t="inlineStr">
        <is>
          <t>元/吨</t>
        </is>
      </c>
      <c r="H196" s="5" t="inlineStr">
        <is>
          <t>SMM</t>
        </is>
      </c>
    </row>
    <row r="197">
      <c r="A197" s="2" t="inlineStr">
        <is>
          <t>2026/06/18</t>
        </is>
      </c>
      <c r="B197" s="2" t="inlineStr">
        <is>
          <t>工业级金属锂</t>
        </is>
      </c>
      <c r="C197" s="3" t="n">
        <v>1070000</v>
      </c>
      <c r="D197" s="4" t="n">
        <v>1130000</v>
      </c>
      <c r="E197" s="4" t="n">
        <v>1100000</v>
      </c>
      <c r="F197" s="4" t="n">
        <v>-5000</v>
      </c>
      <c r="G197" s="5" t="inlineStr">
        <is>
          <t>元/吨</t>
        </is>
      </c>
      <c r="H197" s="5" t="inlineStr">
        <is>
          <t>SMM</t>
        </is>
      </c>
    </row>
    <row r="198">
      <c r="A198" s="2" t="inlineStr">
        <is>
          <t>2026/06/18</t>
        </is>
      </c>
      <c r="B198" s="2" t="inlineStr">
        <is>
          <t>巴西锂辉石精矿（CIF中国）现货</t>
        </is>
      </c>
      <c r="C198" s="3" t="n">
        <v>2370</v>
      </c>
      <c r="D198" s="4" t="n">
        <v>2500</v>
      </c>
      <c r="E198" s="4" t="n">
        <v>2435</v>
      </c>
      <c r="F198" s="6" t="n">
        <v>-46</v>
      </c>
      <c r="G198" s="5" t="inlineStr">
        <is>
          <t>美元/吨</t>
        </is>
      </c>
      <c r="H198" s="5" t="inlineStr">
        <is>
          <t>SMM</t>
        </is>
      </c>
    </row>
    <row r="199">
      <c r="A199" s="2" t="inlineStr">
        <is>
          <t>2026/06/18</t>
        </is>
      </c>
      <c r="B199" s="2" t="inlineStr">
        <is>
          <t>废旧磷酸铁锂储能正极片</t>
        </is>
      </c>
      <c r="C199" s="3" t="n">
        <v>21800</v>
      </c>
      <c r="D199" s="4" t="n">
        <v>25200</v>
      </c>
      <c r="E199" s="4" t="n">
        <v>23500</v>
      </c>
      <c r="F199" s="4" t="n">
        <v>-300</v>
      </c>
      <c r="G199" s="5" t="inlineStr">
        <is>
          <t>元/吨</t>
        </is>
      </c>
      <c r="H199" s="5" t="inlineStr">
        <is>
          <t>SMM</t>
        </is>
      </c>
    </row>
    <row r="200">
      <c r="A200" s="2" t="inlineStr">
        <is>
          <t>2026/06/18</t>
        </is>
      </c>
      <c r="B200" s="2" t="inlineStr">
        <is>
          <t>废旧磷酸铁锂动力正极片</t>
        </is>
      </c>
      <c r="C200" s="3" t="n">
        <v>25850</v>
      </c>
      <c r="D200" s="4" t="n">
        <v>30350</v>
      </c>
      <c r="E200" s="4" t="n">
        <v>28100</v>
      </c>
      <c r="F200" s="4" t="n">
        <v>-375</v>
      </c>
      <c r="G200" s="5" t="inlineStr">
        <is>
          <t>元/吨</t>
        </is>
      </c>
      <c r="H200" s="5" t="inlineStr">
        <is>
          <t>SMM</t>
        </is>
      </c>
    </row>
    <row r="201">
      <c r="A201" s="2" t="inlineStr">
        <is>
          <t>2026/06/18</t>
        </is>
      </c>
      <c r="B201" s="2" t="inlineStr">
        <is>
          <t>废旧磷酸铁锂软包电池</t>
        </is>
      </c>
      <c r="C201" s="3" t="n">
        <v>16300</v>
      </c>
      <c r="D201" s="4" t="n">
        <v>17600</v>
      </c>
      <c r="E201" s="4" t="n">
        <v>16950</v>
      </c>
      <c r="F201" s="4" t="n">
        <v>-300</v>
      </c>
      <c r="G201" s="5" t="inlineStr">
        <is>
          <t>元/吨</t>
        </is>
      </c>
      <c r="H201" s="5" t="inlineStr">
        <is>
          <t>SMM</t>
        </is>
      </c>
    </row>
    <row r="202">
      <c r="A202" s="2" t="inlineStr">
        <is>
          <t>2026/06/18</t>
        </is>
      </c>
      <c r="B202" s="2" t="inlineStr">
        <is>
          <t>废旧磷酸铁锂钢壳电池</t>
        </is>
      </c>
      <c r="C202" s="3" t="n">
        <v>10500</v>
      </c>
      <c r="D202" s="4" t="n">
        <v>11500</v>
      </c>
      <c r="E202" s="4" t="n">
        <v>11000</v>
      </c>
      <c r="F202" s="4" t="n">
        <v>-150</v>
      </c>
      <c r="G202" s="5" t="inlineStr">
        <is>
          <t>元/吨</t>
        </is>
      </c>
      <c r="H202" s="5" t="inlineStr">
        <is>
          <t>SMM</t>
        </is>
      </c>
    </row>
    <row r="203">
      <c r="A203" s="2" t="inlineStr">
        <is>
          <t>2026/06/18</t>
        </is>
      </c>
      <c r="B203" s="2" t="inlineStr">
        <is>
          <t>废旧磷酸铁锂铝壳电池</t>
        </is>
      </c>
      <c r="C203" s="3" t="n">
        <v>17400</v>
      </c>
      <c r="D203" s="4" t="n">
        <v>18800</v>
      </c>
      <c r="E203" s="4" t="n">
        <v>18100</v>
      </c>
      <c r="F203" s="4" t="n">
        <v>-300</v>
      </c>
      <c r="G203" s="5" t="inlineStr">
        <is>
          <t>元/吨</t>
        </is>
      </c>
      <c r="H203" s="5" t="inlineStr">
        <is>
          <t>SMM</t>
        </is>
      </c>
    </row>
    <row r="204">
      <c r="A204" s="2" t="inlineStr">
        <is>
          <t>2026/06/18</t>
        </is>
      </c>
      <c r="B204" s="2" t="inlineStr">
        <is>
          <t>方形磷酸铁锂电池B品</t>
        </is>
      </c>
      <c r="C204" s="7" t="n">
        <v>0.68</v>
      </c>
      <c r="D204" s="6" t="n">
        <v>0.8</v>
      </c>
      <c r="E204" s="6" t="n">
        <v>0.74</v>
      </c>
      <c r="F204" s="4" t="n">
        <v>0</v>
      </c>
      <c r="G204" s="5" t="inlineStr">
        <is>
          <t>元/Ah</t>
        </is>
      </c>
      <c r="H204" s="5" t="inlineStr">
        <is>
          <t>SMM</t>
        </is>
      </c>
    </row>
    <row r="205">
      <c r="A205" s="2" t="inlineStr">
        <is>
          <t>2026/06/18</t>
        </is>
      </c>
      <c r="B205" s="2" t="inlineStr">
        <is>
          <t>氧化亚镍</t>
        </is>
      </c>
      <c r="C205" s="3" t="n">
        <v>118000</v>
      </c>
      <c r="D205" s="4" t="n">
        <v>126000</v>
      </c>
      <c r="E205" s="4" t="n">
        <v>122000</v>
      </c>
      <c r="F205" s="4" t="n">
        <v>0</v>
      </c>
      <c r="G205" s="5" t="inlineStr">
        <is>
          <t>元/吨</t>
        </is>
      </c>
      <c r="H205" s="5" t="inlineStr">
        <is>
          <t>SMM</t>
        </is>
      </c>
    </row>
    <row r="206">
      <c r="A206" s="2" t="inlineStr">
        <is>
          <t>2026/06/18</t>
        </is>
      </c>
      <c r="B206" s="2" t="inlineStr">
        <is>
          <t>氧化钴</t>
        </is>
      </c>
      <c r="C206" s="3" t="n">
        <v>305000</v>
      </c>
      <c r="D206" s="4" t="n">
        <v>320000</v>
      </c>
      <c r="E206" s="4" t="n">
        <v>312500</v>
      </c>
      <c r="F206" s="4" t="n">
        <v>0</v>
      </c>
      <c r="G206" s="5" t="inlineStr">
        <is>
          <t>元/吨</t>
        </is>
      </c>
      <c r="H206" s="5" t="inlineStr">
        <is>
          <t>SMM</t>
        </is>
      </c>
    </row>
    <row r="207">
      <c r="A207" s="2" t="inlineStr">
        <is>
          <t>2026/06/18</t>
        </is>
      </c>
      <c r="B207" s="2" t="inlineStr">
        <is>
          <t>氯化钴</t>
        </is>
      </c>
      <c r="C207" s="3" t="n">
        <v>106000</v>
      </c>
      <c r="D207" s="4" t="n">
        <v>112000</v>
      </c>
      <c r="E207" s="4" t="n">
        <v>109000</v>
      </c>
      <c r="F207" s="4" t="n">
        <v>0</v>
      </c>
      <c r="G207" s="5" t="inlineStr">
        <is>
          <t>元/吨</t>
        </is>
      </c>
      <c r="H207" s="5" t="inlineStr">
        <is>
          <t>SMM</t>
        </is>
      </c>
    </row>
    <row r="208">
      <c r="A208" s="2" t="inlineStr">
        <is>
          <t>2026/06/18</t>
        </is>
      </c>
      <c r="B208" s="2" t="inlineStr">
        <is>
          <t>氯化镍NiCl₂·6H₂O</t>
        </is>
      </c>
      <c r="C208" s="3" t="n">
        <v>38500</v>
      </c>
      <c r="D208" s="4" t="n">
        <v>41000</v>
      </c>
      <c r="E208" s="4" t="n">
        <v>39750</v>
      </c>
      <c r="F208" s="4" t="n">
        <v>-250</v>
      </c>
      <c r="G208" s="5" t="inlineStr">
        <is>
          <t>元/吨</t>
        </is>
      </c>
      <c r="H208" s="5" t="inlineStr">
        <is>
          <t>SMM</t>
        </is>
      </c>
    </row>
    <row r="209">
      <c r="A209" s="2" t="inlineStr">
        <is>
          <t>2026/06/18</t>
        </is>
      </c>
      <c r="B209" s="2" t="inlineStr">
        <is>
          <t>津巴布韦锂辉石精矿（CIF中国）现货</t>
        </is>
      </c>
      <c r="C209" s="3" t="n">
        <v>2380</v>
      </c>
      <c r="D209" s="4" t="n">
        <v>2450</v>
      </c>
      <c r="E209" s="4" t="n">
        <v>2415</v>
      </c>
      <c r="F209" s="6" t="n">
        <v>-60</v>
      </c>
      <c r="G209" s="5" t="inlineStr">
        <is>
          <t>美元/吨</t>
        </is>
      </c>
      <c r="H209" s="5" t="inlineStr">
        <is>
          <t>SMM</t>
        </is>
      </c>
    </row>
    <row r="210">
      <c r="A210" s="2" t="inlineStr">
        <is>
          <t>2026/06/18</t>
        </is>
      </c>
      <c r="B210" s="2" t="inlineStr">
        <is>
          <t>澳大利亚锂辉石精矿（CIF中国）现货</t>
        </is>
      </c>
      <c r="C210" s="3" t="n">
        <v>2390</v>
      </c>
      <c r="D210" s="4" t="n">
        <v>2510</v>
      </c>
      <c r="E210" s="4" t="n">
        <v>2450</v>
      </c>
      <c r="F210" s="6" t="n">
        <v>-46</v>
      </c>
      <c r="G210" s="5" t="inlineStr">
        <is>
          <t>美元/吨</t>
        </is>
      </c>
      <c r="H210" s="5" t="inlineStr">
        <is>
          <t>SMM</t>
        </is>
      </c>
    </row>
    <row r="211">
      <c r="A211" s="2" t="inlineStr">
        <is>
          <t>2026/06/18</t>
        </is>
      </c>
      <c r="B211" s="2" t="inlineStr">
        <is>
          <t>电池级无水氯化锂</t>
        </is>
      </c>
      <c r="C211" s="3" t="n">
        <v>235</v>
      </c>
      <c r="D211" s="4" t="n">
        <v>291</v>
      </c>
      <c r="E211" s="4" t="n">
        <v>263</v>
      </c>
      <c r="F211" s="4" t="n">
        <v>0</v>
      </c>
      <c r="G211" s="5" t="inlineStr">
        <is>
          <t>元/千克</t>
        </is>
      </c>
      <c r="H211" s="5" t="inlineStr">
        <is>
          <t>SMM</t>
        </is>
      </c>
    </row>
    <row r="212">
      <c r="A212" s="2" t="inlineStr">
        <is>
          <t>2026/06/18</t>
        </is>
      </c>
      <c r="B212" s="2" t="inlineStr">
        <is>
          <t>电池级氟化锂</t>
        </is>
      </c>
      <c r="C212" s="3" t="n">
        <v>285000</v>
      </c>
      <c r="D212" s="4" t="n">
        <v>290000</v>
      </c>
      <c r="E212" s="4" t="n">
        <v>287500</v>
      </c>
      <c r="F212" s="4" t="n">
        <v>-4000</v>
      </c>
      <c r="G212" s="5" t="inlineStr">
        <is>
          <t>元/吨</t>
        </is>
      </c>
      <c r="H212" s="5" t="inlineStr">
        <is>
          <t>SMM</t>
        </is>
      </c>
    </row>
    <row r="213">
      <c r="A213" s="2" t="inlineStr">
        <is>
          <t>2026/06/18</t>
        </is>
      </c>
      <c r="B213" s="2" t="inlineStr">
        <is>
          <t>电池级氢氧化锂(CIF中日韩)</t>
        </is>
      </c>
      <c r="C213" s="7" t="n">
        <v>17.9</v>
      </c>
      <c r="D213" s="6" t="n">
        <v>21</v>
      </c>
      <c r="E213" s="6" t="n">
        <v>19.45</v>
      </c>
      <c r="F213" s="6" t="n">
        <v>-0.2</v>
      </c>
      <c r="G213" s="5" t="inlineStr">
        <is>
          <t>美元/千克</t>
        </is>
      </c>
      <c r="H213" s="5" t="inlineStr">
        <is>
          <t>SMM</t>
        </is>
      </c>
    </row>
    <row r="214">
      <c r="A214" s="2" t="inlineStr">
        <is>
          <t>2026/06/18</t>
        </is>
      </c>
      <c r="B214" s="2" t="inlineStr">
        <is>
          <t>电池级氢氧化锂(CIF韩国)</t>
        </is>
      </c>
      <c r="C214" s="7" t="n">
        <v>17.75</v>
      </c>
      <c r="D214" s="6" t="n">
        <v>20.95</v>
      </c>
      <c r="E214" s="6" t="n">
        <v>19.35</v>
      </c>
      <c r="F214" s="6" t="n">
        <v>-0.2</v>
      </c>
      <c r="G214" s="5" t="inlineStr">
        <is>
          <t>美元/千克</t>
        </is>
      </c>
      <c r="H214" s="5" t="inlineStr">
        <is>
          <t>SMM</t>
        </is>
      </c>
    </row>
    <row r="215">
      <c r="A215" s="2" t="inlineStr">
        <is>
          <t>2026/06/18</t>
        </is>
      </c>
      <c r="B215" s="2" t="inlineStr">
        <is>
          <t>电池级氢氧化锂(微粉）</t>
        </is>
      </c>
      <c r="C215" s="3" t="n">
        <v>152000</v>
      </c>
      <c r="D215" s="4" t="n">
        <v>165000</v>
      </c>
      <c r="E215" s="4" t="n">
        <v>158500</v>
      </c>
      <c r="F215" s="4" t="n">
        <v>-2000</v>
      </c>
      <c r="G215" s="5" t="inlineStr">
        <is>
          <t>元/吨</t>
        </is>
      </c>
      <c r="H215" s="5" t="inlineStr">
        <is>
          <t>SMM</t>
        </is>
      </c>
    </row>
    <row r="216">
      <c r="A216" s="2" t="inlineStr">
        <is>
          <t>2026/06/18</t>
        </is>
      </c>
      <c r="B216" s="2" t="inlineStr">
        <is>
          <t>电池级氢氧化锂（粗颗粒）</t>
        </is>
      </c>
      <c r="C216" s="3" t="n">
        <v>145000</v>
      </c>
      <c r="D216" s="4" t="n">
        <v>160000</v>
      </c>
      <c r="E216" s="4" t="n">
        <v>152500</v>
      </c>
      <c r="F216" s="4" t="n">
        <v>-2000</v>
      </c>
      <c r="G216" s="5" t="inlineStr">
        <is>
          <t>元/吨</t>
        </is>
      </c>
      <c r="H216" s="5" t="inlineStr">
        <is>
          <t>SMM</t>
        </is>
      </c>
    </row>
    <row r="217">
      <c r="A217" s="2" t="inlineStr">
        <is>
          <t>2026/06/18</t>
        </is>
      </c>
      <c r="B217" s="2" t="inlineStr">
        <is>
          <t>电池级硫酸锰（出厂价）</t>
        </is>
      </c>
      <c r="C217" s="3" t="n">
        <v>7590</v>
      </c>
      <c r="D217" s="4" t="n">
        <v>7790</v>
      </c>
      <c r="E217" s="4" t="n">
        <v>7690</v>
      </c>
      <c r="F217" s="4" t="n">
        <v>0</v>
      </c>
      <c r="G217" s="5" t="inlineStr">
        <is>
          <t>元/吨</t>
        </is>
      </c>
      <c r="H217" s="5" t="inlineStr">
        <is>
          <t>SMM</t>
        </is>
      </c>
    </row>
    <row r="218">
      <c r="A218" s="2" t="inlineStr">
        <is>
          <t>2026/06/18</t>
        </is>
      </c>
      <c r="B218" s="2" t="inlineStr">
        <is>
          <t>电池级硫酸镍</t>
        </is>
      </c>
      <c r="C218" s="3" t="n">
        <v>33370</v>
      </c>
      <c r="D218" s="4" t="n">
        <v>33750</v>
      </c>
      <c r="E218" s="4" t="n">
        <v>33560</v>
      </c>
      <c r="F218" s="6" t="n">
        <v>-50</v>
      </c>
      <c r="G218" s="5" t="inlineStr">
        <is>
          <t>元/吨</t>
        </is>
      </c>
      <c r="H218" s="5" t="inlineStr">
        <is>
          <t>SMM</t>
        </is>
      </c>
    </row>
    <row r="219">
      <c r="A219" s="2" t="inlineStr">
        <is>
          <t>2026/06/18</t>
        </is>
      </c>
      <c r="B219" s="2" t="inlineStr">
        <is>
          <t>电池级碳酸锂</t>
        </is>
      </c>
      <c r="C219" s="3" t="n">
        <v>164500</v>
      </c>
      <c r="D219" s="4" t="n">
        <v>170000</v>
      </c>
      <c r="E219" s="4" t="n">
        <v>167250</v>
      </c>
      <c r="F219" s="4" t="n">
        <v>-2250</v>
      </c>
      <c r="G219" s="5" t="inlineStr">
        <is>
          <t>元/吨</t>
        </is>
      </c>
      <c r="H219" s="5" t="inlineStr">
        <is>
          <t>SMM</t>
        </is>
      </c>
    </row>
    <row r="220">
      <c r="A220" s="2" t="inlineStr">
        <is>
          <t>2026/06/18</t>
        </is>
      </c>
      <c r="B220" s="2" t="inlineStr">
        <is>
          <t>电池级碳酸锂(CIF韩国)</t>
        </is>
      </c>
      <c r="C220" s="7" t="n">
        <v>19.95</v>
      </c>
      <c r="D220" s="6" t="n">
        <v>21.95</v>
      </c>
      <c r="E220" s="6" t="n">
        <v>20.95</v>
      </c>
      <c r="F220" s="6" t="n">
        <v>-0.2</v>
      </c>
      <c r="G220" s="5" t="inlineStr">
        <is>
          <t>美元/千克</t>
        </is>
      </c>
      <c r="H220" s="5" t="inlineStr">
        <is>
          <t>SMM</t>
        </is>
      </c>
    </row>
    <row r="221">
      <c r="A221" s="2" t="inlineStr">
        <is>
          <t>2026/06/18</t>
        </is>
      </c>
      <c r="B221" s="2" t="inlineStr">
        <is>
          <t>电池级碳酸锂（CIF中日韩）</t>
        </is>
      </c>
      <c r="C221" s="7" t="n">
        <v>20.15</v>
      </c>
      <c r="D221" s="6" t="n">
        <v>22</v>
      </c>
      <c r="E221" s="6" t="n">
        <v>21.08</v>
      </c>
      <c r="F221" s="6" t="n">
        <v>-0.2</v>
      </c>
      <c r="G221" s="5" t="inlineStr">
        <is>
          <t>美元/千克</t>
        </is>
      </c>
      <c r="H221" s="5" t="inlineStr">
        <is>
          <t>SMM</t>
        </is>
      </c>
    </row>
    <row r="222">
      <c r="A222" s="2" t="inlineStr">
        <is>
          <t>2026/06/18</t>
        </is>
      </c>
      <c r="B222" s="2" t="inlineStr">
        <is>
          <t>电池级金属锂</t>
        </is>
      </c>
      <c r="C222" s="3" t="n">
        <v>1100000</v>
      </c>
      <c r="D222" s="4" t="n">
        <v>1160000</v>
      </c>
      <c r="E222" s="4" t="n">
        <v>1130000</v>
      </c>
      <c r="F222" s="4" t="n">
        <v>-5000</v>
      </c>
      <c r="G222" s="5" t="inlineStr">
        <is>
          <t>元/吨</t>
        </is>
      </c>
      <c r="H222" s="5" t="inlineStr">
        <is>
          <t>SMM</t>
        </is>
      </c>
    </row>
    <row r="223">
      <c r="A223" s="2" t="inlineStr">
        <is>
          <t>2026/06/18</t>
        </is>
      </c>
      <c r="B223" s="2" t="inlineStr">
        <is>
          <t>电解钴</t>
        </is>
      </c>
      <c r="C223" s="3" t="n">
        <v>372000</v>
      </c>
      <c r="D223" s="4" t="n">
        <v>395000</v>
      </c>
      <c r="E223" s="4" t="n">
        <v>383500</v>
      </c>
      <c r="F223" s="4" t="n">
        <v>-10000</v>
      </c>
      <c r="G223" s="5" t="inlineStr">
        <is>
          <t>元/吨</t>
        </is>
      </c>
      <c r="H223" s="5" t="inlineStr">
        <is>
          <t>SMM</t>
        </is>
      </c>
    </row>
    <row r="224">
      <c r="A224" s="2" t="inlineStr">
        <is>
          <t>2026/06/18</t>
        </is>
      </c>
      <c r="B224" s="2" t="inlineStr">
        <is>
          <t>电解钴（鹿特丹仓库）</t>
        </is>
      </c>
      <c r="C224" s="7" t="n">
        <v>25.5</v>
      </c>
      <c r="D224" s="6" t="n">
        <v>27</v>
      </c>
      <c r="E224" s="6" t="n">
        <v>26.25</v>
      </c>
      <c r="F224" s="4" t="n">
        <v>0</v>
      </c>
      <c r="G224" s="5" t="inlineStr">
        <is>
          <t>美元/磅</t>
        </is>
      </c>
      <c r="H224" s="5" t="inlineStr">
        <is>
          <t>SMM</t>
        </is>
      </c>
    </row>
    <row r="225">
      <c r="A225" s="2" t="inlineStr">
        <is>
          <t>2026/06/18</t>
        </is>
      </c>
      <c r="B225" s="2" t="inlineStr">
        <is>
          <t>电镀级硫酸镍</t>
        </is>
      </c>
      <c r="C225" s="3" t="n">
        <v>32500</v>
      </c>
      <c r="D225" s="4" t="n">
        <v>37000</v>
      </c>
      <c r="E225" s="4" t="n">
        <v>34750</v>
      </c>
      <c r="F225" s="4" t="n">
        <v>-2000</v>
      </c>
      <c r="G225" s="5" t="inlineStr">
        <is>
          <t>元/吨</t>
        </is>
      </c>
      <c r="H225" s="5" t="inlineStr">
        <is>
          <t>SMM</t>
        </is>
      </c>
    </row>
    <row r="226">
      <c r="A226" s="2" t="inlineStr">
        <is>
          <t>2026/06/18</t>
        </is>
      </c>
      <c r="B226" s="2" t="inlineStr">
        <is>
          <t>硫酸钴</t>
        </is>
      </c>
      <c r="C226" s="3" t="n">
        <v>87000</v>
      </c>
      <c r="D226" s="4" t="n">
        <v>90000</v>
      </c>
      <c r="E226" s="4" t="n">
        <v>88500</v>
      </c>
      <c r="F226" s="4" t="n">
        <v>0</v>
      </c>
      <c r="G226" s="5" t="inlineStr">
        <is>
          <t>元/吨</t>
        </is>
      </c>
      <c r="H226" s="5" t="inlineStr">
        <is>
          <t>SMM</t>
        </is>
      </c>
    </row>
    <row r="227">
      <c r="A227" s="2" t="inlineStr">
        <is>
          <t>2026/06/18</t>
        </is>
      </c>
      <c r="B227" s="2" t="inlineStr">
        <is>
          <t>碳酸钴</t>
        </is>
      </c>
      <c r="C227" s="3" t="n">
        <v>210000</v>
      </c>
      <c r="D227" s="4" t="n">
        <v>220000</v>
      </c>
      <c r="E227" s="4" t="n">
        <v>215000</v>
      </c>
      <c r="F227" s="4" t="n">
        <v>-2500</v>
      </c>
      <c r="G227" s="5" t="inlineStr">
        <is>
          <t>元/吨</t>
        </is>
      </c>
      <c r="H227" s="5" t="inlineStr">
        <is>
          <t>SMM</t>
        </is>
      </c>
    </row>
    <row r="228">
      <c r="A228" s="2" t="inlineStr">
        <is>
          <t>2026/06/18</t>
        </is>
      </c>
      <c r="B228" s="2" t="inlineStr">
        <is>
          <t>磷酸铁锂</t>
        </is>
      </c>
      <c r="C228" s="3" t="n">
        <v>59180</v>
      </c>
      <c r="D228" s="4" t="n">
        <v>59780</v>
      </c>
      <c r="E228" s="4" t="n">
        <v>59480</v>
      </c>
      <c r="F228" s="4" t="n">
        <v>-550</v>
      </c>
      <c r="G228" s="5" t="inlineStr">
        <is>
          <t>元/吨</t>
        </is>
      </c>
      <c r="H228" s="5" t="inlineStr">
        <is>
          <t>SMM</t>
        </is>
      </c>
    </row>
    <row r="229">
      <c r="A229" s="2" t="inlineStr">
        <is>
          <t>2026/06/18</t>
        </is>
      </c>
      <c r="B229" s="2" t="inlineStr">
        <is>
          <t>磷酸锰铁锂</t>
        </is>
      </c>
      <c r="C229" s="3" t="n">
        <v>64500</v>
      </c>
      <c r="D229" s="4" t="n">
        <v>69500</v>
      </c>
      <c r="E229" s="4" t="n">
        <v>67000</v>
      </c>
      <c r="F229" s="4" t="n">
        <v>0</v>
      </c>
      <c r="G229" s="5" t="inlineStr">
        <is>
          <t>元/吨</t>
        </is>
      </c>
      <c r="H229" s="5" t="inlineStr">
        <is>
          <t>SMM</t>
        </is>
      </c>
    </row>
    <row r="230">
      <c r="A230" s="2" t="inlineStr">
        <is>
          <t>2026/06/18</t>
        </is>
      </c>
      <c r="B230" s="2" t="inlineStr">
        <is>
          <t>金属钴FOB</t>
        </is>
      </c>
      <c r="C230" s="7" t="n">
        <v>24.5</v>
      </c>
      <c r="D230" s="6" t="n">
        <v>25.5</v>
      </c>
      <c r="E230" s="6" t="n">
        <v>25</v>
      </c>
      <c r="F230" s="6" t="n">
        <v>-0.13</v>
      </c>
      <c r="G230" s="5" t="inlineStr">
        <is>
          <t>美元/磅</t>
        </is>
      </c>
      <c r="H230" s="5" t="inlineStr">
        <is>
          <t>SMM</t>
        </is>
      </c>
    </row>
    <row r="231">
      <c r="A231" s="2" t="inlineStr">
        <is>
          <t>2026/06/18</t>
        </is>
      </c>
      <c r="B231" s="2" t="inlineStr">
        <is>
          <t>钴中间品中钴含量≥30%</t>
        </is>
      </c>
      <c r="C231" s="3" t="n">
        <v>26783</v>
      </c>
      <c r="D231" s="4" t="n">
        <v>26783</v>
      </c>
      <c r="E231" s="4" t="n">
        <v>26783</v>
      </c>
      <c r="F231" s="4" t="n">
        <v>1046</v>
      </c>
      <c r="G231" s="5" t="inlineStr">
        <is>
          <t>元/金属吨</t>
        </is>
      </c>
      <c r="H231" s="5" t="inlineStr">
        <is>
          <t>SMM</t>
        </is>
      </c>
    </row>
    <row r="232">
      <c r="A232" s="2" t="inlineStr">
        <is>
          <t>2026/06/18</t>
        </is>
      </c>
      <c r="B232" s="2" t="inlineStr">
        <is>
          <t>钴中间品原料计价系数（对SMM硫酸钴均价）</t>
        </is>
      </c>
      <c r="C232" s="7" t="n">
        <v>99</v>
      </c>
      <c r="D232" s="4" t="n">
        <v>100</v>
      </c>
      <c r="E232" s="6" t="n">
        <v>99.5</v>
      </c>
      <c r="F232" s="4" t="n">
        <v>0</v>
      </c>
      <c r="G232" s="5" t="inlineStr">
        <is>
          <t>%</t>
        </is>
      </c>
      <c r="H232" s="5" t="inlineStr">
        <is>
          <t>SMM</t>
        </is>
      </c>
    </row>
    <row r="233">
      <c r="A233" s="2" t="inlineStr">
        <is>
          <t>2026/06/18</t>
        </is>
      </c>
      <c r="B233" s="2" t="inlineStr">
        <is>
          <t>钴酸锂</t>
        </is>
      </c>
      <c r="C233" s="3" t="n">
        <v>380000</v>
      </c>
      <c r="D233" s="4" t="n">
        <v>383000</v>
      </c>
      <c r="E233" s="4" t="n">
        <v>381500</v>
      </c>
      <c r="F233" s="4" t="n">
        <v>0</v>
      </c>
      <c r="G233" s="5" t="inlineStr">
        <is>
          <t>元/吨</t>
        </is>
      </c>
      <c r="H233" s="5" t="inlineStr">
        <is>
          <t>SMM</t>
        </is>
      </c>
    </row>
    <row r="234">
      <c r="A234" s="2" t="inlineStr">
        <is>
          <t>2026/06/18</t>
        </is>
      </c>
      <c r="B234" s="2" t="inlineStr">
        <is>
          <t>钴酸锂聚合物软包</t>
        </is>
      </c>
      <c r="C234" s="3" t="n">
        <v>98000</v>
      </c>
      <c r="D234" s="4" t="n">
        <v>101000</v>
      </c>
      <c r="E234" s="4" t="n">
        <v>99500</v>
      </c>
      <c r="F234" s="4" t="n">
        <v>-100</v>
      </c>
      <c r="G234" s="5" t="inlineStr">
        <is>
          <t>元/吨</t>
        </is>
      </c>
      <c r="H234" s="5" t="inlineStr">
        <is>
          <t>SMM</t>
        </is>
      </c>
    </row>
    <row r="235">
      <c r="A235" s="2" t="inlineStr">
        <is>
          <t>2026/06/18</t>
        </is>
      </c>
      <c r="B235" s="2" t="inlineStr">
        <is>
          <t>钴酸锂铝壳</t>
        </is>
      </c>
      <c r="C235" s="3" t="n">
        <v>84000</v>
      </c>
      <c r="D235" s="4" t="n">
        <v>94000</v>
      </c>
      <c r="E235" s="4" t="n">
        <v>89000</v>
      </c>
      <c r="F235" s="4" t="n">
        <v>0</v>
      </c>
      <c r="G235" s="5" t="inlineStr">
        <is>
          <t>元/吨</t>
        </is>
      </c>
      <c r="H235" s="5" t="inlineStr">
        <is>
          <t>SMM</t>
        </is>
      </c>
    </row>
    <row r="236">
      <c r="A236" s="2" t="inlineStr">
        <is>
          <t>2026/06/18</t>
        </is>
      </c>
      <c r="B236" s="2" t="inlineStr">
        <is>
          <t>锰酸锂圆柱钢壳</t>
        </is>
      </c>
      <c r="C236" s="3" t="n">
        <v>5000</v>
      </c>
      <c r="D236" s="4" t="n">
        <v>7400</v>
      </c>
      <c r="E236" s="4" t="n">
        <v>6200</v>
      </c>
      <c r="F236" s="4" t="n">
        <v>0</v>
      </c>
      <c r="G236" s="5" t="inlineStr">
        <is>
          <t>元/吨</t>
        </is>
      </c>
      <c r="H236" s="5" t="inlineStr">
        <is>
          <t>SMM</t>
        </is>
      </c>
    </row>
    <row r="237">
      <c r="A237" s="2" t="inlineStr">
        <is>
          <t>2026/06/18</t>
        </is>
      </c>
      <c r="B237" s="2" t="inlineStr">
        <is>
          <t>非洲硫酸锂(CIF中国)</t>
        </is>
      </c>
      <c r="C237" s="3" t="n">
        <v>8020</v>
      </c>
      <c r="D237" s="4" t="n">
        <v>8319</v>
      </c>
      <c r="E237" s="4" t="n">
        <v>8169.5</v>
      </c>
      <c r="F237" s="4" t="n">
        <v>-130</v>
      </c>
      <c r="G237" s="5" t="inlineStr">
        <is>
          <t>美元/吨</t>
        </is>
      </c>
      <c r="H237" s="5" t="inlineStr">
        <is>
          <t>SMM</t>
        </is>
      </c>
    </row>
    <row r="238">
      <c r="A238" s="2" t="inlineStr">
        <is>
          <t>2026/06/18</t>
        </is>
      </c>
      <c r="B238" s="2" t="inlineStr">
        <is>
          <t>非洲锂辉石精矿（CIF中国）指数</t>
        </is>
      </c>
      <c r="C238" s="3" t="n">
        <v>2398</v>
      </c>
      <c r="D238" s="4" t="n">
        <v>2398</v>
      </c>
      <c r="E238" s="4" t="n">
        <v>2398</v>
      </c>
      <c r="F238" s="6" t="n">
        <v>-72</v>
      </c>
      <c r="G238" s="5" t="inlineStr">
        <is>
          <t>美元/吨</t>
        </is>
      </c>
      <c r="H238" s="5" t="inlineStr">
        <is>
          <t>SMM</t>
        </is>
      </c>
    </row>
    <row r="240">
      <c r="A240" s="8" t="inlineStr">
        <is>
          <t>当月均价</t>
        </is>
      </c>
      <c r="B240" s="9" t="n"/>
      <c r="C240" s="9" t="n"/>
      <c r="D240" s="9" t="n"/>
      <c r="E240" s="9" t="n"/>
      <c r="F240" s="9" t="n"/>
      <c r="G240" s="9" t="n"/>
      <c r="H240" s="9" t="n"/>
    </row>
    <row r="241">
      <c r="B241" s="2" t="inlineStr">
        <is>
          <t>5系三元前驱体</t>
        </is>
      </c>
      <c r="C241" s="10">
        <f>IFERROR(AVERAGEIFS(C$2:C$238,A$2:A$238,"&gt;="&amp;DATE(YEAR(TODAY()),MONTH(TODAY()),1),A$2:A$238,"&lt;"&amp;DATE(YEAR(TODAY()),MONTH(TODAY())+1,1),B$2:B$238,$B$241),"")</f>
        <v/>
      </c>
      <c r="D241" s="10">
        <f>IFERROR(AVERAGEIFS(D$2:D$238,A$2:A$238,"&gt;="&amp;DATE(YEAR(TODAY()),MONTH(TODAY()),1),A$2:A$238,"&lt;"&amp;DATE(YEAR(TODAY()),MONTH(TODAY())+1,1),B$2:B$238,$B$241),"")</f>
        <v/>
      </c>
      <c r="E241" s="10">
        <f>IFERROR(AVERAGEIFS(E$2:E$238,A$2:A$238,"&gt;="&amp;DATE(YEAR(TODAY()),MONTH(TODAY()),1),A$2:A$238,"&lt;"&amp;DATE(YEAR(TODAY()),MONTH(TODAY())+1,1),B$2:B$238,$B$241),"")</f>
        <v/>
      </c>
      <c r="F241" s="11">
        <f>IFERROR(SUMPRODUCT((YEAR(A$2:A$238)=YEAR(TODAY()))*(MONTH(A$2:A$238)=MONTH(TODAY()))*(B$2:B$238=$B$241)*(F$2:F$238),"")</f>
        <v/>
      </c>
    </row>
    <row r="242">
      <c r="B242" s="2" t="inlineStr">
        <is>
          <t>5系三元材料</t>
        </is>
      </c>
      <c r="C242" s="10">
        <f>IFERROR(AVERAGEIFS(C$2:C$238,A$2:A$238,"&gt;="&amp;DATE(YEAR(TODAY()),MONTH(TODAY()),1),A$2:A$238,"&lt;"&amp;DATE(YEAR(TODAY()),MONTH(TODAY())+1,1),B$2:B$238,$B$242),"")</f>
        <v/>
      </c>
      <c r="D242" s="10">
        <f>IFERROR(AVERAGEIFS(D$2:D$238,A$2:A$238,"&gt;="&amp;DATE(YEAR(TODAY()),MONTH(TODAY()),1),A$2:A$238,"&lt;"&amp;DATE(YEAR(TODAY()),MONTH(TODAY())+1,1),B$2:B$238,$B$242),"")</f>
        <v/>
      </c>
      <c r="E242" s="10">
        <f>IFERROR(AVERAGEIFS(E$2:E$238,A$2:A$238,"&gt;="&amp;DATE(YEAR(TODAY()),MONTH(TODAY()),1),A$2:A$238,"&lt;"&amp;DATE(YEAR(TODAY()),MONTH(TODAY())+1,1),B$2:B$238,$B$242),"")</f>
        <v/>
      </c>
      <c r="F242" s="11">
        <f>IFERROR(SUMPRODUCT((YEAR(A$2:A$238)=YEAR(TODAY()))*(MONTH(A$2:A$238)=MONTH(TODAY()))*(B$2:B$238=$B$242)*(F$2:F$238),"")</f>
        <v/>
      </c>
    </row>
    <row r="243">
      <c r="B243" s="2" t="inlineStr">
        <is>
          <t>6系三元前驱体（单晶/动力型）</t>
        </is>
      </c>
      <c r="C243" s="10">
        <f>IFERROR(AVERAGEIFS(C$2:C$238,A$2:A$238,"&gt;="&amp;DATE(YEAR(TODAY()),MONTH(TODAY()),1),A$2:A$238,"&lt;"&amp;DATE(YEAR(TODAY()),MONTH(TODAY())+1,1),B$2:B$238,$B$243),"")</f>
        <v/>
      </c>
      <c r="D243" s="10">
        <f>IFERROR(AVERAGEIFS(D$2:D$238,A$2:A$238,"&gt;="&amp;DATE(YEAR(TODAY()),MONTH(TODAY()),1),A$2:A$238,"&lt;"&amp;DATE(YEAR(TODAY()),MONTH(TODAY())+1,1),B$2:B$238,$B$243),"")</f>
        <v/>
      </c>
      <c r="E243" s="10">
        <f>IFERROR(AVERAGEIFS(E$2:E$238,A$2:A$238,"&gt;="&amp;DATE(YEAR(TODAY()),MONTH(TODAY()),1),A$2:A$238,"&lt;"&amp;DATE(YEAR(TODAY()),MONTH(TODAY())+1,1),B$2:B$238,$B$243),"")</f>
        <v/>
      </c>
      <c r="F243" s="11">
        <f>IFERROR(SUMPRODUCT((YEAR(A$2:A$238)=YEAR(TODAY()))*(MONTH(A$2:A$238)=MONTH(TODAY()))*(B$2:B$238=$B$243)*(F$2:F$238),"")</f>
        <v/>
      </c>
    </row>
    <row r="244">
      <c r="B244" s="2" t="inlineStr">
        <is>
          <t>6系三元材料（单晶/动力型）</t>
        </is>
      </c>
      <c r="C244" s="10">
        <f>IFERROR(AVERAGEIFS(C$2:C$238,A$2:A$238,"&gt;="&amp;DATE(YEAR(TODAY()),MONTH(TODAY()),1),A$2:A$238,"&lt;"&amp;DATE(YEAR(TODAY()),MONTH(TODAY())+1,1),B$2:B$238,$B$244),"")</f>
        <v/>
      </c>
      <c r="D244" s="10">
        <f>IFERROR(AVERAGEIFS(D$2:D$238,A$2:A$238,"&gt;="&amp;DATE(YEAR(TODAY()),MONTH(TODAY()),1),A$2:A$238,"&lt;"&amp;DATE(YEAR(TODAY()),MONTH(TODAY())+1,1),B$2:B$238,$B$244),"")</f>
        <v/>
      </c>
      <c r="E244" s="10">
        <f>IFERROR(AVERAGEIFS(E$2:E$238,A$2:A$238,"&gt;="&amp;DATE(YEAR(TODAY()),MONTH(TODAY()),1),A$2:A$238,"&lt;"&amp;DATE(YEAR(TODAY()),MONTH(TODAY())+1,1),B$2:B$238,$B$244),"")</f>
        <v/>
      </c>
      <c r="F244" s="11">
        <f>IFERROR(SUMPRODUCT((YEAR(A$2:A$238)=YEAR(TODAY()))*(MONTH(A$2:A$238)=MONTH(TODAY()))*(B$2:B$238=$B$244)*(F$2:F$238),"")</f>
        <v/>
      </c>
    </row>
    <row r="245">
      <c r="B245" s="2" t="inlineStr">
        <is>
          <t>8系三元前驱体（多晶/动力型）</t>
        </is>
      </c>
      <c r="C245" s="10">
        <f>IFERROR(AVERAGEIFS(C$2:C$238,A$2:A$238,"&gt;="&amp;DATE(YEAR(TODAY()),MONTH(TODAY()),1),A$2:A$238,"&lt;"&amp;DATE(YEAR(TODAY()),MONTH(TODAY())+1,1),B$2:B$238,$B$245),"")</f>
        <v/>
      </c>
      <c r="D245" s="10">
        <f>IFERROR(AVERAGEIFS(D$2:D$238,A$2:A$238,"&gt;="&amp;DATE(YEAR(TODAY()),MONTH(TODAY()),1),A$2:A$238,"&lt;"&amp;DATE(YEAR(TODAY()),MONTH(TODAY())+1,1),B$2:B$238,$B$245),"")</f>
        <v/>
      </c>
      <c r="E245" s="10">
        <f>IFERROR(AVERAGEIFS(E$2:E$238,A$2:A$238,"&gt;="&amp;DATE(YEAR(TODAY()),MONTH(TODAY()),1),A$2:A$238,"&lt;"&amp;DATE(YEAR(TODAY()),MONTH(TODAY())+1,1),B$2:B$238,$B$245),"")</f>
        <v/>
      </c>
      <c r="F245" s="11">
        <f>IFERROR(SUMPRODUCT((YEAR(A$2:A$238)=YEAR(TODAY()))*(MONTH(A$2:A$238)=MONTH(TODAY()))*(B$2:B$238=$B$245)*(F$2:F$238),"")</f>
        <v/>
      </c>
    </row>
    <row r="246">
      <c r="B246" s="2" t="inlineStr">
        <is>
          <t>8系三元材料</t>
        </is>
      </c>
      <c r="C246" s="10">
        <f>IFERROR(AVERAGEIFS(C$2:C$238,A$2:A$238,"&gt;="&amp;DATE(YEAR(TODAY()),MONTH(TODAY()),1),A$2:A$238,"&lt;"&amp;DATE(YEAR(TODAY()),MONTH(TODAY())+1,1),B$2:B$238,$B$246),"")</f>
        <v/>
      </c>
      <c r="D246" s="10">
        <f>IFERROR(AVERAGEIFS(D$2:D$238,A$2:A$238,"&gt;="&amp;DATE(YEAR(TODAY()),MONTH(TODAY()),1),A$2:A$238,"&lt;"&amp;DATE(YEAR(TODAY()),MONTH(TODAY())+1,1),B$2:B$238,$B$246),"")</f>
        <v/>
      </c>
      <c r="E246" s="10">
        <f>IFERROR(AVERAGEIFS(E$2:E$238,A$2:A$238,"&gt;="&amp;DATE(YEAR(TODAY()),MONTH(TODAY()),1),A$2:A$238,"&lt;"&amp;DATE(YEAR(TODAY()),MONTH(TODAY())+1,1),B$2:B$238,$B$246),"")</f>
        <v/>
      </c>
      <c r="F246" s="11">
        <f>IFERROR(SUMPRODUCT((YEAR(A$2:A$238)=YEAR(TODAY()))*(MONTH(A$2:A$238)=MONTH(TODAY()))*(B$2:B$238=$B$246)*(F$2:F$238),"")</f>
        <v/>
      </c>
    </row>
    <row r="247">
      <c r="B247" s="2" t="inlineStr">
        <is>
          <t>MHP系数（对SMM电池级硫酸镍指数）</t>
        </is>
      </c>
      <c r="C247" s="10">
        <f>IFERROR(AVERAGEIFS(C$2:C$238,A$2:A$238,"&gt;="&amp;DATE(YEAR(TODAY()),MONTH(TODAY()),1),A$2:A$238,"&lt;"&amp;DATE(YEAR(TODAY()),MONTH(TODAY())+1,1),B$2:B$238,$B$247),"")</f>
        <v/>
      </c>
      <c r="D247" s="10">
        <f>IFERROR(AVERAGEIFS(D$2:D$238,A$2:A$238,"&gt;="&amp;DATE(YEAR(TODAY()),MONTH(TODAY()),1),A$2:A$238,"&lt;"&amp;DATE(YEAR(TODAY()),MONTH(TODAY())+1,1),B$2:B$238,$B$247),"")</f>
        <v/>
      </c>
      <c r="E247" s="10">
        <f>IFERROR(AVERAGEIFS(E$2:E$238,A$2:A$238,"&gt;="&amp;DATE(YEAR(TODAY()),MONTH(TODAY()),1),A$2:A$238,"&lt;"&amp;DATE(YEAR(TODAY()),MONTH(TODAY())+1,1),B$2:B$238,$B$247),"")</f>
        <v/>
      </c>
      <c r="F247" s="11">
        <f>IFERROR(SUMPRODUCT((YEAR(A$2:A$238)=YEAR(TODAY()))*(MONTH(A$2:A$238)=MONTH(TODAY()))*(B$2:B$238=$B$247)*(F$2:F$238),"")</f>
        <v/>
      </c>
    </row>
    <row r="248">
      <c r="B248" s="2" t="inlineStr">
        <is>
          <t>MHP钴元素计价系数（对SMM硫酸钴均价）</t>
        </is>
      </c>
      <c r="C248" s="10">
        <f>IFERROR(AVERAGEIFS(C$2:C$238,A$2:A$238,"&gt;="&amp;DATE(YEAR(TODAY()),MONTH(TODAY()),1),A$2:A$238,"&lt;"&amp;DATE(YEAR(TODAY()),MONTH(TODAY())+1,1),B$2:B$238,$B$248),"")</f>
        <v/>
      </c>
      <c r="D248" s="10">
        <f>IFERROR(AVERAGEIFS(D$2:D$238,A$2:A$238,"&gt;="&amp;DATE(YEAR(TODAY()),MONTH(TODAY()),1),A$2:A$238,"&lt;"&amp;DATE(YEAR(TODAY()),MONTH(TODAY())+1,1),B$2:B$238,$B$248),"")</f>
        <v/>
      </c>
      <c r="E248" s="10">
        <f>IFERROR(AVERAGEIFS(E$2:E$238,A$2:A$238,"&gt;="&amp;DATE(YEAR(TODAY()),MONTH(TODAY()),1),A$2:A$238,"&lt;"&amp;DATE(YEAR(TODAY()),MONTH(TODAY())+1,1),B$2:B$238,$B$248),"")</f>
        <v/>
      </c>
      <c r="F248" s="11">
        <f>IFERROR(SUMPRODUCT((YEAR(A$2:A$238)=YEAR(TODAY()))*(MONTH(A$2:A$238)=MONTH(TODAY()))*(B$2:B$238=$B$248)*(F$2:F$238),"")</f>
        <v/>
      </c>
    </row>
    <row r="249">
      <c r="B249" s="2" t="inlineStr">
        <is>
          <t>NCA三元材料</t>
        </is>
      </c>
      <c r="C249" s="10">
        <f>IFERROR(AVERAGEIFS(C$2:C$238,A$2:A$238,"&gt;="&amp;DATE(YEAR(TODAY()),MONTH(TODAY()),1),A$2:A$238,"&lt;"&amp;DATE(YEAR(TODAY()),MONTH(TODAY())+1,1),B$2:B$238,$B$249),"")</f>
        <v/>
      </c>
      <c r="D249" s="10">
        <f>IFERROR(AVERAGEIFS(D$2:D$238,A$2:A$238,"&gt;="&amp;DATE(YEAR(TODAY()),MONTH(TODAY()),1),A$2:A$238,"&lt;"&amp;DATE(YEAR(TODAY()),MONTH(TODAY())+1,1),B$2:B$238,$B$249),"")</f>
        <v/>
      </c>
      <c r="E249" s="10">
        <f>IFERROR(AVERAGEIFS(E$2:E$238,A$2:A$238,"&gt;="&amp;DATE(YEAR(TODAY()),MONTH(TODAY()),1),A$2:A$238,"&lt;"&amp;DATE(YEAR(TODAY()),MONTH(TODAY())+1,1),B$2:B$238,$B$249),"")</f>
        <v/>
      </c>
      <c r="F249" s="11">
        <f>IFERROR(SUMPRODUCT((YEAR(A$2:A$238)=YEAR(TODAY()))*(MONTH(A$2:A$238)=MONTH(TODAY()))*(B$2:B$238=$B$249)*(F$2:F$238),"")</f>
        <v/>
      </c>
    </row>
    <row r="250">
      <c r="B250" s="2" t="inlineStr">
        <is>
          <t>SMM三元极片粉钴系数指数</t>
        </is>
      </c>
      <c r="C250" s="10">
        <f>IFERROR(AVERAGEIFS(C$2:C$238,A$2:A$238,"&gt;="&amp;DATE(YEAR(TODAY()),MONTH(TODAY()),1),A$2:A$238,"&lt;"&amp;DATE(YEAR(TODAY()),MONTH(TODAY())+1,1),B$2:B$238,$B$250),"")</f>
        <v/>
      </c>
      <c r="D250" s="10">
        <f>IFERROR(AVERAGEIFS(D$2:D$238,A$2:A$238,"&gt;="&amp;DATE(YEAR(TODAY()),MONTH(TODAY()),1),A$2:A$238,"&lt;"&amp;DATE(YEAR(TODAY()),MONTH(TODAY())+1,1),B$2:B$238,$B$250),"")</f>
        <v/>
      </c>
      <c r="E250" s="10">
        <f>IFERROR(AVERAGEIFS(E$2:E$238,A$2:A$238,"&gt;="&amp;DATE(YEAR(TODAY()),MONTH(TODAY()),1),A$2:A$238,"&lt;"&amp;DATE(YEAR(TODAY()),MONTH(TODAY())+1,1),B$2:B$238,$B$250),"")</f>
        <v/>
      </c>
      <c r="F250" s="11">
        <f>IFERROR(SUMPRODUCT((YEAR(A$2:A$238)=YEAR(TODAY()))*(MONTH(A$2:A$238)=MONTH(TODAY()))*(B$2:B$238=$B$250)*(F$2:F$238),"")</f>
        <v/>
      </c>
    </row>
    <row r="251">
      <c r="B251" s="2" t="inlineStr">
        <is>
          <t>SMM三元极片粉锂系数指数</t>
        </is>
      </c>
      <c r="C251" s="10">
        <f>IFERROR(AVERAGEIFS(C$2:C$238,A$2:A$238,"&gt;="&amp;DATE(YEAR(TODAY()),MONTH(TODAY()),1),A$2:A$238,"&lt;"&amp;DATE(YEAR(TODAY()),MONTH(TODAY())+1,1),B$2:B$238,$B$251),"")</f>
        <v/>
      </c>
      <c r="D251" s="10">
        <f>IFERROR(AVERAGEIFS(D$2:D$238,A$2:A$238,"&gt;="&amp;DATE(YEAR(TODAY()),MONTH(TODAY()),1),A$2:A$238,"&lt;"&amp;DATE(YEAR(TODAY()),MONTH(TODAY())+1,1),B$2:B$238,$B$251),"")</f>
        <v/>
      </c>
      <c r="E251" s="10">
        <f>IFERROR(AVERAGEIFS(E$2:E$238,A$2:A$238,"&gt;="&amp;DATE(YEAR(TODAY()),MONTH(TODAY()),1),A$2:A$238,"&lt;"&amp;DATE(YEAR(TODAY()),MONTH(TODAY())+1,1),B$2:B$238,$B$251),"")</f>
        <v/>
      </c>
      <c r="F251" s="11">
        <f>IFERROR(SUMPRODUCT((YEAR(A$2:A$238)=YEAR(TODAY()))*(MONTH(A$2:A$238)=MONTH(TODAY()))*(B$2:B$238=$B$251)*(F$2:F$238),"")</f>
        <v/>
      </c>
    </row>
    <row r="252">
      <c r="B252" s="2" t="inlineStr">
        <is>
          <t>SMM三元极片粉镍系数指数</t>
        </is>
      </c>
      <c r="C252" s="10">
        <f>IFERROR(AVERAGEIFS(C$2:C$238,A$2:A$238,"&gt;="&amp;DATE(YEAR(TODAY()),MONTH(TODAY()),1),A$2:A$238,"&lt;"&amp;DATE(YEAR(TODAY()),MONTH(TODAY())+1,1),B$2:B$238,$B$252),"")</f>
        <v/>
      </c>
      <c r="D252" s="10">
        <f>IFERROR(AVERAGEIFS(D$2:D$238,A$2:A$238,"&gt;="&amp;DATE(YEAR(TODAY()),MONTH(TODAY()),1),A$2:A$238,"&lt;"&amp;DATE(YEAR(TODAY()),MONTH(TODAY())+1,1),B$2:B$238,$B$252),"")</f>
        <v/>
      </c>
      <c r="E252" s="10">
        <f>IFERROR(AVERAGEIFS(E$2:E$238,A$2:A$238,"&gt;="&amp;DATE(YEAR(TODAY()),MONTH(TODAY()),1),A$2:A$238,"&lt;"&amp;DATE(YEAR(TODAY()),MONTH(TODAY())+1,1),B$2:B$238,$B$252),"")</f>
        <v/>
      </c>
      <c r="F252" s="11">
        <f>IFERROR(SUMPRODUCT((YEAR(A$2:A$238)=YEAR(TODAY()))*(MONTH(A$2:A$238)=MONTH(TODAY()))*(B$2:B$238=$B$252)*(F$2:F$238),"")</f>
        <v/>
      </c>
    </row>
    <row r="253">
      <c r="B253" s="2" t="inlineStr">
        <is>
          <t>SMM三元电池粉钴系数指数</t>
        </is>
      </c>
      <c r="C253" s="10">
        <f>IFERROR(AVERAGEIFS(C$2:C$238,A$2:A$238,"&gt;="&amp;DATE(YEAR(TODAY()),MONTH(TODAY()),1),A$2:A$238,"&lt;"&amp;DATE(YEAR(TODAY()),MONTH(TODAY())+1,1),B$2:B$238,$B$253),"")</f>
        <v/>
      </c>
      <c r="D253" s="10">
        <f>IFERROR(AVERAGEIFS(D$2:D$238,A$2:A$238,"&gt;="&amp;DATE(YEAR(TODAY()),MONTH(TODAY()),1),A$2:A$238,"&lt;"&amp;DATE(YEAR(TODAY()),MONTH(TODAY())+1,1),B$2:B$238,$B$253),"")</f>
        <v/>
      </c>
      <c r="E253" s="10">
        <f>IFERROR(AVERAGEIFS(E$2:E$238,A$2:A$238,"&gt;="&amp;DATE(YEAR(TODAY()),MONTH(TODAY()),1),A$2:A$238,"&lt;"&amp;DATE(YEAR(TODAY()),MONTH(TODAY())+1,1),B$2:B$238,$B$253),"")</f>
        <v/>
      </c>
      <c r="F253" s="11">
        <f>IFERROR(SUMPRODUCT((YEAR(A$2:A$238)=YEAR(TODAY()))*(MONTH(A$2:A$238)=MONTH(TODAY()))*(B$2:B$238=$B$253)*(F$2:F$238),"")</f>
        <v/>
      </c>
    </row>
    <row r="254">
      <c r="B254" s="2" t="inlineStr">
        <is>
          <t>SMM三元电池粉锂系数指数</t>
        </is>
      </c>
      <c r="C254" s="10">
        <f>IFERROR(AVERAGEIFS(C$2:C$238,A$2:A$238,"&gt;="&amp;DATE(YEAR(TODAY()),MONTH(TODAY()),1),A$2:A$238,"&lt;"&amp;DATE(YEAR(TODAY()),MONTH(TODAY())+1,1),B$2:B$238,$B$254),"")</f>
        <v/>
      </c>
      <c r="D254" s="10">
        <f>IFERROR(AVERAGEIFS(D$2:D$238,A$2:A$238,"&gt;="&amp;DATE(YEAR(TODAY()),MONTH(TODAY()),1),A$2:A$238,"&lt;"&amp;DATE(YEAR(TODAY()),MONTH(TODAY())+1,1),B$2:B$238,$B$254),"")</f>
        <v/>
      </c>
      <c r="E254" s="10">
        <f>IFERROR(AVERAGEIFS(E$2:E$238,A$2:A$238,"&gt;="&amp;DATE(YEAR(TODAY()),MONTH(TODAY()),1),A$2:A$238,"&lt;"&amp;DATE(YEAR(TODAY()),MONTH(TODAY())+1,1),B$2:B$238,$B$254),"")</f>
        <v/>
      </c>
      <c r="F254" s="11">
        <f>IFERROR(SUMPRODUCT((YEAR(A$2:A$238)=YEAR(TODAY()))*(MONTH(A$2:A$238)=MONTH(TODAY()))*(B$2:B$238=$B$254)*(F$2:F$238),"")</f>
        <v/>
      </c>
    </row>
    <row r="255">
      <c r="B255" s="2" t="inlineStr">
        <is>
          <t>SMM三元电池粉镍系数指数</t>
        </is>
      </c>
      <c r="C255" s="10">
        <f>IFERROR(AVERAGEIFS(C$2:C$238,A$2:A$238,"&gt;="&amp;DATE(YEAR(TODAY()),MONTH(TODAY()),1),A$2:A$238,"&lt;"&amp;DATE(YEAR(TODAY()),MONTH(TODAY())+1,1),B$2:B$238,$B$255),"")</f>
        <v/>
      </c>
      <c r="D255" s="10">
        <f>IFERROR(AVERAGEIFS(D$2:D$238,A$2:A$238,"&gt;="&amp;DATE(YEAR(TODAY()),MONTH(TODAY()),1),A$2:A$238,"&lt;"&amp;DATE(YEAR(TODAY()),MONTH(TODAY())+1,1),B$2:B$238,$B$255),"")</f>
        <v/>
      </c>
      <c r="E255" s="10">
        <f>IFERROR(AVERAGEIFS(E$2:E$238,A$2:A$238,"&gt;="&amp;DATE(YEAR(TODAY()),MONTH(TODAY()),1),A$2:A$238,"&lt;"&amp;DATE(YEAR(TODAY()),MONTH(TODAY())+1,1),B$2:B$238,$B$255),"")</f>
        <v/>
      </c>
      <c r="F255" s="11">
        <f>IFERROR(SUMPRODUCT((YEAR(A$2:A$238)=YEAR(TODAY()))*(MONTH(A$2:A$238)=MONTH(TODAY()))*(B$2:B$238=$B$255)*(F$2:F$238),"")</f>
        <v/>
      </c>
    </row>
    <row r="256">
      <c r="B256" s="2" t="inlineStr">
        <is>
          <t>SMM六氟磷酸锂指数</t>
        </is>
      </c>
      <c r="C256" s="10">
        <f>IFERROR(AVERAGEIFS(C$2:C$238,A$2:A$238,"&gt;="&amp;DATE(YEAR(TODAY()),MONTH(TODAY()),1),A$2:A$238,"&lt;"&amp;DATE(YEAR(TODAY()),MONTH(TODAY())+1,1),B$2:B$238,$B$256),"")</f>
        <v/>
      </c>
      <c r="D256" s="10">
        <f>IFERROR(AVERAGEIFS(D$2:D$238,A$2:A$238,"&gt;="&amp;DATE(YEAR(TODAY()),MONTH(TODAY()),1),A$2:A$238,"&lt;"&amp;DATE(YEAR(TODAY()),MONTH(TODAY())+1,1),B$2:B$238,$B$256),"")</f>
        <v/>
      </c>
      <c r="E256" s="10">
        <f>IFERROR(AVERAGEIFS(E$2:E$238,A$2:A$238,"&gt;="&amp;DATE(YEAR(TODAY()),MONTH(TODAY()),1),A$2:A$238,"&lt;"&amp;DATE(YEAR(TODAY()),MONTH(TODAY())+1,1),B$2:B$238,$B$256),"")</f>
        <v/>
      </c>
      <c r="F256" s="11">
        <f>IFERROR(SUMPRODUCT((YEAR(A$2:A$238)=YEAR(TODAY()))*(MONTH(A$2:A$238)=MONTH(TODAY()))*(B$2:B$238=$B$256)*(F$2:F$238),"")</f>
        <v/>
      </c>
    </row>
    <row r="257">
      <c r="B257" s="2" t="inlineStr">
        <is>
          <t>SMM电池级氢氧化锂指数</t>
        </is>
      </c>
      <c r="C257" s="10">
        <f>IFERROR(AVERAGEIFS(C$2:C$238,A$2:A$238,"&gt;="&amp;DATE(YEAR(TODAY()),MONTH(TODAY()),1),A$2:A$238,"&lt;"&amp;DATE(YEAR(TODAY()),MONTH(TODAY())+1,1),B$2:B$238,$B$257),"")</f>
        <v/>
      </c>
      <c r="D257" s="10">
        <f>IFERROR(AVERAGEIFS(D$2:D$238,A$2:A$238,"&gt;="&amp;DATE(YEAR(TODAY()),MONTH(TODAY()),1),A$2:A$238,"&lt;"&amp;DATE(YEAR(TODAY()),MONTH(TODAY())+1,1),B$2:B$238,$B$257),"")</f>
        <v/>
      </c>
      <c r="E257" s="10">
        <f>IFERROR(AVERAGEIFS(E$2:E$238,A$2:A$238,"&gt;="&amp;DATE(YEAR(TODAY()),MONTH(TODAY()),1),A$2:A$238,"&lt;"&amp;DATE(YEAR(TODAY()),MONTH(TODAY())+1,1),B$2:B$238,$B$257),"")</f>
        <v/>
      </c>
      <c r="F257" s="11">
        <f>IFERROR(SUMPRODUCT((YEAR(A$2:A$238)=YEAR(TODAY()))*(MONTH(A$2:A$238)=MONTH(TODAY()))*(B$2:B$238=$B$257)*(F$2:F$238),"")</f>
        <v/>
      </c>
    </row>
    <row r="258">
      <c r="B258" s="2" t="inlineStr">
        <is>
          <t>SMM电池级硫酸锰指数</t>
        </is>
      </c>
      <c r="C258" s="10">
        <f>IFERROR(AVERAGEIFS(C$2:C$238,A$2:A$238,"&gt;="&amp;DATE(YEAR(TODAY()),MONTH(TODAY()),1),A$2:A$238,"&lt;"&amp;DATE(YEAR(TODAY()),MONTH(TODAY())+1,1),B$2:B$238,$B$258),"")</f>
        <v/>
      </c>
      <c r="D258" s="10">
        <f>IFERROR(AVERAGEIFS(D$2:D$238,A$2:A$238,"&gt;="&amp;DATE(YEAR(TODAY()),MONTH(TODAY()),1),A$2:A$238,"&lt;"&amp;DATE(YEAR(TODAY()),MONTH(TODAY())+1,1),B$2:B$238,$B$258),"")</f>
        <v/>
      </c>
      <c r="E258" s="10">
        <f>IFERROR(AVERAGEIFS(E$2:E$238,A$2:A$238,"&gt;="&amp;DATE(YEAR(TODAY()),MONTH(TODAY()),1),A$2:A$238,"&lt;"&amp;DATE(YEAR(TODAY()),MONTH(TODAY())+1,1),B$2:B$238,$B$258),"")</f>
        <v/>
      </c>
      <c r="F258" s="11">
        <f>IFERROR(SUMPRODUCT((YEAR(A$2:A$238)=YEAR(TODAY()))*(MONTH(A$2:A$238)=MONTH(TODAY()))*(B$2:B$238=$B$258)*(F$2:F$238),"")</f>
        <v/>
      </c>
    </row>
    <row r="259">
      <c r="B259" s="2" t="inlineStr">
        <is>
          <t>SMM电池级硫酸镍指数</t>
        </is>
      </c>
      <c r="C259" s="10">
        <f>IFERROR(AVERAGEIFS(C$2:C$238,A$2:A$238,"&gt;="&amp;DATE(YEAR(TODAY()),MONTH(TODAY()),1),A$2:A$238,"&lt;"&amp;DATE(YEAR(TODAY()),MONTH(TODAY())+1,1),B$2:B$238,$B$259),"")</f>
        <v/>
      </c>
      <c r="D259" s="10">
        <f>IFERROR(AVERAGEIFS(D$2:D$238,A$2:A$238,"&gt;="&amp;DATE(YEAR(TODAY()),MONTH(TODAY()),1),A$2:A$238,"&lt;"&amp;DATE(YEAR(TODAY()),MONTH(TODAY())+1,1),B$2:B$238,$B$259),"")</f>
        <v/>
      </c>
      <c r="E259" s="10">
        <f>IFERROR(AVERAGEIFS(E$2:E$238,A$2:A$238,"&gt;="&amp;DATE(YEAR(TODAY()),MONTH(TODAY()),1),A$2:A$238,"&lt;"&amp;DATE(YEAR(TODAY()),MONTH(TODAY())+1,1),B$2:B$238,$B$259),"")</f>
        <v/>
      </c>
      <c r="F259" s="11">
        <f>IFERROR(SUMPRODUCT((YEAR(A$2:A$238)=YEAR(TODAY()))*(MONTH(A$2:A$238)=MONTH(TODAY()))*(B$2:B$238=$B$259)*(F$2:F$238),"")</f>
        <v/>
      </c>
    </row>
    <row r="260">
      <c r="B260" s="2" t="inlineStr">
        <is>
          <t>SMM电池级碳酸锂指数</t>
        </is>
      </c>
      <c r="C260" s="10">
        <f>IFERROR(AVERAGEIFS(C$2:C$238,A$2:A$238,"&gt;="&amp;DATE(YEAR(TODAY()),MONTH(TODAY()),1),A$2:A$238,"&lt;"&amp;DATE(YEAR(TODAY()),MONTH(TODAY())+1,1),B$2:B$238,$B$260),"")</f>
        <v/>
      </c>
      <c r="D260" s="10">
        <f>IFERROR(AVERAGEIFS(D$2:D$238,A$2:A$238,"&gt;="&amp;DATE(YEAR(TODAY()),MONTH(TODAY()),1),A$2:A$238,"&lt;"&amp;DATE(YEAR(TODAY()),MONTH(TODAY())+1,1),B$2:B$238,$B$260),"")</f>
        <v/>
      </c>
      <c r="E260" s="10">
        <f>IFERROR(AVERAGEIFS(E$2:E$238,A$2:A$238,"&gt;="&amp;DATE(YEAR(TODAY()),MONTH(TODAY()),1),A$2:A$238,"&lt;"&amp;DATE(YEAR(TODAY()),MONTH(TODAY())+1,1),B$2:B$238,$B$260),"")</f>
        <v/>
      </c>
      <c r="F260" s="11">
        <f>IFERROR(SUMPRODUCT((YEAR(A$2:A$238)=YEAR(TODAY()))*(MONTH(A$2:A$238)=MONTH(TODAY()))*(B$2:B$238=$B$260)*(F$2:F$238),"")</f>
        <v/>
      </c>
    </row>
    <row r="261">
      <c r="B261" s="2" t="inlineStr">
        <is>
          <t>SMM硫酸钴指数</t>
        </is>
      </c>
      <c r="C261" s="10">
        <f>IFERROR(AVERAGEIFS(C$2:C$238,A$2:A$238,"&gt;="&amp;DATE(YEAR(TODAY()),MONTH(TODAY()),1),A$2:A$238,"&lt;"&amp;DATE(YEAR(TODAY()),MONTH(TODAY())+1,1),B$2:B$238,$B$261),"")</f>
        <v/>
      </c>
      <c r="D261" s="10">
        <f>IFERROR(AVERAGEIFS(D$2:D$238,A$2:A$238,"&gt;="&amp;DATE(YEAR(TODAY()),MONTH(TODAY()),1),A$2:A$238,"&lt;"&amp;DATE(YEAR(TODAY()),MONTH(TODAY())+1,1),B$2:B$238,$B$261),"")</f>
        <v/>
      </c>
      <c r="E261" s="10">
        <f>IFERROR(AVERAGEIFS(E$2:E$238,A$2:A$238,"&gt;="&amp;DATE(YEAR(TODAY()),MONTH(TODAY()),1),A$2:A$238,"&lt;"&amp;DATE(YEAR(TODAY()),MONTH(TODAY())+1,1),B$2:B$238,$B$261),"")</f>
        <v/>
      </c>
      <c r="F261" s="11">
        <f>IFERROR(SUMPRODUCT((YEAR(A$2:A$238)=YEAR(TODAY()))*(MONTH(A$2:A$238)=MONTH(TODAY()))*(B$2:B$238=$B$261)*(F$2:F$238),"")</f>
        <v/>
      </c>
    </row>
    <row r="262">
      <c r="B262" s="2" t="inlineStr">
        <is>
          <t>SMM磷酸铁锂极片粉指数</t>
        </is>
      </c>
      <c r="C262" s="10">
        <f>IFERROR(AVERAGEIFS(C$2:C$238,A$2:A$238,"&gt;="&amp;DATE(YEAR(TODAY()),MONTH(TODAY()),1),A$2:A$238,"&lt;"&amp;DATE(YEAR(TODAY()),MONTH(TODAY())+1,1),B$2:B$238,$B$262),"")</f>
        <v/>
      </c>
      <c r="D262" s="10">
        <f>IFERROR(AVERAGEIFS(D$2:D$238,A$2:A$238,"&gt;="&amp;DATE(YEAR(TODAY()),MONTH(TODAY()),1),A$2:A$238,"&lt;"&amp;DATE(YEAR(TODAY()),MONTH(TODAY())+1,1),B$2:B$238,$B$262),"")</f>
        <v/>
      </c>
      <c r="E262" s="10">
        <f>IFERROR(AVERAGEIFS(E$2:E$238,A$2:A$238,"&gt;="&amp;DATE(YEAR(TODAY()),MONTH(TODAY()),1),A$2:A$238,"&lt;"&amp;DATE(YEAR(TODAY()),MONTH(TODAY())+1,1),B$2:B$238,$B$262),"")</f>
        <v/>
      </c>
      <c r="F262" s="11">
        <f>IFERROR(SUMPRODUCT((YEAR(A$2:A$238)=YEAR(TODAY()))*(MONTH(A$2:A$238)=MONTH(TODAY()))*(B$2:B$238=$B$262)*(F$2:F$238),"")</f>
        <v/>
      </c>
    </row>
    <row r="263">
      <c r="B263" s="2" t="inlineStr">
        <is>
          <t>SMM磷酸铁锂电池粉指数</t>
        </is>
      </c>
      <c r="C263" s="10">
        <f>IFERROR(AVERAGEIFS(C$2:C$238,A$2:A$238,"&gt;="&amp;DATE(YEAR(TODAY()),MONTH(TODAY()),1),A$2:A$238,"&lt;"&amp;DATE(YEAR(TODAY()),MONTH(TODAY())+1,1),B$2:B$238,$B$263),"")</f>
        <v/>
      </c>
      <c r="D263" s="10">
        <f>IFERROR(AVERAGEIFS(D$2:D$238,A$2:A$238,"&gt;="&amp;DATE(YEAR(TODAY()),MONTH(TODAY()),1),A$2:A$238,"&lt;"&amp;DATE(YEAR(TODAY()),MONTH(TODAY())+1,1),B$2:B$238,$B$263),"")</f>
        <v/>
      </c>
      <c r="E263" s="10">
        <f>IFERROR(AVERAGEIFS(E$2:E$238,A$2:A$238,"&gt;="&amp;DATE(YEAR(TODAY()),MONTH(TODAY()),1),A$2:A$238,"&lt;"&amp;DATE(YEAR(TODAY()),MONTH(TODAY())+1,1),B$2:B$238,$B$263),"")</f>
        <v/>
      </c>
      <c r="F263" s="11">
        <f>IFERROR(SUMPRODUCT((YEAR(A$2:A$238)=YEAR(TODAY()))*(MONTH(A$2:A$238)=MONTH(TODAY()))*(B$2:B$238=$B$263)*(F$2:F$238),"")</f>
        <v/>
      </c>
    </row>
    <row r="264">
      <c r="B264" s="2" t="inlineStr">
        <is>
          <t>SMM钴酸锂极片粉钴系数指数</t>
        </is>
      </c>
      <c r="C264" s="10">
        <f>IFERROR(AVERAGEIFS(C$2:C$238,A$2:A$238,"&gt;="&amp;DATE(YEAR(TODAY()),MONTH(TODAY()),1),A$2:A$238,"&lt;"&amp;DATE(YEAR(TODAY()),MONTH(TODAY())+1,1),B$2:B$238,$B$264),"")</f>
        <v/>
      </c>
      <c r="D264" s="10">
        <f>IFERROR(AVERAGEIFS(D$2:D$238,A$2:A$238,"&gt;="&amp;DATE(YEAR(TODAY()),MONTH(TODAY()),1),A$2:A$238,"&lt;"&amp;DATE(YEAR(TODAY()),MONTH(TODAY())+1,1),B$2:B$238,$B$264),"")</f>
        <v/>
      </c>
      <c r="E264" s="10">
        <f>IFERROR(AVERAGEIFS(E$2:E$238,A$2:A$238,"&gt;="&amp;DATE(YEAR(TODAY()),MONTH(TODAY()),1),A$2:A$238,"&lt;"&amp;DATE(YEAR(TODAY()),MONTH(TODAY())+1,1),B$2:B$238,$B$264),"")</f>
        <v/>
      </c>
      <c r="F264" s="11">
        <f>IFERROR(SUMPRODUCT((YEAR(A$2:A$238)=YEAR(TODAY()))*(MONTH(A$2:A$238)=MONTH(TODAY()))*(B$2:B$238=$B$264)*(F$2:F$238),"")</f>
        <v/>
      </c>
    </row>
    <row r="265">
      <c r="B265" s="2" t="inlineStr">
        <is>
          <t>SMM钴酸锂极片粉锂系数指数</t>
        </is>
      </c>
      <c r="C265" s="10">
        <f>IFERROR(AVERAGEIFS(C$2:C$238,A$2:A$238,"&gt;="&amp;DATE(YEAR(TODAY()),MONTH(TODAY()),1),A$2:A$238,"&lt;"&amp;DATE(YEAR(TODAY()),MONTH(TODAY())+1,1),B$2:B$238,$B$265),"")</f>
        <v/>
      </c>
      <c r="D265" s="10">
        <f>IFERROR(AVERAGEIFS(D$2:D$238,A$2:A$238,"&gt;="&amp;DATE(YEAR(TODAY()),MONTH(TODAY()),1),A$2:A$238,"&lt;"&amp;DATE(YEAR(TODAY()),MONTH(TODAY())+1,1),B$2:B$238,$B$265),"")</f>
        <v/>
      </c>
      <c r="E265" s="10">
        <f>IFERROR(AVERAGEIFS(E$2:E$238,A$2:A$238,"&gt;="&amp;DATE(YEAR(TODAY()),MONTH(TODAY()),1),A$2:A$238,"&lt;"&amp;DATE(YEAR(TODAY()),MONTH(TODAY())+1,1),B$2:B$238,$B$265),"")</f>
        <v/>
      </c>
      <c r="F265" s="11">
        <f>IFERROR(SUMPRODUCT((YEAR(A$2:A$238)=YEAR(TODAY()))*(MONTH(A$2:A$238)=MONTH(TODAY()))*(B$2:B$238=$B$265)*(F$2:F$238),"")</f>
        <v/>
      </c>
    </row>
    <row r="266">
      <c r="B266" s="2" t="inlineStr">
        <is>
          <t>SMM钴酸锂电池粉钴系数指数</t>
        </is>
      </c>
      <c r="C266" s="10">
        <f>IFERROR(AVERAGEIFS(C$2:C$238,A$2:A$238,"&gt;="&amp;DATE(YEAR(TODAY()),MONTH(TODAY()),1),A$2:A$238,"&lt;"&amp;DATE(YEAR(TODAY()),MONTH(TODAY())+1,1),B$2:B$238,$B$266),"")</f>
        <v/>
      </c>
      <c r="D266" s="10">
        <f>IFERROR(AVERAGEIFS(D$2:D$238,A$2:A$238,"&gt;="&amp;DATE(YEAR(TODAY()),MONTH(TODAY()),1),A$2:A$238,"&lt;"&amp;DATE(YEAR(TODAY()),MONTH(TODAY())+1,1),B$2:B$238,$B$266),"")</f>
        <v/>
      </c>
      <c r="E266" s="10">
        <f>IFERROR(AVERAGEIFS(E$2:E$238,A$2:A$238,"&gt;="&amp;DATE(YEAR(TODAY()),MONTH(TODAY()),1),A$2:A$238,"&lt;"&amp;DATE(YEAR(TODAY()),MONTH(TODAY())+1,1),B$2:B$238,$B$266),"")</f>
        <v/>
      </c>
      <c r="F266" s="11">
        <f>IFERROR(SUMPRODUCT((YEAR(A$2:A$238)=YEAR(TODAY()))*(MONTH(A$2:A$238)=MONTH(TODAY()))*(B$2:B$238=$B$266)*(F$2:F$238),"")</f>
        <v/>
      </c>
    </row>
    <row r="267">
      <c r="B267" s="2" t="inlineStr">
        <is>
          <t>SMM钴酸锂电池粉锂系数指数</t>
        </is>
      </c>
      <c r="C267" s="10">
        <f>IFERROR(AVERAGEIFS(C$2:C$238,A$2:A$238,"&gt;="&amp;DATE(YEAR(TODAY()),MONTH(TODAY()),1),A$2:A$238,"&lt;"&amp;DATE(YEAR(TODAY()),MONTH(TODAY())+1,1),B$2:B$238,$B$267),"")</f>
        <v/>
      </c>
      <c r="D267" s="10">
        <f>IFERROR(AVERAGEIFS(D$2:D$238,A$2:A$238,"&gt;="&amp;DATE(YEAR(TODAY()),MONTH(TODAY()),1),A$2:A$238,"&lt;"&amp;DATE(YEAR(TODAY()),MONTH(TODAY())+1,1),B$2:B$238,$B$267),"")</f>
        <v/>
      </c>
      <c r="E267" s="10">
        <f>IFERROR(AVERAGEIFS(E$2:E$238,A$2:A$238,"&gt;="&amp;DATE(YEAR(TODAY()),MONTH(TODAY()),1),A$2:A$238,"&lt;"&amp;DATE(YEAR(TODAY()),MONTH(TODAY())+1,1),B$2:B$238,$B$267),"")</f>
        <v/>
      </c>
      <c r="F267" s="11">
        <f>IFERROR(SUMPRODUCT((YEAR(A$2:A$238)=YEAR(TODAY()))*(MONTH(A$2:A$238)=MONTH(TODAY()))*(B$2:B$238=$B$267)*(F$2:F$238),"")</f>
        <v/>
      </c>
    </row>
    <row r="268">
      <c r="B268" s="2" t="inlineStr">
        <is>
          <t>三元方壳锂电B品</t>
        </is>
      </c>
      <c r="C268" s="10">
        <f>IFERROR(AVERAGEIFS(C$2:C$238,A$2:A$238,"&gt;="&amp;DATE(YEAR(TODAY()),MONTH(TODAY()),1),A$2:A$238,"&lt;"&amp;DATE(YEAR(TODAY()),MONTH(TODAY())+1,1),B$2:B$238,$B$268),"")</f>
        <v/>
      </c>
      <c r="D268" s="10">
        <f>IFERROR(AVERAGEIFS(D$2:D$238,A$2:A$238,"&gt;="&amp;DATE(YEAR(TODAY()),MONTH(TODAY()),1),A$2:A$238,"&lt;"&amp;DATE(YEAR(TODAY()),MONTH(TODAY())+1,1),B$2:B$238,$B$268),"")</f>
        <v/>
      </c>
      <c r="E268" s="10">
        <f>IFERROR(AVERAGEIFS(E$2:E$238,A$2:A$238,"&gt;="&amp;DATE(YEAR(TODAY()),MONTH(TODAY()),1),A$2:A$238,"&lt;"&amp;DATE(YEAR(TODAY()),MONTH(TODAY())+1,1),B$2:B$238,$B$268),"")</f>
        <v/>
      </c>
      <c r="F268" s="11">
        <f>IFERROR(SUMPRODUCT((YEAR(A$2:A$238)=YEAR(TODAY()))*(MONTH(A$2:A$238)=MONTH(TODAY()))*(B$2:B$238=$B$268)*(F$2:F$238),"")</f>
        <v/>
      </c>
    </row>
    <row r="269">
      <c r="B269" s="2" t="inlineStr">
        <is>
          <t>六氟磷酸锂（国产）</t>
        </is>
      </c>
      <c r="C269" s="10">
        <f>IFERROR(AVERAGEIFS(C$2:C$238,A$2:A$238,"&gt;="&amp;DATE(YEAR(TODAY()),MONTH(TODAY()),1),A$2:A$238,"&lt;"&amp;DATE(YEAR(TODAY()),MONTH(TODAY())+1,1),B$2:B$238,$B$269),"")</f>
        <v/>
      </c>
      <c r="D269" s="10">
        <f>IFERROR(AVERAGEIFS(D$2:D$238,A$2:A$238,"&gt;="&amp;DATE(YEAR(TODAY()),MONTH(TODAY()),1),A$2:A$238,"&lt;"&amp;DATE(YEAR(TODAY()),MONTH(TODAY())+1,1),B$2:B$238,$B$269),"")</f>
        <v/>
      </c>
      <c r="E269" s="10">
        <f>IFERROR(AVERAGEIFS(E$2:E$238,A$2:A$238,"&gt;="&amp;DATE(YEAR(TODAY()),MONTH(TODAY()),1),A$2:A$238,"&lt;"&amp;DATE(YEAR(TODAY()),MONTH(TODAY())+1,1),B$2:B$238,$B$269),"")</f>
        <v/>
      </c>
      <c r="F269" s="11">
        <f>IFERROR(SUMPRODUCT((YEAR(A$2:A$238)=YEAR(TODAY()))*(MONTH(A$2:A$238)=MONTH(TODAY()))*(B$2:B$238=$B$269)*(F$2:F$238),"")</f>
        <v/>
      </c>
    </row>
    <row r="270">
      <c r="B270" s="2" t="inlineStr">
        <is>
          <t>四氧化三钴</t>
        </is>
      </c>
      <c r="C270" s="10">
        <f>IFERROR(AVERAGEIFS(C$2:C$238,A$2:A$238,"&gt;="&amp;DATE(YEAR(TODAY()),MONTH(TODAY()),1),A$2:A$238,"&lt;"&amp;DATE(YEAR(TODAY()),MONTH(TODAY())+1,1),B$2:B$238,$B$270),"")</f>
        <v/>
      </c>
      <c r="D270" s="10">
        <f>IFERROR(AVERAGEIFS(D$2:D$238,A$2:A$238,"&gt;="&amp;DATE(YEAR(TODAY()),MONTH(TODAY()),1),A$2:A$238,"&lt;"&amp;DATE(YEAR(TODAY()),MONTH(TODAY())+1,1),B$2:B$238,$B$270),"")</f>
        <v/>
      </c>
      <c r="E270" s="10">
        <f>IFERROR(AVERAGEIFS(E$2:E$238,A$2:A$238,"&gt;="&amp;DATE(YEAR(TODAY()),MONTH(TODAY()),1),A$2:A$238,"&lt;"&amp;DATE(YEAR(TODAY()),MONTH(TODAY())+1,1),B$2:B$238,$B$270),"")</f>
        <v/>
      </c>
      <c r="F270" s="11">
        <f>IFERROR(SUMPRODUCT((YEAR(A$2:A$238)=YEAR(TODAY()))*(MONTH(A$2:A$238)=MONTH(TODAY()))*(B$2:B$238=$B$270)*(F$2:F$238),"")</f>
        <v/>
      </c>
    </row>
    <row r="271">
      <c r="B271" s="2" t="inlineStr">
        <is>
          <t>四氧化三锰（电池级）</t>
        </is>
      </c>
      <c r="C271" s="10">
        <f>IFERROR(AVERAGEIFS(C$2:C$238,A$2:A$238,"&gt;="&amp;DATE(YEAR(TODAY()),MONTH(TODAY()),1),A$2:A$238,"&lt;"&amp;DATE(YEAR(TODAY()),MONTH(TODAY())+1,1),B$2:B$238,$B$271),"")</f>
        <v/>
      </c>
      <c r="D271" s="10">
        <f>IFERROR(AVERAGEIFS(D$2:D$238,A$2:A$238,"&gt;="&amp;DATE(YEAR(TODAY()),MONTH(TODAY()),1),A$2:A$238,"&lt;"&amp;DATE(YEAR(TODAY()),MONTH(TODAY())+1,1),B$2:B$238,$B$271),"")</f>
        <v/>
      </c>
      <c r="E271" s="10">
        <f>IFERROR(AVERAGEIFS(E$2:E$238,A$2:A$238,"&gt;="&amp;DATE(YEAR(TODAY()),MONTH(TODAY()),1),A$2:A$238,"&lt;"&amp;DATE(YEAR(TODAY()),MONTH(TODAY())+1,1),B$2:B$238,$B$271),"")</f>
        <v/>
      </c>
      <c r="F271" s="11">
        <f>IFERROR(SUMPRODUCT((YEAR(A$2:A$238)=YEAR(TODAY()))*(MONTH(A$2:A$238)=MONTH(TODAY()))*(B$2:B$238=$B$271)*(F$2:F$238),"")</f>
        <v/>
      </c>
    </row>
    <row r="272">
      <c r="B272" s="2" t="inlineStr">
        <is>
          <t>工业级氢氧化锂</t>
        </is>
      </c>
      <c r="C272" s="10">
        <f>IFERROR(AVERAGEIFS(C$2:C$238,A$2:A$238,"&gt;="&amp;DATE(YEAR(TODAY()),MONTH(TODAY()),1),A$2:A$238,"&lt;"&amp;DATE(YEAR(TODAY()),MONTH(TODAY())+1,1),B$2:B$238,$B$272),"")</f>
        <v/>
      </c>
      <c r="D272" s="10">
        <f>IFERROR(AVERAGEIFS(D$2:D$238,A$2:A$238,"&gt;="&amp;DATE(YEAR(TODAY()),MONTH(TODAY()),1),A$2:A$238,"&lt;"&amp;DATE(YEAR(TODAY()),MONTH(TODAY())+1,1),B$2:B$238,$B$272),"")</f>
        <v/>
      </c>
      <c r="E272" s="10">
        <f>IFERROR(AVERAGEIFS(E$2:E$238,A$2:A$238,"&gt;="&amp;DATE(YEAR(TODAY()),MONTH(TODAY()),1),A$2:A$238,"&lt;"&amp;DATE(YEAR(TODAY()),MONTH(TODAY())+1,1),B$2:B$238,$B$272),"")</f>
        <v/>
      </c>
      <c r="F272" s="11">
        <f>IFERROR(SUMPRODUCT((YEAR(A$2:A$238)=YEAR(TODAY()))*(MONTH(A$2:A$238)=MONTH(TODAY()))*(B$2:B$238=$B$272)*(F$2:F$238),"")</f>
        <v/>
      </c>
    </row>
    <row r="273">
      <c r="B273" s="2" t="inlineStr">
        <is>
          <t>工业级碳酸锂</t>
        </is>
      </c>
      <c r="C273" s="10">
        <f>IFERROR(AVERAGEIFS(C$2:C$238,A$2:A$238,"&gt;="&amp;DATE(YEAR(TODAY()),MONTH(TODAY()),1),A$2:A$238,"&lt;"&amp;DATE(YEAR(TODAY()),MONTH(TODAY())+1,1),B$2:B$238,$B$273),"")</f>
        <v/>
      </c>
      <c r="D273" s="10">
        <f>IFERROR(AVERAGEIFS(D$2:D$238,A$2:A$238,"&gt;="&amp;DATE(YEAR(TODAY()),MONTH(TODAY()),1),A$2:A$238,"&lt;"&amp;DATE(YEAR(TODAY()),MONTH(TODAY())+1,1),B$2:B$238,$B$273),"")</f>
        <v/>
      </c>
      <c r="E273" s="10">
        <f>IFERROR(AVERAGEIFS(E$2:E$238,A$2:A$238,"&gt;="&amp;DATE(YEAR(TODAY()),MONTH(TODAY()),1),A$2:A$238,"&lt;"&amp;DATE(YEAR(TODAY()),MONTH(TODAY())+1,1),B$2:B$238,$B$273),"")</f>
        <v/>
      </c>
      <c r="F273" s="11">
        <f>IFERROR(SUMPRODUCT((YEAR(A$2:A$238)=YEAR(TODAY()))*(MONTH(A$2:A$238)=MONTH(TODAY()))*(B$2:B$238=$B$273)*(F$2:F$238),"")</f>
        <v/>
      </c>
    </row>
    <row r="274">
      <c r="B274" s="2" t="inlineStr">
        <is>
          <t>工业级金属锂</t>
        </is>
      </c>
      <c r="C274" s="10">
        <f>IFERROR(AVERAGEIFS(C$2:C$238,A$2:A$238,"&gt;="&amp;DATE(YEAR(TODAY()),MONTH(TODAY()),1),A$2:A$238,"&lt;"&amp;DATE(YEAR(TODAY()),MONTH(TODAY())+1,1),B$2:B$238,$B$274),"")</f>
        <v/>
      </c>
      <c r="D274" s="10">
        <f>IFERROR(AVERAGEIFS(D$2:D$238,A$2:A$238,"&gt;="&amp;DATE(YEAR(TODAY()),MONTH(TODAY()),1),A$2:A$238,"&lt;"&amp;DATE(YEAR(TODAY()),MONTH(TODAY())+1,1),B$2:B$238,$B$274),"")</f>
        <v/>
      </c>
      <c r="E274" s="10">
        <f>IFERROR(AVERAGEIFS(E$2:E$238,A$2:A$238,"&gt;="&amp;DATE(YEAR(TODAY()),MONTH(TODAY()),1),A$2:A$238,"&lt;"&amp;DATE(YEAR(TODAY()),MONTH(TODAY())+1,1),B$2:B$238,$B$274),"")</f>
        <v/>
      </c>
      <c r="F274" s="11">
        <f>IFERROR(SUMPRODUCT((YEAR(A$2:A$238)=YEAR(TODAY()))*(MONTH(A$2:A$238)=MONTH(TODAY()))*(B$2:B$238=$B$274)*(F$2:F$238),"")</f>
        <v/>
      </c>
    </row>
    <row r="275">
      <c r="B275" s="2" t="inlineStr">
        <is>
          <t>巴西锂辉石精矿（CIF中国）现货</t>
        </is>
      </c>
      <c r="C275" s="10">
        <f>IFERROR(AVERAGEIFS(C$2:C$238,A$2:A$238,"&gt;="&amp;DATE(YEAR(TODAY()),MONTH(TODAY()),1),A$2:A$238,"&lt;"&amp;DATE(YEAR(TODAY()),MONTH(TODAY())+1,1),B$2:B$238,$B$275),"")</f>
        <v/>
      </c>
      <c r="D275" s="10">
        <f>IFERROR(AVERAGEIFS(D$2:D$238,A$2:A$238,"&gt;="&amp;DATE(YEAR(TODAY()),MONTH(TODAY()),1),A$2:A$238,"&lt;"&amp;DATE(YEAR(TODAY()),MONTH(TODAY())+1,1),B$2:B$238,$B$275),"")</f>
        <v/>
      </c>
      <c r="E275" s="10">
        <f>IFERROR(AVERAGEIFS(E$2:E$238,A$2:A$238,"&gt;="&amp;DATE(YEAR(TODAY()),MONTH(TODAY()),1),A$2:A$238,"&lt;"&amp;DATE(YEAR(TODAY()),MONTH(TODAY())+1,1),B$2:B$238,$B$275),"")</f>
        <v/>
      </c>
      <c r="F275" s="11">
        <f>IFERROR(SUMPRODUCT((YEAR(A$2:A$238)=YEAR(TODAY()))*(MONTH(A$2:A$238)=MONTH(TODAY()))*(B$2:B$238=$B$275)*(F$2:F$238),"")</f>
        <v/>
      </c>
    </row>
    <row r="276">
      <c r="B276" s="2" t="inlineStr">
        <is>
          <t>废旧磷酸铁锂储能正极片</t>
        </is>
      </c>
      <c r="C276" s="10">
        <f>IFERROR(AVERAGEIFS(C$2:C$238,A$2:A$238,"&gt;="&amp;DATE(YEAR(TODAY()),MONTH(TODAY()),1),A$2:A$238,"&lt;"&amp;DATE(YEAR(TODAY()),MONTH(TODAY())+1,1),B$2:B$238,$B$276),"")</f>
        <v/>
      </c>
      <c r="D276" s="10">
        <f>IFERROR(AVERAGEIFS(D$2:D$238,A$2:A$238,"&gt;="&amp;DATE(YEAR(TODAY()),MONTH(TODAY()),1),A$2:A$238,"&lt;"&amp;DATE(YEAR(TODAY()),MONTH(TODAY())+1,1),B$2:B$238,$B$276),"")</f>
        <v/>
      </c>
      <c r="E276" s="10">
        <f>IFERROR(AVERAGEIFS(E$2:E$238,A$2:A$238,"&gt;="&amp;DATE(YEAR(TODAY()),MONTH(TODAY()),1),A$2:A$238,"&lt;"&amp;DATE(YEAR(TODAY()),MONTH(TODAY())+1,1),B$2:B$238,$B$276),"")</f>
        <v/>
      </c>
      <c r="F276" s="11">
        <f>IFERROR(SUMPRODUCT((YEAR(A$2:A$238)=YEAR(TODAY()))*(MONTH(A$2:A$238)=MONTH(TODAY()))*(B$2:B$238=$B$276)*(F$2:F$238),"")</f>
        <v/>
      </c>
    </row>
    <row r="277">
      <c r="B277" s="2" t="inlineStr">
        <is>
          <t>废旧磷酸铁锂动力正极片</t>
        </is>
      </c>
      <c r="C277" s="10">
        <f>IFERROR(AVERAGEIFS(C$2:C$238,A$2:A$238,"&gt;="&amp;DATE(YEAR(TODAY()),MONTH(TODAY()),1),A$2:A$238,"&lt;"&amp;DATE(YEAR(TODAY()),MONTH(TODAY())+1,1),B$2:B$238,$B$277),"")</f>
        <v/>
      </c>
      <c r="D277" s="10">
        <f>IFERROR(AVERAGEIFS(D$2:D$238,A$2:A$238,"&gt;="&amp;DATE(YEAR(TODAY()),MONTH(TODAY()),1),A$2:A$238,"&lt;"&amp;DATE(YEAR(TODAY()),MONTH(TODAY())+1,1),B$2:B$238,$B$277),"")</f>
        <v/>
      </c>
      <c r="E277" s="10">
        <f>IFERROR(AVERAGEIFS(E$2:E$238,A$2:A$238,"&gt;="&amp;DATE(YEAR(TODAY()),MONTH(TODAY()),1),A$2:A$238,"&lt;"&amp;DATE(YEAR(TODAY()),MONTH(TODAY())+1,1),B$2:B$238,$B$277),"")</f>
        <v/>
      </c>
      <c r="F277" s="11">
        <f>IFERROR(SUMPRODUCT((YEAR(A$2:A$238)=YEAR(TODAY()))*(MONTH(A$2:A$238)=MONTH(TODAY()))*(B$2:B$238=$B$277)*(F$2:F$238),"")</f>
        <v/>
      </c>
    </row>
    <row r="278">
      <c r="B278" s="2" t="inlineStr">
        <is>
          <t>废旧磷酸铁锂软包电池</t>
        </is>
      </c>
      <c r="C278" s="10">
        <f>IFERROR(AVERAGEIFS(C$2:C$238,A$2:A$238,"&gt;="&amp;DATE(YEAR(TODAY()),MONTH(TODAY()),1),A$2:A$238,"&lt;"&amp;DATE(YEAR(TODAY()),MONTH(TODAY())+1,1),B$2:B$238,$B$278),"")</f>
        <v/>
      </c>
      <c r="D278" s="10">
        <f>IFERROR(AVERAGEIFS(D$2:D$238,A$2:A$238,"&gt;="&amp;DATE(YEAR(TODAY()),MONTH(TODAY()),1),A$2:A$238,"&lt;"&amp;DATE(YEAR(TODAY()),MONTH(TODAY())+1,1),B$2:B$238,$B$278),"")</f>
        <v/>
      </c>
      <c r="E278" s="10">
        <f>IFERROR(AVERAGEIFS(E$2:E$238,A$2:A$238,"&gt;="&amp;DATE(YEAR(TODAY()),MONTH(TODAY()),1),A$2:A$238,"&lt;"&amp;DATE(YEAR(TODAY()),MONTH(TODAY())+1,1),B$2:B$238,$B$278),"")</f>
        <v/>
      </c>
      <c r="F278" s="11">
        <f>IFERROR(SUMPRODUCT((YEAR(A$2:A$238)=YEAR(TODAY()))*(MONTH(A$2:A$238)=MONTH(TODAY()))*(B$2:B$238=$B$278)*(F$2:F$238),"")</f>
        <v/>
      </c>
    </row>
    <row r="279">
      <c r="B279" s="2" t="inlineStr">
        <is>
          <t>废旧磷酸铁锂钢壳电池</t>
        </is>
      </c>
      <c r="C279" s="10">
        <f>IFERROR(AVERAGEIFS(C$2:C$238,A$2:A$238,"&gt;="&amp;DATE(YEAR(TODAY()),MONTH(TODAY()),1),A$2:A$238,"&lt;"&amp;DATE(YEAR(TODAY()),MONTH(TODAY())+1,1),B$2:B$238,$B$279),"")</f>
        <v/>
      </c>
      <c r="D279" s="10">
        <f>IFERROR(AVERAGEIFS(D$2:D$238,A$2:A$238,"&gt;="&amp;DATE(YEAR(TODAY()),MONTH(TODAY()),1),A$2:A$238,"&lt;"&amp;DATE(YEAR(TODAY()),MONTH(TODAY())+1,1),B$2:B$238,$B$279),"")</f>
        <v/>
      </c>
      <c r="E279" s="10">
        <f>IFERROR(AVERAGEIFS(E$2:E$238,A$2:A$238,"&gt;="&amp;DATE(YEAR(TODAY()),MONTH(TODAY()),1),A$2:A$238,"&lt;"&amp;DATE(YEAR(TODAY()),MONTH(TODAY())+1,1),B$2:B$238,$B$279),"")</f>
        <v/>
      </c>
      <c r="F279" s="11">
        <f>IFERROR(SUMPRODUCT((YEAR(A$2:A$238)=YEAR(TODAY()))*(MONTH(A$2:A$238)=MONTH(TODAY()))*(B$2:B$238=$B$279)*(F$2:F$238),"")</f>
        <v/>
      </c>
    </row>
    <row r="280">
      <c r="B280" s="2" t="inlineStr">
        <is>
          <t>废旧磷酸铁锂铝壳电池</t>
        </is>
      </c>
      <c r="C280" s="10">
        <f>IFERROR(AVERAGEIFS(C$2:C$238,A$2:A$238,"&gt;="&amp;DATE(YEAR(TODAY()),MONTH(TODAY()),1),A$2:A$238,"&lt;"&amp;DATE(YEAR(TODAY()),MONTH(TODAY())+1,1),B$2:B$238,$B$280),"")</f>
        <v/>
      </c>
      <c r="D280" s="10">
        <f>IFERROR(AVERAGEIFS(D$2:D$238,A$2:A$238,"&gt;="&amp;DATE(YEAR(TODAY()),MONTH(TODAY()),1),A$2:A$238,"&lt;"&amp;DATE(YEAR(TODAY()),MONTH(TODAY())+1,1),B$2:B$238,$B$280),"")</f>
        <v/>
      </c>
      <c r="E280" s="10">
        <f>IFERROR(AVERAGEIFS(E$2:E$238,A$2:A$238,"&gt;="&amp;DATE(YEAR(TODAY()),MONTH(TODAY()),1),A$2:A$238,"&lt;"&amp;DATE(YEAR(TODAY()),MONTH(TODAY())+1,1),B$2:B$238,$B$280),"")</f>
        <v/>
      </c>
      <c r="F280" s="11">
        <f>IFERROR(SUMPRODUCT((YEAR(A$2:A$238)=YEAR(TODAY()))*(MONTH(A$2:A$238)=MONTH(TODAY()))*(B$2:B$238=$B$280)*(F$2:F$238),"")</f>
        <v/>
      </c>
    </row>
    <row r="281">
      <c r="B281" s="2" t="inlineStr">
        <is>
          <t>方形磷酸铁锂电池B品</t>
        </is>
      </c>
      <c r="C281" s="10">
        <f>IFERROR(AVERAGEIFS(C$2:C$238,A$2:A$238,"&gt;="&amp;DATE(YEAR(TODAY()),MONTH(TODAY()),1),A$2:A$238,"&lt;"&amp;DATE(YEAR(TODAY()),MONTH(TODAY())+1,1),B$2:B$238,$B$281),"")</f>
        <v/>
      </c>
      <c r="D281" s="10">
        <f>IFERROR(AVERAGEIFS(D$2:D$238,A$2:A$238,"&gt;="&amp;DATE(YEAR(TODAY()),MONTH(TODAY()),1),A$2:A$238,"&lt;"&amp;DATE(YEAR(TODAY()),MONTH(TODAY())+1,1),B$2:B$238,$B$281),"")</f>
        <v/>
      </c>
      <c r="E281" s="10">
        <f>IFERROR(AVERAGEIFS(E$2:E$238,A$2:A$238,"&gt;="&amp;DATE(YEAR(TODAY()),MONTH(TODAY()),1),A$2:A$238,"&lt;"&amp;DATE(YEAR(TODAY()),MONTH(TODAY())+1,1),B$2:B$238,$B$281),"")</f>
        <v/>
      </c>
      <c r="F281" s="11">
        <f>IFERROR(SUMPRODUCT((YEAR(A$2:A$238)=YEAR(TODAY()))*(MONTH(A$2:A$238)=MONTH(TODAY()))*(B$2:B$238=$B$281)*(F$2:F$238),"")</f>
        <v/>
      </c>
    </row>
    <row r="282">
      <c r="B282" s="2" t="inlineStr">
        <is>
          <t>氧化亚镍</t>
        </is>
      </c>
      <c r="C282" s="10">
        <f>IFERROR(AVERAGEIFS(C$2:C$238,A$2:A$238,"&gt;="&amp;DATE(YEAR(TODAY()),MONTH(TODAY()),1),A$2:A$238,"&lt;"&amp;DATE(YEAR(TODAY()),MONTH(TODAY())+1,1),B$2:B$238,$B$282),"")</f>
        <v/>
      </c>
      <c r="D282" s="10">
        <f>IFERROR(AVERAGEIFS(D$2:D$238,A$2:A$238,"&gt;="&amp;DATE(YEAR(TODAY()),MONTH(TODAY()),1),A$2:A$238,"&lt;"&amp;DATE(YEAR(TODAY()),MONTH(TODAY())+1,1),B$2:B$238,$B$282),"")</f>
        <v/>
      </c>
      <c r="E282" s="10">
        <f>IFERROR(AVERAGEIFS(E$2:E$238,A$2:A$238,"&gt;="&amp;DATE(YEAR(TODAY()),MONTH(TODAY()),1),A$2:A$238,"&lt;"&amp;DATE(YEAR(TODAY()),MONTH(TODAY())+1,1),B$2:B$238,$B$282),"")</f>
        <v/>
      </c>
      <c r="F282" s="11">
        <f>IFERROR(SUMPRODUCT((YEAR(A$2:A$238)=YEAR(TODAY()))*(MONTH(A$2:A$238)=MONTH(TODAY()))*(B$2:B$238=$B$282)*(F$2:F$238),"")</f>
        <v/>
      </c>
    </row>
    <row r="283">
      <c r="B283" s="2" t="inlineStr">
        <is>
          <t>氧化钴</t>
        </is>
      </c>
      <c r="C283" s="10">
        <f>IFERROR(AVERAGEIFS(C$2:C$238,A$2:A$238,"&gt;="&amp;DATE(YEAR(TODAY()),MONTH(TODAY()),1),A$2:A$238,"&lt;"&amp;DATE(YEAR(TODAY()),MONTH(TODAY())+1,1),B$2:B$238,$B$283),"")</f>
        <v/>
      </c>
      <c r="D283" s="10">
        <f>IFERROR(AVERAGEIFS(D$2:D$238,A$2:A$238,"&gt;="&amp;DATE(YEAR(TODAY()),MONTH(TODAY()),1),A$2:A$238,"&lt;"&amp;DATE(YEAR(TODAY()),MONTH(TODAY())+1,1),B$2:B$238,$B$283),"")</f>
        <v/>
      </c>
      <c r="E283" s="10">
        <f>IFERROR(AVERAGEIFS(E$2:E$238,A$2:A$238,"&gt;="&amp;DATE(YEAR(TODAY()),MONTH(TODAY()),1),A$2:A$238,"&lt;"&amp;DATE(YEAR(TODAY()),MONTH(TODAY())+1,1),B$2:B$238,$B$283),"")</f>
        <v/>
      </c>
      <c r="F283" s="11">
        <f>IFERROR(SUMPRODUCT((YEAR(A$2:A$238)=YEAR(TODAY()))*(MONTH(A$2:A$238)=MONTH(TODAY()))*(B$2:B$238=$B$283)*(F$2:F$238),"")</f>
        <v/>
      </c>
    </row>
    <row r="284">
      <c r="B284" s="2" t="inlineStr">
        <is>
          <t>氯化钴</t>
        </is>
      </c>
      <c r="C284" s="10">
        <f>IFERROR(AVERAGEIFS(C$2:C$238,A$2:A$238,"&gt;="&amp;DATE(YEAR(TODAY()),MONTH(TODAY()),1),A$2:A$238,"&lt;"&amp;DATE(YEAR(TODAY()),MONTH(TODAY())+1,1),B$2:B$238,$B$284),"")</f>
        <v/>
      </c>
      <c r="D284" s="10">
        <f>IFERROR(AVERAGEIFS(D$2:D$238,A$2:A$238,"&gt;="&amp;DATE(YEAR(TODAY()),MONTH(TODAY()),1),A$2:A$238,"&lt;"&amp;DATE(YEAR(TODAY()),MONTH(TODAY())+1,1),B$2:B$238,$B$284),"")</f>
        <v/>
      </c>
      <c r="E284" s="10">
        <f>IFERROR(AVERAGEIFS(E$2:E$238,A$2:A$238,"&gt;="&amp;DATE(YEAR(TODAY()),MONTH(TODAY()),1),A$2:A$238,"&lt;"&amp;DATE(YEAR(TODAY()),MONTH(TODAY())+1,1),B$2:B$238,$B$284),"")</f>
        <v/>
      </c>
      <c r="F284" s="11">
        <f>IFERROR(SUMPRODUCT((YEAR(A$2:A$238)=YEAR(TODAY()))*(MONTH(A$2:A$238)=MONTH(TODAY()))*(B$2:B$238=$B$284)*(F$2:F$238),"")</f>
        <v/>
      </c>
    </row>
    <row r="285">
      <c r="B285" s="2" t="inlineStr">
        <is>
          <t>氯化镍NiCl₂·6H₂O</t>
        </is>
      </c>
      <c r="C285" s="10">
        <f>IFERROR(AVERAGEIFS(C$2:C$238,A$2:A$238,"&gt;="&amp;DATE(YEAR(TODAY()),MONTH(TODAY()),1),A$2:A$238,"&lt;"&amp;DATE(YEAR(TODAY()),MONTH(TODAY())+1,1),B$2:B$238,$B$285),"")</f>
        <v/>
      </c>
      <c r="D285" s="10">
        <f>IFERROR(AVERAGEIFS(D$2:D$238,A$2:A$238,"&gt;="&amp;DATE(YEAR(TODAY()),MONTH(TODAY()),1),A$2:A$238,"&lt;"&amp;DATE(YEAR(TODAY()),MONTH(TODAY())+1,1),B$2:B$238,$B$285),"")</f>
        <v/>
      </c>
      <c r="E285" s="10">
        <f>IFERROR(AVERAGEIFS(E$2:E$238,A$2:A$238,"&gt;="&amp;DATE(YEAR(TODAY()),MONTH(TODAY()),1),A$2:A$238,"&lt;"&amp;DATE(YEAR(TODAY()),MONTH(TODAY())+1,1),B$2:B$238,$B$285),"")</f>
        <v/>
      </c>
      <c r="F285" s="11">
        <f>IFERROR(SUMPRODUCT((YEAR(A$2:A$238)=YEAR(TODAY()))*(MONTH(A$2:A$238)=MONTH(TODAY()))*(B$2:B$238=$B$285)*(F$2:F$238),"")</f>
        <v/>
      </c>
    </row>
    <row r="286">
      <c r="B286" s="2" t="inlineStr">
        <is>
          <t>津巴布韦锂辉石精矿（CIF中国）现货</t>
        </is>
      </c>
      <c r="C286" s="10">
        <f>IFERROR(AVERAGEIFS(C$2:C$238,A$2:A$238,"&gt;="&amp;DATE(YEAR(TODAY()),MONTH(TODAY()),1),A$2:A$238,"&lt;"&amp;DATE(YEAR(TODAY()),MONTH(TODAY())+1,1),B$2:B$238,$B$286),"")</f>
        <v/>
      </c>
      <c r="D286" s="10">
        <f>IFERROR(AVERAGEIFS(D$2:D$238,A$2:A$238,"&gt;="&amp;DATE(YEAR(TODAY()),MONTH(TODAY()),1),A$2:A$238,"&lt;"&amp;DATE(YEAR(TODAY()),MONTH(TODAY())+1,1),B$2:B$238,$B$286),"")</f>
        <v/>
      </c>
      <c r="E286" s="10">
        <f>IFERROR(AVERAGEIFS(E$2:E$238,A$2:A$238,"&gt;="&amp;DATE(YEAR(TODAY()),MONTH(TODAY()),1),A$2:A$238,"&lt;"&amp;DATE(YEAR(TODAY()),MONTH(TODAY())+1,1),B$2:B$238,$B$286),"")</f>
        <v/>
      </c>
      <c r="F286" s="11">
        <f>IFERROR(SUMPRODUCT((YEAR(A$2:A$238)=YEAR(TODAY()))*(MONTH(A$2:A$238)=MONTH(TODAY()))*(B$2:B$238=$B$286)*(F$2:F$238),"")</f>
        <v/>
      </c>
    </row>
    <row r="287">
      <c r="B287" s="2" t="inlineStr">
        <is>
          <t>澳大利亚锂辉石精矿（CIF中国）现货</t>
        </is>
      </c>
      <c r="C287" s="10">
        <f>IFERROR(AVERAGEIFS(C$2:C$238,A$2:A$238,"&gt;="&amp;DATE(YEAR(TODAY()),MONTH(TODAY()),1),A$2:A$238,"&lt;"&amp;DATE(YEAR(TODAY()),MONTH(TODAY())+1,1),B$2:B$238,$B$287),"")</f>
        <v/>
      </c>
      <c r="D287" s="10">
        <f>IFERROR(AVERAGEIFS(D$2:D$238,A$2:A$238,"&gt;="&amp;DATE(YEAR(TODAY()),MONTH(TODAY()),1),A$2:A$238,"&lt;"&amp;DATE(YEAR(TODAY()),MONTH(TODAY())+1,1),B$2:B$238,$B$287),"")</f>
        <v/>
      </c>
      <c r="E287" s="10">
        <f>IFERROR(AVERAGEIFS(E$2:E$238,A$2:A$238,"&gt;="&amp;DATE(YEAR(TODAY()),MONTH(TODAY()),1),A$2:A$238,"&lt;"&amp;DATE(YEAR(TODAY()),MONTH(TODAY())+1,1),B$2:B$238,$B$287),"")</f>
        <v/>
      </c>
      <c r="F287" s="11">
        <f>IFERROR(SUMPRODUCT((YEAR(A$2:A$238)=YEAR(TODAY()))*(MONTH(A$2:A$238)=MONTH(TODAY()))*(B$2:B$238=$B$287)*(F$2:F$238),"")</f>
        <v/>
      </c>
    </row>
    <row r="288">
      <c r="B288" s="2" t="inlineStr">
        <is>
          <t>电池级无水氯化锂</t>
        </is>
      </c>
      <c r="C288" s="10">
        <f>IFERROR(AVERAGEIFS(C$2:C$238,A$2:A$238,"&gt;="&amp;DATE(YEAR(TODAY()),MONTH(TODAY()),1),A$2:A$238,"&lt;"&amp;DATE(YEAR(TODAY()),MONTH(TODAY())+1,1),B$2:B$238,$B$288),"")</f>
        <v/>
      </c>
      <c r="D288" s="10">
        <f>IFERROR(AVERAGEIFS(D$2:D$238,A$2:A$238,"&gt;="&amp;DATE(YEAR(TODAY()),MONTH(TODAY()),1),A$2:A$238,"&lt;"&amp;DATE(YEAR(TODAY()),MONTH(TODAY())+1,1),B$2:B$238,$B$288),"")</f>
        <v/>
      </c>
      <c r="E288" s="10">
        <f>IFERROR(AVERAGEIFS(E$2:E$238,A$2:A$238,"&gt;="&amp;DATE(YEAR(TODAY()),MONTH(TODAY()),1),A$2:A$238,"&lt;"&amp;DATE(YEAR(TODAY()),MONTH(TODAY())+1,1),B$2:B$238,$B$288),"")</f>
        <v/>
      </c>
      <c r="F288" s="11">
        <f>IFERROR(SUMPRODUCT((YEAR(A$2:A$238)=YEAR(TODAY()))*(MONTH(A$2:A$238)=MONTH(TODAY()))*(B$2:B$238=$B$288)*(F$2:F$238),"")</f>
        <v/>
      </c>
    </row>
    <row r="289">
      <c r="B289" s="2" t="inlineStr">
        <is>
          <t>电池级氟化锂</t>
        </is>
      </c>
      <c r="C289" s="10">
        <f>IFERROR(AVERAGEIFS(C$2:C$238,A$2:A$238,"&gt;="&amp;DATE(YEAR(TODAY()),MONTH(TODAY()),1),A$2:A$238,"&lt;"&amp;DATE(YEAR(TODAY()),MONTH(TODAY())+1,1),B$2:B$238,$B$289),"")</f>
        <v/>
      </c>
      <c r="D289" s="10">
        <f>IFERROR(AVERAGEIFS(D$2:D$238,A$2:A$238,"&gt;="&amp;DATE(YEAR(TODAY()),MONTH(TODAY()),1),A$2:A$238,"&lt;"&amp;DATE(YEAR(TODAY()),MONTH(TODAY())+1,1),B$2:B$238,$B$289),"")</f>
        <v/>
      </c>
      <c r="E289" s="10">
        <f>IFERROR(AVERAGEIFS(E$2:E$238,A$2:A$238,"&gt;="&amp;DATE(YEAR(TODAY()),MONTH(TODAY()),1),A$2:A$238,"&lt;"&amp;DATE(YEAR(TODAY()),MONTH(TODAY())+1,1),B$2:B$238,$B$289),"")</f>
        <v/>
      </c>
      <c r="F289" s="11">
        <f>IFERROR(SUMPRODUCT((YEAR(A$2:A$238)=YEAR(TODAY()))*(MONTH(A$2:A$238)=MONTH(TODAY()))*(B$2:B$238=$B$289)*(F$2:F$238),"")</f>
        <v/>
      </c>
    </row>
    <row r="290">
      <c r="B290" s="2" t="inlineStr">
        <is>
          <t>电池级氢氧化锂(CIF中日韩)</t>
        </is>
      </c>
      <c r="C290" s="10">
        <f>IFERROR(AVERAGEIFS(C$2:C$238,A$2:A$238,"&gt;="&amp;DATE(YEAR(TODAY()),MONTH(TODAY()),1),A$2:A$238,"&lt;"&amp;DATE(YEAR(TODAY()),MONTH(TODAY())+1,1),B$2:B$238,$B$290),"")</f>
        <v/>
      </c>
      <c r="D290" s="10">
        <f>IFERROR(AVERAGEIFS(D$2:D$238,A$2:A$238,"&gt;="&amp;DATE(YEAR(TODAY()),MONTH(TODAY()),1),A$2:A$238,"&lt;"&amp;DATE(YEAR(TODAY()),MONTH(TODAY())+1,1),B$2:B$238,$B$290),"")</f>
        <v/>
      </c>
      <c r="E290" s="10">
        <f>IFERROR(AVERAGEIFS(E$2:E$238,A$2:A$238,"&gt;="&amp;DATE(YEAR(TODAY()),MONTH(TODAY()),1),A$2:A$238,"&lt;"&amp;DATE(YEAR(TODAY()),MONTH(TODAY())+1,1),B$2:B$238,$B$290),"")</f>
        <v/>
      </c>
      <c r="F290" s="11">
        <f>IFERROR(SUMPRODUCT((YEAR(A$2:A$238)=YEAR(TODAY()))*(MONTH(A$2:A$238)=MONTH(TODAY()))*(B$2:B$238=$B$290)*(F$2:F$238),"")</f>
        <v/>
      </c>
    </row>
    <row r="291">
      <c r="B291" s="2" t="inlineStr">
        <is>
          <t>电池级氢氧化锂(CIF韩国)</t>
        </is>
      </c>
      <c r="C291" s="10">
        <f>IFERROR(AVERAGEIFS(C$2:C$238,A$2:A$238,"&gt;="&amp;DATE(YEAR(TODAY()),MONTH(TODAY()),1),A$2:A$238,"&lt;"&amp;DATE(YEAR(TODAY()),MONTH(TODAY())+1,1),B$2:B$238,$B$291),"")</f>
        <v/>
      </c>
      <c r="D291" s="10">
        <f>IFERROR(AVERAGEIFS(D$2:D$238,A$2:A$238,"&gt;="&amp;DATE(YEAR(TODAY()),MONTH(TODAY()),1),A$2:A$238,"&lt;"&amp;DATE(YEAR(TODAY()),MONTH(TODAY())+1,1),B$2:B$238,$B$291),"")</f>
        <v/>
      </c>
      <c r="E291" s="10">
        <f>IFERROR(AVERAGEIFS(E$2:E$238,A$2:A$238,"&gt;="&amp;DATE(YEAR(TODAY()),MONTH(TODAY()),1),A$2:A$238,"&lt;"&amp;DATE(YEAR(TODAY()),MONTH(TODAY())+1,1),B$2:B$238,$B$291),"")</f>
        <v/>
      </c>
      <c r="F291" s="11">
        <f>IFERROR(SUMPRODUCT((YEAR(A$2:A$238)=YEAR(TODAY()))*(MONTH(A$2:A$238)=MONTH(TODAY()))*(B$2:B$238=$B$291)*(F$2:F$238),"")</f>
        <v/>
      </c>
    </row>
    <row r="292">
      <c r="B292" s="2" t="inlineStr">
        <is>
          <t>电池级氢氧化锂(微粉）</t>
        </is>
      </c>
      <c r="C292" s="10">
        <f>IFERROR(AVERAGEIFS(C$2:C$238,A$2:A$238,"&gt;="&amp;DATE(YEAR(TODAY()),MONTH(TODAY()),1),A$2:A$238,"&lt;"&amp;DATE(YEAR(TODAY()),MONTH(TODAY())+1,1),B$2:B$238,$B$292),"")</f>
        <v/>
      </c>
      <c r="D292" s="10">
        <f>IFERROR(AVERAGEIFS(D$2:D$238,A$2:A$238,"&gt;="&amp;DATE(YEAR(TODAY()),MONTH(TODAY()),1),A$2:A$238,"&lt;"&amp;DATE(YEAR(TODAY()),MONTH(TODAY())+1,1),B$2:B$238,$B$292),"")</f>
        <v/>
      </c>
      <c r="E292" s="10">
        <f>IFERROR(AVERAGEIFS(E$2:E$238,A$2:A$238,"&gt;="&amp;DATE(YEAR(TODAY()),MONTH(TODAY()),1),A$2:A$238,"&lt;"&amp;DATE(YEAR(TODAY()),MONTH(TODAY())+1,1),B$2:B$238,$B$292),"")</f>
        <v/>
      </c>
      <c r="F292" s="11">
        <f>IFERROR(SUMPRODUCT((YEAR(A$2:A$238)=YEAR(TODAY()))*(MONTH(A$2:A$238)=MONTH(TODAY()))*(B$2:B$238=$B$292)*(F$2:F$238),"")</f>
        <v/>
      </c>
    </row>
    <row r="293">
      <c r="B293" s="2" t="inlineStr">
        <is>
          <t>电池级氢氧化锂（粗颗粒）</t>
        </is>
      </c>
      <c r="C293" s="10">
        <f>IFERROR(AVERAGEIFS(C$2:C$238,A$2:A$238,"&gt;="&amp;DATE(YEAR(TODAY()),MONTH(TODAY()),1),A$2:A$238,"&lt;"&amp;DATE(YEAR(TODAY()),MONTH(TODAY())+1,1),B$2:B$238,$B$293),"")</f>
        <v/>
      </c>
      <c r="D293" s="10">
        <f>IFERROR(AVERAGEIFS(D$2:D$238,A$2:A$238,"&gt;="&amp;DATE(YEAR(TODAY()),MONTH(TODAY()),1),A$2:A$238,"&lt;"&amp;DATE(YEAR(TODAY()),MONTH(TODAY())+1,1),B$2:B$238,$B$293),"")</f>
        <v/>
      </c>
      <c r="E293" s="10">
        <f>IFERROR(AVERAGEIFS(E$2:E$238,A$2:A$238,"&gt;="&amp;DATE(YEAR(TODAY()),MONTH(TODAY()),1),A$2:A$238,"&lt;"&amp;DATE(YEAR(TODAY()),MONTH(TODAY())+1,1),B$2:B$238,$B$293),"")</f>
        <v/>
      </c>
      <c r="F293" s="11">
        <f>IFERROR(SUMPRODUCT((YEAR(A$2:A$238)=YEAR(TODAY()))*(MONTH(A$2:A$238)=MONTH(TODAY()))*(B$2:B$238=$B$293)*(F$2:F$238),"")</f>
        <v/>
      </c>
    </row>
    <row r="294">
      <c r="B294" s="2" t="inlineStr">
        <is>
          <t>电池级硫酸锰（出厂价）</t>
        </is>
      </c>
      <c r="C294" s="10">
        <f>IFERROR(AVERAGEIFS(C$2:C$238,A$2:A$238,"&gt;="&amp;DATE(YEAR(TODAY()),MONTH(TODAY()),1),A$2:A$238,"&lt;"&amp;DATE(YEAR(TODAY()),MONTH(TODAY())+1,1),B$2:B$238,$B$294),"")</f>
        <v/>
      </c>
      <c r="D294" s="10">
        <f>IFERROR(AVERAGEIFS(D$2:D$238,A$2:A$238,"&gt;="&amp;DATE(YEAR(TODAY()),MONTH(TODAY()),1),A$2:A$238,"&lt;"&amp;DATE(YEAR(TODAY()),MONTH(TODAY())+1,1),B$2:B$238,$B$294),"")</f>
        <v/>
      </c>
      <c r="E294" s="10">
        <f>IFERROR(AVERAGEIFS(E$2:E$238,A$2:A$238,"&gt;="&amp;DATE(YEAR(TODAY()),MONTH(TODAY()),1),A$2:A$238,"&lt;"&amp;DATE(YEAR(TODAY()),MONTH(TODAY())+1,1),B$2:B$238,$B$294),"")</f>
        <v/>
      </c>
      <c r="F294" s="11">
        <f>IFERROR(SUMPRODUCT((YEAR(A$2:A$238)=YEAR(TODAY()))*(MONTH(A$2:A$238)=MONTH(TODAY()))*(B$2:B$238=$B$294)*(F$2:F$238),"")</f>
        <v/>
      </c>
    </row>
    <row r="295">
      <c r="B295" s="2" t="inlineStr">
        <is>
          <t>电池级硫酸镍</t>
        </is>
      </c>
      <c r="C295" s="10">
        <f>IFERROR(AVERAGEIFS(C$2:C$238,A$2:A$238,"&gt;="&amp;DATE(YEAR(TODAY()),MONTH(TODAY()),1),A$2:A$238,"&lt;"&amp;DATE(YEAR(TODAY()),MONTH(TODAY())+1,1),B$2:B$238,$B$295),"")</f>
        <v/>
      </c>
      <c r="D295" s="10">
        <f>IFERROR(AVERAGEIFS(D$2:D$238,A$2:A$238,"&gt;="&amp;DATE(YEAR(TODAY()),MONTH(TODAY()),1),A$2:A$238,"&lt;"&amp;DATE(YEAR(TODAY()),MONTH(TODAY())+1,1),B$2:B$238,$B$295),"")</f>
        <v/>
      </c>
      <c r="E295" s="10">
        <f>IFERROR(AVERAGEIFS(E$2:E$238,A$2:A$238,"&gt;="&amp;DATE(YEAR(TODAY()),MONTH(TODAY()),1),A$2:A$238,"&lt;"&amp;DATE(YEAR(TODAY()),MONTH(TODAY())+1,1),B$2:B$238,$B$295),"")</f>
        <v/>
      </c>
      <c r="F295" s="11">
        <f>IFERROR(SUMPRODUCT((YEAR(A$2:A$238)=YEAR(TODAY()))*(MONTH(A$2:A$238)=MONTH(TODAY()))*(B$2:B$238=$B$295)*(F$2:F$238),"")</f>
        <v/>
      </c>
    </row>
    <row r="296">
      <c r="B296" s="2" t="inlineStr">
        <is>
          <t>电池级碳酸锂</t>
        </is>
      </c>
      <c r="C296" s="10">
        <f>IFERROR(AVERAGEIFS(C$2:C$238,A$2:A$238,"&gt;="&amp;DATE(YEAR(TODAY()),MONTH(TODAY()),1),A$2:A$238,"&lt;"&amp;DATE(YEAR(TODAY()),MONTH(TODAY())+1,1),B$2:B$238,$B$296),"")</f>
        <v/>
      </c>
      <c r="D296" s="10">
        <f>IFERROR(AVERAGEIFS(D$2:D$238,A$2:A$238,"&gt;="&amp;DATE(YEAR(TODAY()),MONTH(TODAY()),1),A$2:A$238,"&lt;"&amp;DATE(YEAR(TODAY()),MONTH(TODAY())+1,1),B$2:B$238,$B$296),"")</f>
        <v/>
      </c>
      <c r="E296" s="10">
        <f>IFERROR(AVERAGEIFS(E$2:E$238,A$2:A$238,"&gt;="&amp;DATE(YEAR(TODAY()),MONTH(TODAY()),1),A$2:A$238,"&lt;"&amp;DATE(YEAR(TODAY()),MONTH(TODAY())+1,1),B$2:B$238,$B$296),"")</f>
        <v/>
      </c>
      <c r="F296" s="11">
        <f>IFERROR(SUMPRODUCT((YEAR(A$2:A$238)=YEAR(TODAY()))*(MONTH(A$2:A$238)=MONTH(TODAY()))*(B$2:B$238=$B$296)*(F$2:F$238),"")</f>
        <v/>
      </c>
    </row>
    <row r="297">
      <c r="B297" s="2" t="inlineStr">
        <is>
          <t>电池级碳酸锂(CIF韩国)</t>
        </is>
      </c>
      <c r="C297" s="10">
        <f>IFERROR(AVERAGEIFS(C$2:C$238,A$2:A$238,"&gt;="&amp;DATE(YEAR(TODAY()),MONTH(TODAY()),1),A$2:A$238,"&lt;"&amp;DATE(YEAR(TODAY()),MONTH(TODAY())+1,1),B$2:B$238,$B$297),"")</f>
        <v/>
      </c>
      <c r="D297" s="10">
        <f>IFERROR(AVERAGEIFS(D$2:D$238,A$2:A$238,"&gt;="&amp;DATE(YEAR(TODAY()),MONTH(TODAY()),1),A$2:A$238,"&lt;"&amp;DATE(YEAR(TODAY()),MONTH(TODAY())+1,1),B$2:B$238,$B$297),"")</f>
        <v/>
      </c>
      <c r="E297" s="10">
        <f>IFERROR(AVERAGEIFS(E$2:E$238,A$2:A$238,"&gt;="&amp;DATE(YEAR(TODAY()),MONTH(TODAY()),1),A$2:A$238,"&lt;"&amp;DATE(YEAR(TODAY()),MONTH(TODAY())+1,1),B$2:B$238,$B$297),"")</f>
        <v/>
      </c>
      <c r="F297" s="11">
        <f>IFERROR(SUMPRODUCT((YEAR(A$2:A$238)=YEAR(TODAY()))*(MONTH(A$2:A$238)=MONTH(TODAY()))*(B$2:B$238=$B$297)*(F$2:F$238),"")</f>
        <v/>
      </c>
    </row>
    <row r="298">
      <c r="B298" s="2" t="inlineStr">
        <is>
          <t>电池级碳酸锂（CIF中日韩）</t>
        </is>
      </c>
      <c r="C298" s="10">
        <f>IFERROR(AVERAGEIFS(C$2:C$238,A$2:A$238,"&gt;="&amp;DATE(YEAR(TODAY()),MONTH(TODAY()),1),A$2:A$238,"&lt;"&amp;DATE(YEAR(TODAY()),MONTH(TODAY())+1,1),B$2:B$238,$B$298),"")</f>
        <v/>
      </c>
      <c r="D298" s="10">
        <f>IFERROR(AVERAGEIFS(D$2:D$238,A$2:A$238,"&gt;="&amp;DATE(YEAR(TODAY()),MONTH(TODAY()),1),A$2:A$238,"&lt;"&amp;DATE(YEAR(TODAY()),MONTH(TODAY())+1,1),B$2:B$238,$B$298),"")</f>
        <v/>
      </c>
      <c r="E298" s="10">
        <f>IFERROR(AVERAGEIFS(E$2:E$238,A$2:A$238,"&gt;="&amp;DATE(YEAR(TODAY()),MONTH(TODAY()),1),A$2:A$238,"&lt;"&amp;DATE(YEAR(TODAY()),MONTH(TODAY())+1,1),B$2:B$238,$B$298),"")</f>
        <v/>
      </c>
      <c r="F298" s="11">
        <f>IFERROR(SUMPRODUCT((YEAR(A$2:A$238)=YEAR(TODAY()))*(MONTH(A$2:A$238)=MONTH(TODAY()))*(B$2:B$238=$B$298)*(F$2:F$238),"")</f>
        <v/>
      </c>
    </row>
    <row r="299">
      <c r="B299" s="2" t="inlineStr">
        <is>
          <t>电池级金属锂</t>
        </is>
      </c>
      <c r="C299" s="10">
        <f>IFERROR(AVERAGEIFS(C$2:C$238,A$2:A$238,"&gt;="&amp;DATE(YEAR(TODAY()),MONTH(TODAY()),1),A$2:A$238,"&lt;"&amp;DATE(YEAR(TODAY()),MONTH(TODAY())+1,1),B$2:B$238,$B$299),"")</f>
        <v/>
      </c>
      <c r="D299" s="10">
        <f>IFERROR(AVERAGEIFS(D$2:D$238,A$2:A$238,"&gt;="&amp;DATE(YEAR(TODAY()),MONTH(TODAY()),1),A$2:A$238,"&lt;"&amp;DATE(YEAR(TODAY()),MONTH(TODAY())+1,1),B$2:B$238,$B$299),"")</f>
        <v/>
      </c>
      <c r="E299" s="10">
        <f>IFERROR(AVERAGEIFS(E$2:E$238,A$2:A$238,"&gt;="&amp;DATE(YEAR(TODAY()),MONTH(TODAY()),1),A$2:A$238,"&lt;"&amp;DATE(YEAR(TODAY()),MONTH(TODAY())+1,1),B$2:B$238,$B$299),"")</f>
        <v/>
      </c>
      <c r="F299" s="11">
        <f>IFERROR(SUMPRODUCT((YEAR(A$2:A$238)=YEAR(TODAY()))*(MONTH(A$2:A$238)=MONTH(TODAY()))*(B$2:B$238=$B$299)*(F$2:F$238),"")</f>
        <v/>
      </c>
    </row>
    <row r="300">
      <c r="B300" s="2" t="inlineStr">
        <is>
          <t>电解钴</t>
        </is>
      </c>
      <c r="C300" s="10">
        <f>IFERROR(AVERAGEIFS(C$2:C$238,A$2:A$238,"&gt;="&amp;DATE(YEAR(TODAY()),MONTH(TODAY()),1),A$2:A$238,"&lt;"&amp;DATE(YEAR(TODAY()),MONTH(TODAY())+1,1),B$2:B$238,$B$300),"")</f>
        <v/>
      </c>
      <c r="D300" s="10">
        <f>IFERROR(AVERAGEIFS(D$2:D$238,A$2:A$238,"&gt;="&amp;DATE(YEAR(TODAY()),MONTH(TODAY()),1),A$2:A$238,"&lt;"&amp;DATE(YEAR(TODAY()),MONTH(TODAY())+1,1),B$2:B$238,$B$300),"")</f>
        <v/>
      </c>
      <c r="E300" s="10">
        <f>IFERROR(AVERAGEIFS(E$2:E$238,A$2:A$238,"&gt;="&amp;DATE(YEAR(TODAY()),MONTH(TODAY()),1),A$2:A$238,"&lt;"&amp;DATE(YEAR(TODAY()),MONTH(TODAY())+1,1),B$2:B$238,$B$300),"")</f>
        <v/>
      </c>
      <c r="F300" s="11">
        <f>IFERROR(SUMPRODUCT((YEAR(A$2:A$238)=YEAR(TODAY()))*(MONTH(A$2:A$238)=MONTH(TODAY()))*(B$2:B$238=$B$300)*(F$2:F$238),"")</f>
        <v/>
      </c>
    </row>
    <row r="301">
      <c r="B301" s="2" t="inlineStr">
        <is>
          <t>电解钴（鹿特丹仓库）</t>
        </is>
      </c>
      <c r="C301" s="10">
        <f>IFERROR(AVERAGEIFS(C$2:C$238,A$2:A$238,"&gt;="&amp;DATE(YEAR(TODAY()),MONTH(TODAY()),1),A$2:A$238,"&lt;"&amp;DATE(YEAR(TODAY()),MONTH(TODAY())+1,1),B$2:B$238,$B$301),"")</f>
        <v/>
      </c>
      <c r="D301" s="10">
        <f>IFERROR(AVERAGEIFS(D$2:D$238,A$2:A$238,"&gt;="&amp;DATE(YEAR(TODAY()),MONTH(TODAY()),1),A$2:A$238,"&lt;"&amp;DATE(YEAR(TODAY()),MONTH(TODAY())+1,1),B$2:B$238,$B$301),"")</f>
        <v/>
      </c>
      <c r="E301" s="10">
        <f>IFERROR(AVERAGEIFS(E$2:E$238,A$2:A$238,"&gt;="&amp;DATE(YEAR(TODAY()),MONTH(TODAY()),1),A$2:A$238,"&lt;"&amp;DATE(YEAR(TODAY()),MONTH(TODAY())+1,1),B$2:B$238,$B$301),"")</f>
        <v/>
      </c>
      <c r="F301" s="11">
        <f>IFERROR(SUMPRODUCT((YEAR(A$2:A$238)=YEAR(TODAY()))*(MONTH(A$2:A$238)=MONTH(TODAY()))*(B$2:B$238=$B$301)*(F$2:F$238),"")</f>
        <v/>
      </c>
    </row>
    <row r="302">
      <c r="B302" s="2" t="inlineStr">
        <is>
          <t>电镀级硫酸镍</t>
        </is>
      </c>
      <c r="C302" s="10">
        <f>IFERROR(AVERAGEIFS(C$2:C$238,A$2:A$238,"&gt;="&amp;DATE(YEAR(TODAY()),MONTH(TODAY()),1),A$2:A$238,"&lt;"&amp;DATE(YEAR(TODAY()),MONTH(TODAY())+1,1),B$2:B$238,$B$302),"")</f>
        <v/>
      </c>
      <c r="D302" s="10">
        <f>IFERROR(AVERAGEIFS(D$2:D$238,A$2:A$238,"&gt;="&amp;DATE(YEAR(TODAY()),MONTH(TODAY()),1),A$2:A$238,"&lt;"&amp;DATE(YEAR(TODAY()),MONTH(TODAY())+1,1),B$2:B$238,$B$302),"")</f>
        <v/>
      </c>
      <c r="E302" s="10">
        <f>IFERROR(AVERAGEIFS(E$2:E$238,A$2:A$238,"&gt;="&amp;DATE(YEAR(TODAY()),MONTH(TODAY()),1),A$2:A$238,"&lt;"&amp;DATE(YEAR(TODAY()),MONTH(TODAY())+1,1),B$2:B$238,$B$302),"")</f>
        <v/>
      </c>
      <c r="F302" s="11">
        <f>IFERROR(SUMPRODUCT((YEAR(A$2:A$238)=YEAR(TODAY()))*(MONTH(A$2:A$238)=MONTH(TODAY()))*(B$2:B$238=$B$302)*(F$2:F$238),"")</f>
        <v/>
      </c>
    </row>
    <row r="303">
      <c r="B303" s="2" t="inlineStr">
        <is>
          <t>硫酸钴</t>
        </is>
      </c>
      <c r="C303" s="10">
        <f>IFERROR(AVERAGEIFS(C$2:C$238,A$2:A$238,"&gt;="&amp;DATE(YEAR(TODAY()),MONTH(TODAY()),1),A$2:A$238,"&lt;"&amp;DATE(YEAR(TODAY()),MONTH(TODAY())+1,1),B$2:B$238,$B$303),"")</f>
        <v/>
      </c>
      <c r="D303" s="10">
        <f>IFERROR(AVERAGEIFS(D$2:D$238,A$2:A$238,"&gt;="&amp;DATE(YEAR(TODAY()),MONTH(TODAY()),1),A$2:A$238,"&lt;"&amp;DATE(YEAR(TODAY()),MONTH(TODAY())+1,1),B$2:B$238,$B$303),"")</f>
        <v/>
      </c>
      <c r="E303" s="10">
        <f>IFERROR(AVERAGEIFS(E$2:E$238,A$2:A$238,"&gt;="&amp;DATE(YEAR(TODAY()),MONTH(TODAY()),1),A$2:A$238,"&lt;"&amp;DATE(YEAR(TODAY()),MONTH(TODAY())+1,1),B$2:B$238,$B$303),"")</f>
        <v/>
      </c>
      <c r="F303" s="11">
        <f>IFERROR(SUMPRODUCT((YEAR(A$2:A$238)=YEAR(TODAY()))*(MONTH(A$2:A$238)=MONTH(TODAY()))*(B$2:B$238=$B$303)*(F$2:F$238),"")</f>
        <v/>
      </c>
    </row>
    <row r="304">
      <c r="B304" s="2" t="inlineStr">
        <is>
          <t>碳酸钴</t>
        </is>
      </c>
      <c r="C304" s="10">
        <f>IFERROR(AVERAGEIFS(C$2:C$238,A$2:A$238,"&gt;="&amp;DATE(YEAR(TODAY()),MONTH(TODAY()),1),A$2:A$238,"&lt;"&amp;DATE(YEAR(TODAY()),MONTH(TODAY())+1,1),B$2:B$238,$B$304),"")</f>
        <v/>
      </c>
      <c r="D304" s="10">
        <f>IFERROR(AVERAGEIFS(D$2:D$238,A$2:A$238,"&gt;="&amp;DATE(YEAR(TODAY()),MONTH(TODAY()),1),A$2:A$238,"&lt;"&amp;DATE(YEAR(TODAY()),MONTH(TODAY())+1,1),B$2:B$238,$B$304),"")</f>
        <v/>
      </c>
      <c r="E304" s="10">
        <f>IFERROR(AVERAGEIFS(E$2:E$238,A$2:A$238,"&gt;="&amp;DATE(YEAR(TODAY()),MONTH(TODAY()),1),A$2:A$238,"&lt;"&amp;DATE(YEAR(TODAY()),MONTH(TODAY())+1,1),B$2:B$238,$B$304),"")</f>
        <v/>
      </c>
      <c r="F304" s="11">
        <f>IFERROR(SUMPRODUCT((YEAR(A$2:A$238)=YEAR(TODAY()))*(MONTH(A$2:A$238)=MONTH(TODAY()))*(B$2:B$238=$B$304)*(F$2:F$238),"")</f>
        <v/>
      </c>
    </row>
    <row r="305">
      <c r="B305" s="2" t="inlineStr">
        <is>
          <t>磷酸铁锂</t>
        </is>
      </c>
      <c r="C305" s="10">
        <f>IFERROR(AVERAGEIFS(C$2:C$238,A$2:A$238,"&gt;="&amp;DATE(YEAR(TODAY()),MONTH(TODAY()),1),A$2:A$238,"&lt;"&amp;DATE(YEAR(TODAY()),MONTH(TODAY())+1,1),B$2:B$238,$B$305),"")</f>
        <v/>
      </c>
      <c r="D305" s="10">
        <f>IFERROR(AVERAGEIFS(D$2:D$238,A$2:A$238,"&gt;="&amp;DATE(YEAR(TODAY()),MONTH(TODAY()),1),A$2:A$238,"&lt;"&amp;DATE(YEAR(TODAY()),MONTH(TODAY())+1,1),B$2:B$238,$B$305),"")</f>
        <v/>
      </c>
      <c r="E305" s="10">
        <f>IFERROR(AVERAGEIFS(E$2:E$238,A$2:A$238,"&gt;="&amp;DATE(YEAR(TODAY()),MONTH(TODAY()),1),A$2:A$238,"&lt;"&amp;DATE(YEAR(TODAY()),MONTH(TODAY())+1,1),B$2:B$238,$B$305),"")</f>
        <v/>
      </c>
      <c r="F305" s="11">
        <f>IFERROR(SUMPRODUCT((YEAR(A$2:A$238)=YEAR(TODAY()))*(MONTH(A$2:A$238)=MONTH(TODAY()))*(B$2:B$238=$B$305)*(F$2:F$238),"")</f>
        <v/>
      </c>
    </row>
    <row r="306">
      <c r="B306" s="2" t="inlineStr">
        <is>
          <t>磷酸锰铁锂</t>
        </is>
      </c>
      <c r="C306" s="10">
        <f>IFERROR(AVERAGEIFS(C$2:C$238,A$2:A$238,"&gt;="&amp;DATE(YEAR(TODAY()),MONTH(TODAY()),1),A$2:A$238,"&lt;"&amp;DATE(YEAR(TODAY()),MONTH(TODAY())+1,1),B$2:B$238,$B$306),"")</f>
        <v/>
      </c>
      <c r="D306" s="10">
        <f>IFERROR(AVERAGEIFS(D$2:D$238,A$2:A$238,"&gt;="&amp;DATE(YEAR(TODAY()),MONTH(TODAY()),1),A$2:A$238,"&lt;"&amp;DATE(YEAR(TODAY()),MONTH(TODAY())+1,1),B$2:B$238,$B$306),"")</f>
        <v/>
      </c>
      <c r="E306" s="10">
        <f>IFERROR(AVERAGEIFS(E$2:E$238,A$2:A$238,"&gt;="&amp;DATE(YEAR(TODAY()),MONTH(TODAY()),1),A$2:A$238,"&lt;"&amp;DATE(YEAR(TODAY()),MONTH(TODAY())+1,1),B$2:B$238,$B$306),"")</f>
        <v/>
      </c>
      <c r="F306" s="11">
        <f>IFERROR(SUMPRODUCT((YEAR(A$2:A$238)=YEAR(TODAY()))*(MONTH(A$2:A$238)=MONTH(TODAY()))*(B$2:B$238=$B$306)*(F$2:F$238),"")</f>
        <v/>
      </c>
    </row>
    <row r="307">
      <c r="B307" s="2" t="inlineStr">
        <is>
          <t>金属钴FOB</t>
        </is>
      </c>
      <c r="C307" s="10">
        <f>IFERROR(AVERAGEIFS(C$2:C$238,A$2:A$238,"&gt;="&amp;DATE(YEAR(TODAY()),MONTH(TODAY()),1),A$2:A$238,"&lt;"&amp;DATE(YEAR(TODAY()),MONTH(TODAY())+1,1),B$2:B$238,$B$307),"")</f>
        <v/>
      </c>
      <c r="D307" s="10">
        <f>IFERROR(AVERAGEIFS(D$2:D$238,A$2:A$238,"&gt;="&amp;DATE(YEAR(TODAY()),MONTH(TODAY()),1),A$2:A$238,"&lt;"&amp;DATE(YEAR(TODAY()),MONTH(TODAY())+1,1),B$2:B$238,$B$307),"")</f>
        <v/>
      </c>
      <c r="E307" s="10">
        <f>IFERROR(AVERAGEIFS(E$2:E$238,A$2:A$238,"&gt;="&amp;DATE(YEAR(TODAY()),MONTH(TODAY()),1),A$2:A$238,"&lt;"&amp;DATE(YEAR(TODAY()),MONTH(TODAY())+1,1),B$2:B$238,$B$307),"")</f>
        <v/>
      </c>
      <c r="F307" s="11">
        <f>IFERROR(SUMPRODUCT((YEAR(A$2:A$238)=YEAR(TODAY()))*(MONTH(A$2:A$238)=MONTH(TODAY()))*(B$2:B$238=$B$307)*(F$2:F$238),"")</f>
        <v/>
      </c>
    </row>
    <row r="308">
      <c r="B308" s="2" t="inlineStr">
        <is>
          <t>钴中间品中钴含量≥30%</t>
        </is>
      </c>
      <c r="C308" s="10">
        <f>IFERROR(AVERAGEIFS(C$2:C$238,A$2:A$238,"&gt;="&amp;DATE(YEAR(TODAY()),MONTH(TODAY()),1),A$2:A$238,"&lt;"&amp;DATE(YEAR(TODAY()),MONTH(TODAY())+1,1),B$2:B$238,$B$308),"")</f>
        <v/>
      </c>
      <c r="D308" s="10">
        <f>IFERROR(AVERAGEIFS(D$2:D$238,A$2:A$238,"&gt;="&amp;DATE(YEAR(TODAY()),MONTH(TODAY()),1),A$2:A$238,"&lt;"&amp;DATE(YEAR(TODAY()),MONTH(TODAY())+1,1),B$2:B$238,$B$308),"")</f>
        <v/>
      </c>
      <c r="E308" s="10">
        <f>IFERROR(AVERAGEIFS(E$2:E$238,A$2:A$238,"&gt;="&amp;DATE(YEAR(TODAY()),MONTH(TODAY()),1),A$2:A$238,"&lt;"&amp;DATE(YEAR(TODAY()),MONTH(TODAY())+1,1),B$2:B$238,$B$308),"")</f>
        <v/>
      </c>
      <c r="F308" s="11">
        <f>IFERROR(SUMPRODUCT((YEAR(A$2:A$238)=YEAR(TODAY()))*(MONTH(A$2:A$238)=MONTH(TODAY()))*(B$2:B$238=$B$308)*(F$2:F$238),"")</f>
        <v/>
      </c>
    </row>
    <row r="309">
      <c r="B309" s="2" t="inlineStr">
        <is>
          <t>钴中间品原料计价系数（对SMM硫酸钴均价）</t>
        </is>
      </c>
      <c r="C309" s="10">
        <f>IFERROR(AVERAGEIFS(C$2:C$238,A$2:A$238,"&gt;="&amp;DATE(YEAR(TODAY()),MONTH(TODAY()),1),A$2:A$238,"&lt;"&amp;DATE(YEAR(TODAY()),MONTH(TODAY())+1,1),B$2:B$238,$B$309),"")</f>
        <v/>
      </c>
      <c r="D309" s="10">
        <f>IFERROR(AVERAGEIFS(D$2:D$238,A$2:A$238,"&gt;="&amp;DATE(YEAR(TODAY()),MONTH(TODAY()),1),A$2:A$238,"&lt;"&amp;DATE(YEAR(TODAY()),MONTH(TODAY())+1,1),B$2:B$238,$B$309),"")</f>
        <v/>
      </c>
      <c r="E309" s="10">
        <f>IFERROR(AVERAGEIFS(E$2:E$238,A$2:A$238,"&gt;="&amp;DATE(YEAR(TODAY()),MONTH(TODAY()),1),A$2:A$238,"&lt;"&amp;DATE(YEAR(TODAY()),MONTH(TODAY())+1,1),B$2:B$238,$B$309),"")</f>
        <v/>
      </c>
      <c r="F309" s="11">
        <f>IFERROR(SUMPRODUCT((YEAR(A$2:A$238)=YEAR(TODAY()))*(MONTH(A$2:A$238)=MONTH(TODAY()))*(B$2:B$238=$B$309)*(F$2:F$238),"")</f>
        <v/>
      </c>
    </row>
    <row r="310">
      <c r="B310" s="2" t="inlineStr">
        <is>
          <t>钴酸锂</t>
        </is>
      </c>
      <c r="C310" s="10">
        <f>IFERROR(AVERAGEIFS(C$2:C$238,A$2:A$238,"&gt;="&amp;DATE(YEAR(TODAY()),MONTH(TODAY()),1),A$2:A$238,"&lt;"&amp;DATE(YEAR(TODAY()),MONTH(TODAY())+1,1),B$2:B$238,$B$310),"")</f>
        <v/>
      </c>
      <c r="D310" s="10">
        <f>IFERROR(AVERAGEIFS(D$2:D$238,A$2:A$238,"&gt;="&amp;DATE(YEAR(TODAY()),MONTH(TODAY()),1),A$2:A$238,"&lt;"&amp;DATE(YEAR(TODAY()),MONTH(TODAY())+1,1),B$2:B$238,$B$310),"")</f>
        <v/>
      </c>
      <c r="E310" s="10">
        <f>IFERROR(AVERAGEIFS(E$2:E$238,A$2:A$238,"&gt;="&amp;DATE(YEAR(TODAY()),MONTH(TODAY()),1),A$2:A$238,"&lt;"&amp;DATE(YEAR(TODAY()),MONTH(TODAY())+1,1),B$2:B$238,$B$310),"")</f>
        <v/>
      </c>
      <c r="F310" s="11">
        <f>IFERROR(SUMPRODUCT((YEAR(A$2:A$238)=YEAR(TODAY()))*(MONTH(A$2:A$238)=MONTH(TODAY()))*(B$2:B$238=$B$310)*(F$2:F$238),"")</f>
        <v/>
      </c>
    </row>
    <row r="311">
      <c r="B311" s="2" t="inlineStr">
        <is>
          <t>钴酸锂聚合物软包</t>
        </is>
      </c>
      <c r="C311" s="10">
        <f>IFERROR(AVERAGEIFS(C$2:C$238,A$2:A$238,"&gt;="&amp;DATE(YEAR(TODAY()),MONTH(TODAY()),1),A$2:A$238,"&lt;"&amp;DATE(YEAR(TODAY()),MONTH(TODAY())+1,1),B$2:B$238,$B$311),"")</f>
        <v/>
      </c>
      <c r="D311" s="10">
        <f>IFERROR(AVERAGEIFS(D$2:D$238,A$2:A$238,"&gt;="&amp;DATE(YEAR(TODAY()),MONTH(TODAY()),1),A$2:A$238,"&lt;"&amp;DATE(YEAR(TODAY()),MONTH(TODAY())+1,1),B$2:B$238,$B$311),"")</f>
        <v/>
      </c>
      <c r="E311" s="10">
        <f>IFERROR(AVERAGEIFS(E$2:E$238,A$2:A$238,"&gt;="&amp;DATE(YEAR(TODAY()),MONTH(TODAY()),1),A$2:A$238,"&lt;"&amp;DATE(YEAR(TODAY()),MONTH(TODAY())+1,1),B$2:B$238,$B$311),"")</f>
        <v/>
      </c>
      <c r="F311" s="11">
        <f>IFERROR(SUMPRODUCT((YEAR(A$2:A$238)=YEAR(TODAY()))*(MONTH(A$2:A$238)=MONTH(TODAY()))*(B$2:B$238=$B$311)*(F$2:F$238),"")</f>
        <v/>
      </c>
    </row>
    <row r="312">
      <c r="B312" s="2" t="inlineStr">
        <is>
          <t>钴酸锂铝壳</t>
        </is>
      </c>
      <c r="C312" s="10">
        <f>IFERROR(AVERAGEIFS(C$2:C$238,A$2:A$238,"&gt;="&amp;DATE(YEAR(TODAY()),MONTH(TODAY()),1),A$2:A$238,"&lt;"&amp;DATE(YEAR(TODAY()),MONTH(TODAY())+1,1),B$2:B$238,$B$312),"")</f>
        <v/>
      </c>
      <c r="D312" s="10">
        <f>IFERROR(AVERAGEIFS(D$2:D$238,A$2:A$238,"&gt;="&amp;DATE(YEAR(TODAY()),MONTH(TODAY()),1),A$2:A$238,"&lt;"&amp;DATE(YEAR(TODAY()),MONTH(TODAY())+1,1),B$2:B$238,$B$312),"")</f>
        <v/>
      </c>
      <c r="E312" s="10">
        <f>IFERROR(AVERAGEIFS(E$2:E$238,A$2:A$238,"&gt;="&amp;DATE(YEAR(TODAY()),MONTH(TODAY()),1),A$2:A$238,"&lt;"&amp;DATE(YEAR(TODAY()),MONTH(TODAY())+1,1),B$2:B$238,$B$312),"")</f>
        <v/>
      </c>
      <c r="F312" s="11">
        <f>IFERROR(SUMPRODUCT((YEAR(A$2:A$238)=YEAR(TODAY()))*(MONTH(A$2:A$238)=MONTH(TODAY()))*(B$2:B$238=$B$312)*(F$2:F$238),"")</f>
        <v/>
      </c>
    </row>
    <row r="313">
      <c r="B313" s="2" t="inlineStr">
        <is>
          <t>锰酸锂圆柱钢壳</t>
        </is>
      </c>
      <c r="C313" s="10">
        <f>IFERROR(AVERAGEIFS(C$2:C$238,A$2:A$238,"&gt;="&amp;DATE(YEAR(TODAY()),MONTH(TODAY()),1),A$2:A$238,"&lt;"&amp;DATE(YEAR(TODAY()),MONTH(TODAY())+1,1),B$2:B$238,$B$313),"")</f>
        <v/>
      </c>
      <c r="D313" s="10">
        <f>IFERROR(AVERAGEIFS(D$2:D$238,A$2:A$238,"&gt;="&amp;DATE(YEAR(TODAY()),MONTH(TODAY()),1),A$2:A$238,"&lt;"&amp;DATE(YEAR(TODAY()),MONTH(TODAY())+1,1),B$2:B$238,$B$313),"")</f>
        <v/>
      </c>
      <c r="E313" s="10">
        <f>IFERROR(AVERAGEIFS(E$2:E$238,A$2:A$238,"&gt;="&amp;DATE(YEAR(TODAY()),MONTH(TODAY()),1),A$2:A$238,"&lt;"&amp;DATE(YEAR(TODAY()),MONTH(TODAY())+1,1),B$2:B$238,$B$313),"")</f>
        <v/>
      </c>
      <c r="F313" s="11">
        <f>IFERROR(SUMPRODUCT((YEAR(A$2:A$238)=YEAR(TODAY()))*(MONTH(A$2:A$238)=MONTH(TODAY()))*(B$2:B$238=$B$313)*(F$2:F$238),"")</f>
        <v/>
      </c>
    </row>
    <row r="314">
      <c r="B314" s="2" t="inlineStr">
        <is>
          <t>非洲硫酸锂(CIF中国)</t>
        </is>
      </c>
      <c r="C314" s="10">
        <f>IFERROR(AVERAGEIFS(C$2:C$238,A$2:A$238,"&gt;="&amp;DATE(YEAR(TODAY()),MONTH(TODAY()),1),A$2:A$238,"&lt;"&amp;DATE(YEAR(TODAY()),MONTH(TODAY())+1,1),B$2:B$238,$B$314),"")</f>
        <v/>
      </c>
      <c r="D314" s="10">
        <f>IFERROR(AVERAGEIFS(D$2:D$238,A$2:A$238,"&gt;="&amp;DATE(YEAR(TODAY()),MONTH(TODAY()),1),A$2:A$238,"&lt;"&amp;DATE(YEAR(TODAY()),MONTH(TODAY())+1,1),B$2:B$238,$B$314),"")</f>
        <v/>
      </c>
      <c r="E314" s="10">
        <f>IFERROR(AVERAGEIFS(E$2:E$238,A$2:A$238,"&gt;="&amp;DATE(YEAR(TODAY()),MONTH(TODAY()),1),A$2:A$238,"&lt;"&amp;DATE(YEAR(TODAY()),MONTH(TODAY())+1,1),B$2:B$238,$B$314),"")</f>
        <v/>
      </c>
      <c r="F314" s="11">
        <f>IFERROR(SUMPRODUCT((YEAR(A$2:A$238)=YEAR(TODAY()))*(MONTH(A$2:A$238)=MONTH(TODAY()))*(B$2:B$238=$B$314)*(F$2:F$238),"")</f>
        <v/>
      </c>
    </row>
    <row r="315">
      <c r="B315" s="2" t="inlineStr">
        <is>
          <t>非洲锂辉石精矿（CIF中国）指数</t>
        </is>
      </c>
      <c r="C315" s="10">
        <f>IFERROR(AVERAGEIFS(C$2:C$238,A$2:A$238,"&gt;="&amp;DATE(YEAR(TODAY()),MONTH(TODAY()),1),A$2:A$238,"&lt;"&amp;DATE(YEAR(TODAY()),MONTH(TODAY())+1,1),B$2:B$238,$B$315),"")</f>
        <v/>
      </c>
      <c r="D315" s="10">
        <f>IFERROR(AVERAGEIFS(D$2:D$238,A$2:A$238,"&gt;="&amp;DATE(YEAR(TODAY()),MONTH(TODAY()),1),A$2:A$238,"&lt;"&amp;DATE(YEAR(TODAY()),MONTH(TODAY())+1,1),B$2:B$238,$B$315),"")</f>
        <v/>
      </c>
      <c r="E315" s="10">
        <f>IFERROR(AVERAGEIFS(E$2:E$238,A$2:A$238,"&gt;="&amp;DATE(YEAR(TODAY()),MONTH(TODAY()),1),A$2:A$238,"&lt;"&amp;DATE(YEAR(TODAY()),MONTH(TODAY())+1,1),B$2:B$238,$B$315),"")</f>
        <v/>
      </c>
      <c r="F315" s="11">
        <f>IFERROR(SUMPRODUCT((YEAR(A$2:A$238)=YEAR(TODAY()))*(MONTH(A$2:A$238)=MONTH(TODAY()))*(B$2:B$238=$B$315)*(F$2:F$238),"")</f>
        <v/>
      </c>
    </row>
  </sheetData>
  <autoFilter ref="A1:H238"/>
  <mergeCells count="1">
    <mergeCell ref="A240:H2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4" customWidth="1" min="10" max="10"/>
  </cols>
  <sheetData>
    <row r="1">
      <c r="A1" s="1" t="inlineStr">
        <is>
          <t>日期</t>
        </is>
      </c>
      <c r="B1" s="1" t="inlineStr">
        <is>
          <t>分类</t>
        </is>
      </c>
      <c r="C1" s="1" t="inlineStr">
        <is>
          <t>产品</t>
        </is>
      </c>
      <c r="D1" s="1" t="inlineStr">
        <is>
          <t>收盘价</t>
        </is>
      </c>
      <c r="E1" s="1" t="inlineStr">
        <is>
          <t>结算价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</t>
        </is>
      </c>
      <c r="I1" s="1" t="inlineStr">
        <is>
          <t>单位</t>
        </is>
      </c>
      <c r="J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国内期货</t>
        </is>
      </c>
      <c r="C2" s="2" t="inlineStr">
        <is>
          <t>沪镍(NI)连续</t>
        </is>
      </c>
      <c r="D2" s="4" t="n">
        <v>131640</v>
      </c>
      <c r="E2" s="4" t="n">
        <v>133550</v>
      </c>
      <c r="F2" s="4" t="n">
        <v>133980</v>
      </c>
      <c r="G2" s="4" t="n">
        <v>131780</v>
      </c>
      <c r="H2" s="4" t="n">
        <v>-1850</v>
      </c>
      <c r="I2" s="5" t="inlineStr">
        <is>
          <t>元/吨</t>
        </is>
      </c>
      <c r="J2" s="5" t="inlineStr">
        <is>
          <t>上期所</t>
        </is>
      </c>
    </row>
    <row r="3">
      <c r="A3" s="2" t="inlineStr">
        <is>
          <t>2026/06/14</t>
        </is>
      </c>
      <c r="B3" s="2" t="inlineStr">
        <is>
          <t>国内期货</t>
        </is>
      </c>
      <c r="C3" s="2" t="inlineStr">
        <is>
          <t>美元/人民币(USDCNY)</t>
        </is>
      </c>
      <c r="D3" s="6" t="n">
        <v>6.7641</v>
      </c>
      <c r="E3" s="5" t="n"/>
      <c r="F3" s="6" t="n">
        <v>6.7783</v>
      </c>
      <c r="G3" s="6" t="n">
        <v>6.76</v>
      </c>
      <c r="H3" s="5" t="n"/>
      <c r="I3" s="5" t="inlineStr">
        <is>
          <t>人民币</t>
        </is>
      </c>
      <c r="J3" s="5" t="inlineStr">
        <is>
          <t>新浪财经</t>
        </is>
      </c>
    </row>
    <row r="4">
      <c r="A4" s="2" t="inlineStr">
        <is>
          <t>2026/06/14</t>
        </is>
      </c>
      <c r="B4" s="2" t="inlineStr">
        <is>
          <t>国际期货</t>
        </is>
      </c>
      <c r="C4" s="2" t="inlineStr">
        <is>
          <t>CME氢氧化锂</t>
        </is>
      </c>
      <c r="D4" s="6" t="n">
        <v>21.96</v>
      </c>
      <c r="E4" s="5" t="n"/>
      <c r="F4" s="5" t="n"/>
      <c r="G4" s="5" t="n"/>
      <c r="H4" s="6" t="n">
        <v>-0.29</v>
      </c>
      <c r="I4" s="5" t="inlineStr">
        <is>
          <t>USD</t>
        </is>
      </c>
      <c r="J4" s="5" t="inlineStr">
        <is>
          <t>Yahoo Finance</t>
        </is>
      </c>
    </row>
    <row r="5">
      <c r="A5" s="2" t="inlineStr">
        <is>
          <t>2026/06/14</t>
        </is>
      </c>
      <c r="B5" s="2" t="inlineStr">
        <is>
          <t>国际期货</t>
        </is>
      </c>
      <c r="C5" s="2" t="inlineStr">
        <is>
          <t>CME钴</t>
        </is>
      </c>
      <c r="D5" s="6" t="n">
        <v>25.1</v>
      </c>
      <c r="E5" s="5" t="n"/>
      <c r="F5" s="5" t="n"/>
      <c r="G5" s="5" t="n"/>
      <c r="H5" s="4" t="n">
        <v>0</v>
      </c>
      <c r="I5" s="5" t="inlineStr">
        <is>
          <t>USD</t>
        </is>
      </c>
      <c r="J5" s="5" t="inlineStr">
        <is>
          <t>Yahoo Finance</t>
        </is>
      </c>
    </row>
    <row r="6">
      <c r="A6" s="2" t="inlineStr">
        <is>
          <t>2026/06/15</t>
        </is>
      </c>
      <c r="B6" s="2" t="inlineStr">
        <is>
          <t>国内期货</t>
        </is>
      </c>
      <c r="C6" s="2" t="inlineStr">
        <is>
          <t>沪镍(NI)连续</t>
        </is>
      </c>
      <c r="D6" s="4" t="n">
        <v>131640</v>
      </c>
      <c r="E6" s="4" t="n">
        <v>133550</v>
      </c>
      <c r="F6" s="4" t="n">
        <v>133980</v>
      </c>
      <c r="G6" s="4" t="n">
        <v>131780</v>
      </c>
      <c r="H6" s="4" t="n">
        <v>-1850</v>
      </c>
      <c r="I6" s="5" t="inlineStr">
        <is>
          <t>元/吨</t>
        </is>
      </c>
      <c r="J6" s="5" t="inlineStr">
        <is>
          <t>上期所</t>
        </is>
      </c>
    </row>
    <row r="7">
      <c r="A7" s="2" t="inlineStr">
        <is>
          <t>2026/06/15</t>
        </is>
      </c>
      <c r="B7" s="2" t="inlineStr">
        <is>
          <t>国内期货</t>
        </is>
      </c>
      <c r="C7" s="2" t="inlineStr">
        <is>
          <t>美元/人民币(USDCNY)</t>
        </is>
      </c>
      <c r="D7" s="6" t="n">
        <v>6.7571</v>
      </c>
      <c r="E7" s="5" t="n"/>
      <c r="F7" s="6" t="n">
        <v>6.7621</v>
      </c>
      <c r="G7" s="6" t="n">
        <v>6.756</v>
      </c>
      <c r="H7" s="5" t="n"/>
      <c r="I7" s="5" t="inlineStr">
        <is>
          <t>人民币</t>
        </is>
      </c>
      <c r="J7" s="5" t="inlineStr">
        <is>
          <t>新浪财经</t>
        </is>
      </c>
    </row>
    <row r="8">
      <c r="A8" s="2" t="inlineStr">
        <is>
          <t>2026/06/15</t>
        </is>
      </c>
      <c r="B8" s="2" t="inlineStr">
        <is>
          <t>国际期货</t>
        </is>
      </c>
      <c r="C8" s="2" t="inlineStr">
        <is>
          <t>CME氢氧化锂</t>
        </is>
      </c>
      <c r="D8" s="6" t="n">
        <v>22.27</v>
      </c>
      <c r="E8" s="5" t="n"/>
      <c r="F8" s="5" t="n"/>
      <c r="G8" s="5" t="n"/>
      <c r="H8" s="6" t="n">
        <v>0.31</v>
      </c>
      <c r="I8" s="5" t="inlineStr">
        <is>
          <t>USD</t>
        </is>
      </c>
      <c r="J8" s="5" t="inlineStr">
        <is>
          <t>Yahoo Finance</t>
        </is>
      </c>
    </row>
    <row r="9">
      <c r="A9" s="2" t="inlineStr">
        <is>
          <t>2026/06/15</t>
        </is>
      </c>
      <c r="B9" s="2" t="inlineStr">
        <is>
          <t>国际期货</t>
        </is>
      </c>
      <c r="C9" s="2" t="inlineStr">
        <is>
          <t>CME钴</t>
        </is>
      </c>
      <c r="D9" s="6" t="n">
        <v>25.1</v>
      </c>
      <c r="E9" s="5" t="n"/>
      <c r="F9" s="5" t="n"/>
      <c r="G9" s="5" t="n"/>
      <c r="H9" s="4" t="n">
        <v>0</v>
      </c>
      <c r="I9" s="5" t="inlineStr">
        <is>
          <t>USD</t>
        </is>
      </c>
      <c r="J9" s="5" t="inlineStr">
        <is>
          <t>Yahoo Finance</t>
        </is>
      </c>
    </row>
    <row r="10">
      <c r="A10" s="2" t="inlineStr">
        <is>
          <t>2026/06/16</t>
        </is>
      </c>
      <c r="B10" s="2" t="inlineStr">
        <is>
          <t>国内期货</t>
        </is>
      </c>
      <c r="C10" s="2" t="inlineStr">
        <is>
          <t>沪镍(NI)连续</t>
        </is>
      </c>
      <c r="D10" s="4" t="n">
        <v>131640</v>
      </c>
      <c r="E10" s="4" t="n">
        <v>133550</v>
      </c>
      <c r="F10" s="4" t="n">
        <v>133980</v>
      </c>
      <c r="G10" s="4" t="n">
        <v>131780</v>
      </c>
      <c r="H10" s="4" t="n">
        <v>-1850</v>
      </c>
      <c r="I10" s="5" t="inlineStr">
        <is>
          <t>元/吨</t>
        </is>
      </c>
      <c r="J10" s="5" t="inlineStr">
        <is>
          <t>上期所</t>
        </is>
      </c>
    </row>
    <row r="11">
      <c r="A11" s="2" t="inlineStr">
        <is>
          <t>2026/06/16</t>
        </is>
      </c>
      <c r="B11" s="2" t="inlineStr">
        <is>
          <t>国内期货</t>
        </is>
      </c>
      <c r="C11" s="2" t="inlineStr">
        <is>
          <t>碳酸锂(LC)连续</t>
        </is>
      </c>
      <c r="D11" s="4" t="n">
        <v>168420</v>
      </c>
      <c r="E11" s="4" t="n">
        <v>175200</v>
      </c>
      <c r="F11" s="4" t="n">
        <v>169980</v>
      </c>
      <c r="G11" s="4" t="n">
        <v>169980</v>
      </c>
      <c r="H11" s="4" t="n">
        <v>-5780</v>
      </c>
      <c r="I11" s="5" t="inlineStr">
        <is>
          <t>元/吨</t>
        </is>
      </c>
      <c r="J11" s="5" t="inlineStr">
        <is>
          <t>广期所</t>
        </is>
      </c>
    </row>
    <row r="12">
      <c r="A12" s="2" t="inlineStr">
        <is>
          <t>2026/06/16</t>
        </is>
      </c>
      <c r="B12" s="2" t="inlineStr">
        <is>
          <t>国内期货</t>
        </is>
      </c>
      <c r="C12" s="2" t="inlineStr">
        <is>
          <t>美元/人民币(USDCNY)</t>
        </is>
      </c>
      <c r="D12" s="6" t="n">
        <v>6.757</v>
      </c>
      <c r="E12" s="5" t="n"/>
      <c r="F12" s="6" t="n">
        <v>6.7565</v>
      </c>
      <c r="G12" s="6" t="n">
        <v>6.7564</v>
      </c>
      <c r="H12" s="5" t="n"/>
      <c r="I12" s="5" t="inlineStr">
        <is>
          <t>人民币</t>
        </is>
      </c>
      <c r="J12" s="5" t="inlineStr">
        <is>
          <t>新浪财经</t>
        </is>
      </c>
    </row>
    <row r="13">
      <c r="A13" s="2" t="inlineStr">
        <is>
          <t>2026/06/16</t>
        </is>
      </c>
      <c r="B13" s="2" t="inlineStr">
        <is>
          <t>国际期货</t>
        </is>
      </c>
      <c r="C13" s="2" t="inlineStr">
        <is>
          <t>CME氢氧化锂</t>
        </is>
      </c>
      <c r="D13" s="6" t="n">
        <v>21.1</v>
      </c>
      <c r="E13" s="5" t="n"/>
      <c r="F13" s="5" t="n"/>
      <c r="G13" s="5" t="n"/>
      <c r="H13" s="6" t="n">
        <v>-0.22</v>
      </c>
      <c r="I13" s="5" t="inlineStr">
        <is>
          <t>USD</t>
        </is>
      </c>
      <c r="J13" s="5" t="inlineStr">
        <is>
          <t>Yahoo Finance</t>
        </is>
      </c>
    </row>
    <row r="14">
      <c r="A14" s="2" t="inlineStr">
        <is>
          <t>2026/06/16</t>
        </is>
      </c>
      <c r="B14" s="2" t="inlineStr">
        <is>
          <t>国际期货</t>
        </is>
      </c>
      <c r="C14" s="2" t="inlineStr">
        <is>
          <t>CME钴</t>
        </is>
      </c>
      <c r="D14" s="6" t="n">
        <v>25.1</v>
      </c>
      <c r="E14" s="5" t="n"/>
      <c r="F14" s="5" t="n"/>
      <c r="G14" s="5" t="n"/>
      <c r="H14" s="4" t="n">
        <v>0</v>
      </c>
      <c r="I14" s="5" t="inlineStr">
        <is>
          <t>USD</t>
        </is>
      </c>
      <c r="J14" s="5" t="inlineStr">
        <is>
          <t>Yahoo Finance</t>
        </is>
      </c>
    </row>
    <row r="15">
      <c r="A15" s="2" t="inlineStr">
        <is>
          <t>2026/06/18</t>
        </is>
      </c>
      <c r="B15" s="2" t="inlineStr">
        <is>
          <t>国内期货</t>
        </is>
      </c>
      <c r="C15" s="2" t="inlineStr">
        <is>
          <t>沪镍(NI)连续</t>
        </is>
      </c>
      <c r="D15" s="4" t="n">
        <v>131640</v>
      </c>
      <c r="E15" s="4" t="n">
        <v>133550</v>
      </c>
      <c r="F15" s="4" t="n">
        <v>133980</v>
      </c>
      <c r="G15" s="4" t="n">
        <v>131780</v>
      </c>
      <c r="H15" s="4" t="n">
        <v>-1850</v>
      </c>
      <c r="I15" s="5" t="inlineStr">
        <is>
          <t>元/吨</t>
        </is>
      </c>
      <c r="J15" s="5" t="inlineStr">
        <is>
          <t>上期所</t>
        </is>
      </c>
    </row>
    <row r="16">
      <c r="A16" s="2" t="inlineStr">
        <is>
          <t>2026/06/18</t>
        </is>
      </c>
      <c r="B16" s="2" t="inlineStr">
        <is>
          <t>国内期货</t>
        </is>
      </c>
      <c r="C16" s="2" t="inlineStr">
        <is>
          <t>碳酸锂(LC)连续</t>
        </is>
      </c>
      <c r="D16" s="4" t="n">
        <v>160100</v>
      </c>
      <c r="E16" s="4" t="n">
        <v>171800</v>
      </c>
      <c r="F16" s="4" t="n">
        <v>160500</v>
      </c>
      <c r="G16" s="4" t="n">
        <v>160560</v>
      </c>
      <c r="H16" s="4" t="n">
        <v>-12400</v>
      </c>
      <c r="I16" s="5" t="inlineStr">
        <is>
          <t>元/吨</t>
        </is>
      </c>
      <c r="J16" s="5" t="inlineStr">
        <is>
          <t>广期所</t>
        </is>
      </c>
    </row>
    <row r="17">
      <c r="A17" s="2" t="inlineStr">
        <is>
          <t>2026/06/18</t>
        </is>
      </c>
      <c r="B17" s="2" t="inlineStr">
        <is>
          <t>国内期货</t>
        </is>
      </c>
      <c r="C17" s="2" t="inlineStr">
        <is>
          <t>美元/人民币(USDCNY)</t>
        </is>
      </c>
      <c r="D17" s="6" t="n">
        <v>6.7609</v>
      </c>
      <c r="E17" s="5" t="n"/>
      <c r="F17" s="6" t="n">
        <v>6.7572</v>
      </c>
      <c r="G17" s="6" t="n">
        <v>6.7564</v>
      </c>
      <c r="H17" s="5" t="n"/>
      <c r="I17" s="5" t="inlineStr">
        <is>
          <t>人民币</t>
        </is>
      </c>
      <c r="J17" s="5" t="inlineStr">
        <is>
          <t>新浪财经</t>
        </is>
      </c>
    </row>
    <row r="18">
      <c r="A18" s="2" t="inlineStr">
        <is>
          <t>2026/06/18</t>
        </is>
      </c>
      <c r="B18" s="2" t="inlineStr">
        <is>
          <t>国际期货</t>
        </is>
      </c>
      <c r="C18" s="2" t="inlineStr">
        <is>
          <t>CME氢氧化锂</t>
        </is>
      </c>
      <c r="D18" s="6" t="n">
        <v>21.1</v>
      </c>
      <c r="E18" s="5" t="n"/>
      <c r="F18" s="5" t="n"/>
      <c r="G18" s="5" t="n"/>
      <c r="H18" s="6" t="n">
        <v>0.38</v>
      </c>
      <c r="I18" s="5" t="inlineStr">
        <is>
          <t>USD</t>
        </is>
      </c>
      <c r="J18" s="5" t="inlineStr">
        <is>
          <t>Yahoo Finance</t>
        </is>
      </c>
    </row>
    <row r="19">
      <c r="A19" s="2" t="inlineStr">
        <is>
          <t>2026/06/18</t>
        </is>
      </c>
      <c r="B19" s="2" t="inlineStr">
        <is>
          <t>国际期货</t>
        </is>
      </c>
      <c r="C19" s="2" t="inlineStr">
        <is>
          <t>CME钴</t>
        </is>
      </c>
      <c r="D19" s="6" t="n">
        <v>25.1</v>
      </c>
      <c r="E19" s="5" t="n"/>
      <c r="F19" s="5" t="n"/>
      <c r="G19" s="5" t="n"/>
      <c r="H19" s="4" t="n">
        <v>0</v>
      </c>
      <c r="I19" s="5" t="inlineStr">
        <is>
          <t>USD</t>
        </is>
      </c>
      <c r="J19" s="5" t="inlineStr">
        <is>
          <t>Yahoo Finance</t>
        </is>
      </c>
    </row>
    <row r="21">
      <c r="A21" s="8" t="inlineStr">
        <is>
          <t>当月均价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</row>
    <row r="22">
      <c r="C22" s="2" t="inlineStr">
        <is>
          <t>CME氢氧化锂</t>
        </is>
      </c>
      <c r="D22" s="10">
        <f>IFERROR(AVERAGEIFS(D$2:D$19,A$2:A$19,"&gt;="&amp;DATE(YEAR(TODAY()),MONTH(TODAY()),1),A$2:A$19,"&lt;"&amp;DATE(YEAR(TODAY()),MONTH(TODAY())+1,1),C$2:C$19,$C$22),"")</f>
        <v/>
      </c>
      <c r="E22" s="10">
        <f>IFERROR(AVERAGEIFS(E$2:E$19,A$2:A$19,"&gt;="&amp;DATE(YEAR(TODAY()),MONTH(TODAY()),1),A$2:A$19,"&lt;"&amp;DATE(YEAR(TODAY()),MONTH(TODAY())+1,1),C$2:C$19,$C$22),"")</f>
        <v/>
      </c>
      <c r="F22" s="10">
        <f>IFERROR(AVERAGEIFS(F$2:F$19,A$2:A$19,"&gt;="&amp;DATE(YEAR(TODAY()),MONTH(TODAY()),1),A$2:A$19,"&lt;"&amp;DATE(YEAR(TODAY()),MONTH(TODAY())+1,1),C$2:C$19,$C$22),"")</f>
        <v/>
      </c>
      <c r="G22" s="10">
        <f>IFERROR(AVERAGEIFS(G$2:G$19,A$2:A$19,"&gt;="&amp;DATE(YEAR(TODAY()),MONTH(TODAY()),1),A$2:A$19,"&lt;"&amp;DATE(YEAR(TODAY()),MONTH(TODAY())+1,1),C$2:C$19,$C$22),"")</f>
        <v/>
      </c>
      <c r="H22" s="11">
        <f>IFERROR(SUMPRODUCT((YEAR(A$2:A$19)=YEAR(TODAY()))*(MONTH(A$2:A$19)=MONTH(TODAY()))*(C$2:C$19=$C$22)*(H$2:H$19),"")</f>
        <v/>
      </c>
    </row>
    <row r="23">
      <c r="C23" s="2" t="inlineStr">
        <is>
          <t>CME钴</t>
        </is>
      </c>
      <c r="D23" s="10">
        <f>IFERROR(AVERAGEIFS(D$2:D$19,A$2:A$19,"&gt;="&amp;DATE(YEAR(TODAY()),MONTH(TODAY()),1),A$2:A$19,"&lt;"&amp;DATE(YEAR(TODAY()),MONTH(TODAY())+1,1),C$2:C$19,$C$23),"")</f>
        <v/>
      </c>
      <c r="E23" s="10">
        <f>IFERROR(AVERAGEIFS(E$2:E$19,A$2:A$19,"&gt;="&amp;DATE(YEAR(TODAY()),MONTH(TODAY()),1),A$2:A$19,"&lt;"&amp;DATE(YEAR(TODAY()),MONTH(TODAY())+1,1),C$2:C$19,$C$23),"")</f>
        <v/>
      </c>
      <c r="F23" s="10">
        <f>IFERROR(AVERAGEIFS(F$2:F$19,A$2:A$19,"&gt;="&amp;DATE(YEAR(TODAY()),MONTH(TODAY()),1),A$2:A$19,"&lt;"&amp;DATE(YEAR(TODAY()),MONTH(TODAY())+1,1),C$2:C$19,$C$23),"")</f>
        <v/>
      </c>
      <c r="G23" s="10">
        <f>IFERROR(AVERAGEIFS(G$2:G$19,A$2:A$19,"&gt;="&amp;DATE(YEAR(TODAY()),MONTH(TODAY()),1),A$2:A$19,"&lt;"&amp;DATE(YEAR(TODAY()),MONTH(TODAY())+1,1),C$2:C$19,$C$23),"")</f>
        <v/>
      </c>
      <c r="H23" s="11">
        <f>IFERROR(SUMPRODUCT((YEAR(A$2:A$19)=YEAR(TODAY()))*(MONTH(A$2:A$19)=MONTH(TODAY()))*(C$2:C$19=$C$23)*(H$2:H$19),"")</f>
        <v/>
      </c>
    </row>
    <row r="24">
      <c r="C24" s="2" t="inlineStr">
        <is>
          <t>沪镍(NI)连续</t>
        </is>
      </c>
      <c r="D24" s="10">
        <f>IFERROR(AVERAGEIFS(D$2:D$19,A$2:A$19,"&gt;="&amp;DATE(YEAR(TODAY()),MONTH(TODAY()),1),A$2:A$19,"&lt;"&amp;DATE(YEAR(TODAY()),MONTH(TODAY())+1,1),C$2:C$19,$C$24),"")</f>
        <v/>
      </c>
      <c r="E24" s="10">
        <f>IFERROR(AVERAGEIFS(E$2:E$19,A$2:A$19,"&gt;="&amp;DATE(YEAR(TODAY()),MONTH(TODAY()),1),A$2:A$19,"&lt;"&amp;DATE(YEAR(TODAY()),MONTH(TODAY())+1,1),C$2:C$19,$C$24),"")</f>
        <v/>
      </c>
      <c r="F24" s="10">
        <f>IFERROR(AVERAGEIFS(F$2:F$19,A$2:A$19,"&gt;="&amp;DATE(YEAR(TODAY()),MONTH(TODAY()),1),A$2:A$19,"&lt;"&amp;DATE(YEAR(TODAY()),MONTH(TODAY())+1,1),C$2:C$19,$C$24),"")</f>
        <v/>
      </c>
      <c r="G24" s="10">
        <f>IFERROR(AVERAGEIFS(G$2:G$19,A$2:A$19,"&gt;="&amp;DATE(YEAR(TODAY()),MONTH(TODAY()),1),A$2:A$19,"&lt;"&amp;DATE(YEAR(TODAY()),MONTH(TODAY())+1,1),C$2:C$19,$C$24),"")</f>
        <v/>
      </c>
      <c r="H24" s="11">
        <f>IFERROR(SUMPRODUCT((YEAR(A$2:A$19)=YEAR(TODAY()))*(MONTH(A$2:A$19)=MONTH(TODAY()))*(C$2:C$19=$C$24)*(H$2:H$19),"")</f>
        <v/>
      </c>
    </row>
    <row r="25">
      <c r="C25" s="2" t="inlineStr">
        <is>
          <t>碳酸锂(LC)连续</t>
        </is>
      </c>
      <c r="D25" s="10">
        <f>IFERROR(AVERAGEIFS(D$2:D$19,A$2:A$19,"&gt;="&amp;DATE(YEAR(TODAY()),MONTH(TODAY()),1),A$2:A$19,"&lt;"&amp;DATE(YEAR(TODAY()),MONTH(TODAY())+1,1),C$2:C$19,$C$25),"")</f>
        <v/>
      </c>
      <c r="E25" s="10">
        <f>IFERROR(AVERAGEIFS(E$2:E$19,A$2:A$19,"&gt;="&amp;DATE(YEAR(TODAY()),MONTH(TODAY()),1),A$2:A$19,"&lt;"&amp;DATE(YEAR(TODAY()),MONTH(TODAY())+1,1),C$2:C$19,$C$25),"")</f>
        <v/>
      </c>
      <c r="F25" s="10">
        <f>IFERROR(AVERAGEIFS(F$2:F$19,A$2:A$19,"&gt;="&amp;DATE(YEAR(TODAY()),MONTH(TODAY()),1),A$2:A$19,"&lt;"&amp;DATE(YEAR(TODAY()),MONTH(TODAY())+1,1),C$2:C$19,$C$25),"")</f>
        <v/>
      </c>
      <c r="G25" s="10">
        <f>IFERROR(AVERAGEIFS(G$2:G$19,A$2:A$19,"&gt;="&amp;DATE(YEAR(TODAY()),MONTH(TODAY()),1),A$2:A$19,"&lt;"&amp;DATE(YEAR(TODAY()),MONTH(TODAY())+1,1),C$2:C$19,$C$25),"")</f>
        <v/>
      </c>
      <c r="H25" s="11">
        <f>IFERROR(SUMPRODUCT((YEAR(A$2:A$19)=YEAR(TODAY()))*(MONTH(A$2:A$19)=MONTH(TODAY()))*(C$2:C$19=$C$25)*(H$2:H$19),"")</f>
        <v/>
      </c>
    </row>
    <row r="26">
      <c r="C26" s="2" t="inlineStr">
        <is>
          <t>美元/人民币(USDCNY)</t>
        </is>
      </c>
      <c r="D26" s="10">
        <f>IFERROR(AVERAGEIFS(D$2:D$19,A$2:A$19,"&gt;="&amp;DATE(YEAR(TODAY()),MONTH(TODAY()),1),A$2:A$19,"&lt;"&amp;DATE(YEAR(TODAY()),MONTH(TODAY())+1,1),C$2:C$19,$C$26),"")</f>
        <v/>
      </c>
      <c r="E26" s="10">
        <f>IFERROR(AVERAGEIFS(E$2:E$19,A$2:A$19,"&gt;="&amp;DATE(YEAR(TODAY()),MONTH(TODAY()),1),A$2:A$19,"&lt;"&amp;DATE(YEAR(TODAY()),MONTH(TODAY())+1,1),C$2:C$19,$C$26),"")</f>
        <v/>
      </c>
      <c r="F26" s="10">
        <f>IFERROR(AVERAGEIFS(F$2:F$19,A$2:A$19,"&gt;="&amp;DATE(YEAR(TODAY()),MONTH(TODAY()),1),A$2:A$19,"&lt;"&amp;DATE(YEAR(TODAY()),MONTH(TODAY())+1,1),C$2:C$19,$C$26),"")</f>
        <v/>
      </c>
      <c r="G26" s="10">
        <f>IFERROR(AVERAGEIFS(G$2:G$19,A$2:A$19,"&gt;="&amp;DATE(YEAR(TODAY()),MONTH(TODAY()),1),A$2:A$19,"&lt;"&amp;DATE(YEAR(TODAY()),MONTH(TODAY())+1,1),C$2:C$19,$C$26),"")</f>
        <v/>
      </c>
      <c r="H26" s="11">
        <f>IFERROR(SUMPRODUCT((YEAR(A$2:A$19)=YEAR(TODAY()))*(MONTH(A$2:A$19)=MONTH(TODAY()))*(C$2:C$19=$C$26)*(H$2:H$19),"")</f>
        <v/>
      </c>
    </row>
  </sheetData>
  <autoFilter ref="A1:J19"/>
  <mergeCells count="1">
    <mergeCell ref="A21:J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  <col width="20" customWidth="1" min="5" max="5"/>
    <col width="18" customWidth="1" min="6" max="6"/>
    <col width="20" customWidth="1" min="7" max="7"/>
    <col width="20" customWidth="1" min="8" max="8"/>
    <col width="16" customWidth="1" min="9" max="9"/>
    <col width="16" customWidth="1" min="10" max="10"/>
  </cols>
  <sheetData>
    <row r="1">
      <c r="A1" s="12" t="inlineStr">
        <is>
          <t>♻️ 锂电黑粉回收计价计算器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3">
      <c r="A3" s="14" t="inlineStr">
        <is>
          <t>📊 当前市场参考价 (自动引用现货Sheet)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</row>
    <row r="4">
      <c r="A4" s="16" t="inlineStr">
        <is>
          <t>品种</t>
        </is>
      </c>
      <c r="B4" s="16" t="inlineStr">
        <is>
          <t>对应现货产品</t>
        </is>
      </c>
      <c r="C4" s="16" t="inlineStr">
        <is>
          <t>计价单位</t>
        </is>
      </c>
      <c r="D4" s="16" t="inlineStr">
        <is>
          <t>当前均价</t>
        </is>
      </c>
      <c r="E4" s="16" t="inlineStr">
        <is>
          <t>计价扣减说明</t>
        </is>
      </c>
    </row>
    <row r="5">
      <c r="A5" s="2" t="inlineStr">
        <is>
          <t>镍(Ni)</t>
        </is>
      </c>
      <c r="B5" s="2" t="inlineStr">
        <is>
          <t>电池级硫酸镍</t>
        </is>
      </c>
      <c r="C5" s="2" t="inlineStr">
        <is>
          <t>元/吨</t>
        </is>
      </c>
      <c r="D5" s="4">
        <f>IFERROR(LOOKUP(2,1/('现货'!B$2:B$200="电池级硫酸镍"),'现货'!E$2:E$200),"")</f>
        <v/>
      </c>
      <c r="E5" s="17" t="inlineStr">
        <is>
          <t>按Ni品位折算, 扣Ni≤0.5%杂质</t>
        </is>
      </c>
    </row>
    <row r="6">
      <c r="A6" s="2" t="inlineStr">
        <is>
          <t>钴(Co)</t>
        </is>
      </c>
      <c r="B6" s="2" t="inlineStr">
        <is>
          <t>硫酸钴</t>
        </is>
      </c>
      <c r="C6" s="2" t="inlineStr">
        <is>
          <t>元/吨</t>
        </is>
      </c>
      <c r="D6" s="4">
        <f>IFERROR(LOOKUP(2,1/('现货'!B$2:B$200="硫酸钴"),'现货'!E$2:E$200),"")</f>
        <v/>
      </c>
      <c r="E6" s="17" t="inlineStr">
        <is>
          <t>按Co品位折算, 扣Co≤0.3%杂质</t>
        </is>
      </c>
    </row>
    <row r="7">
      <c r="A7" s="2" t="inlineStr">
        <is>
          <t>锂(Li)</t>
        </is>
      </c>
      <c r="B7" s="2" t="inlineStr">
        <is>
          <t>电池级碳酸锂</t>
        </is>
      </c>
      <c r="C7" s="2" t="inlineStr">
        <is>
          <t>元/吨</t>
        </is>
      </c>
      <c r="D7" s="4">
        <f>IFERROR(LOOKUP(2,1/('现货'!B$2:B$200="电池级碳酸锂"),'现货'!E$2:E$200),"")</f>
        <v/>
      </c>
      <c r="E7" s="17" t="inlineStr">
        <is>
          <t>按Li品位折算至Li₂CO₃当量</t>
        </is>
      </c>
    </row>
    <row r="10">
      <c r="A10" s="14" t="inlineStr">
        <is>
          <t>🧮 黑粉计价计算器 — 输入橙色单元格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8" t="inlineStr">
        <is>
          <t>1. 黑粉重量(吨)</t>
        </is>
      </c>
      <c r="B11" s="19" t="inlineStr">
        <is>
          <t>1</t>
        </is>
      </c>
    </row>
    <row r="12">
      <c r="A12" s="18" t="inlineStr">
        <is>
          <t>2. Ni品位(%)</t>
        </is>
      </c>
      <c r="B12" s="20" t="inlineStr">
        <is>
          <t>15</t>
        </is>
      </c>
    </row>
    <row r="13">
      <c r="A13" s="18" t="inlineStr">
        <is>
          <t>3. Co品位(%)</t>
        </is>
      </c>
      <c r="B13" s="20" t="inlineStr">
        <is>
          <t>5</t>
        </is>
      </c>
    </row>
    <row r="14">
      <c r="A14" s="18" t="inlineStr">
        <is>
          <t>4. Li品位(%)</t>
        </is>
      </c>
      <c r="B14" s="20" t="inlineStr">
        <is>
          <t>3.5</t>
        </is>
      </c>
    </row>
    <row r="15">
      <c r="A15" s="18" t="inlineStr">
        <is>
          <t>5. 计价系数</t>
        </is>
      </c>
      <c r="B15" s="21" t="inlineStr">
        <is>
          <t>0.65</t>
        </is>
      </c>
    </row>
    <row r="16">
      <c r="A16" s="18" t="inlineStr">
        <is>
          <t>6. 加工成本(元/吨黑粉)</t>
        </is>
      </c>
      <c r="B16" s="19" t="inlineStr">
        <is>
          <t>28000</t>
        </is>
      </c>
    </row>
    <row r="17">
      <c r="A17" s="18" t="inlineStr">
        <is>
          <t>7. 水分扣减(%)</t>
        </is>
      </c>
      <c r="B17" s="20" t="inlineStr">
        <is>
          <t>3</t>
        </is>
      </c>
    </row>
    <row r="18">
      <c r="A18" s="18" t="inlineStr">
        <is>
          <t>8. 杂质扣减(元/吨)</t>
        </is>
      </c>
      <c r="B18" s="19" t="inlineStr">
        <is>
          <t>500</t>
        </is>
      </c>
    </row>
    <row r="20">
      <c r="A20" s="22" t="inlineStr">
        <is>
          <t>📈 计价结果</t>
        </is>
      </c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</row>
    <row r="21">
      <c r="A21" s="24" t="inlineStr">
        <is>
          <t>黑粉干重(吨)</t>
        </is>
      </c>
      <c r="B21" s="6">
        <f>$B$11*(1-$B$17/100)</f>
        <v/>
      </c>
    </row>
    <row r="22">
      <c r="A22" s="24" t="inlineStr">
        <is>
          <t>Ni金属回收价值(元)</t>
        </is>
      </c>
      <c r="B22" s="4">
        <f>$B$11*$B$12/100*$B$15*$B$5</f>
        <v/>
      </c>
      <c r="C22" s="25">
        <f>B22/$B$11</f>
        <v/>
      </c>
      <c r="D22" s="26">
        <f>B22/10000</f>
        <v/>
      </c>
    </row>
    <row r="23">
      <c r="A23" s="24" t="inlineStr">
        <is>
          <t>Co金属回收价值(元)</t>
        </is>
      </c>
      <c r="B23" s="4">
        <f>$B$11*$B$13/100*$B$15*$B$6</f>
        <v/>
      </c>
      <c r="C23" s="25">
        <f>B23/$B$11</f>
        <v/>
      </c>
      <c r="D23" s="26">
        <f>B23/10000</f>
        <v/>
      </c>
    </row>
    <row r="24">
      <c r="A24" s="24" t="inlineStr">
        <is>
          <t>Li金属回收价值(元)</t>
        </is>
      </c>
      <c r="B24" s="4">
        <f>$B$11*$B$14/100*$B$15*$B$7</f>
        <v/>
      </c>
      <c r="C24" s="25">
        <f>B24/$B$11</f>
        <v/>
      </c>
      <c r="D24" s="26">
        <f>B24/10000</f>
        <v/>
      </c>
    </row>
    <row r="25">
      <c r="A25" s="27" t="inlineStr">
        <is>
          <t>金属回收价值小计(元)</t>
        </is>
      </c>
      <c r="B25" s="28">
        <f>SUM(B22:B24)</f>
        <v/>
      </c>
    </row>
    <row r="26">
      <c r="A26" s="24" t="inlineStr">
        <is>
          <t>杂质扣减(元)</t>
        </is>
      </c>
      <c r="B26" s="4">
        <f>$B$11*$B$18</f>
        <v/>
      </c>
    </row>
    <row r="27">
      <c r="A27" s="24" t="inlineStr">
        <is>
          <t>加工总成本(元)</t>
        </is>
      </c>
      <c r="B27" s="4">
        <f>$B$11*$B$16</f>
        <v/>
      </c>
    </row>
    <row r="29">
      <c r="A29" s="29" t="inlineStr">
        <is>
          <t>黑粉采购参考价(元/吨)</t>
        </is>
      </c>
      <c r="B29" s="30">
        <f>(B25-B26-B27)/$B$11</f>
        <v/>
      </c>
    </row>
    <row r="30">
      <c r="A30" s="29" t="inlineStr">
        <is>
          <t>加工净利润(元)</t>
        </is>
      </c>
      <c r="B30" s="30">
        <f>B25-B26-B27</f>
        <v/>
      </c>
      <c r="C30" s="31">
        <f>IF(B30&gt;0,"✅ 盈利","❌ 亏损")</f>
        <v/>
      </c>
    </row>
    <row r="33">
      <c r="A33" s="14" t="inlineStr">
        <is>
          <t>📋 典型黑粉品位参考范围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6" t="inlineStr">
        <is>
          <t>类型</t>
        </is>
      </c>
      <c r="B34" s="16" t="inlineStr">
        <is>
          <t>Ni(%)</t>
        </is>
      </c>
      <c r="C34" s="16" t="inlineStr">
        <is>
          <t>Co(%)</t>
        </is>
      </c>
      <c r="D34" s="16" t="inlineStr">
        <is>
          <t>Li(%)</t>
        </is>
      </c>
      <c r="E34" s="16" t="inlineStr">
        <is>
          <t>备注</t>
        </is>
      </c>
      <c r="F34" s="16" t="inlineStr">
        <is>
          <t>适用场景</t>
        </is>
      </c>
    </row>
    <row r="35">
      <c r="A35" s="2" t="inlineStr">
        <is>
          <t>三元黑粉(NCM523)</t>
        </is>
      </c>
      <c r="B35" s="2" t="inlineStr">
        <is>
          <t>8-20</t>
        </is>
      </c>
      <c r="C35" s="2" t="inlineStr">
        <is>
          <t>4-8</t>
        </is>
      </c>
      <c r="D35" s="2" t="inlineStr">
        <is>
          <t>3-5</t>
        </is>
      </c>
      <c r="E35" s="17" t="inlineStr">
        <is>
          <t>含水&lt;5%, 铜&lt;3%, 铝&lt;2%</t>
        </is>
      </c>
      <c r="F35" s="2" t="inlineStr">
        <is>
          <t>主流型</t>
        </is>
      </c>
    </row>
    <row r="36">
      <c r="A36" s="2" t="inlineStr">
        <is>
          <t>三元黑粉(NCM622)</t>
        </is>
      </c>
      <c r="B36" s="2" t="inlineStr">
        <is>
          <t>12-25</t>
        </is>
      </c>
      <c r="C36" s="2" t="inlineStr">
        <is>
          <t>4-8</t>
        </is>
      </c>
      <c r="D36" s="2" t="inlineStr">
        <is>
          <t>3-5</t>
        </is>
      </c>
      <c r="E36" s="17" t="inlineStr">
        <is>
          <t>含水&lt;5%, 铜&lt;3%, 铝&lt;2%</t>
        </is>
      </c>
      <c r="F36" s="2" t="inlineStr">
        <is>
          <t>高镍型</t>
        </is>
      </c>
    </row>
    <row r="37">
      <c r="A37" s="2" t="inlineStr">
        <is>
          <t>三元黑粉(NCM811)</t>
        </is>
      </c>
      <c r="B37" s="2" t="inlineStr">
        <is>
          <t>18-30</t>
        </is>
      </c>
      <c r="C37" s="2" t="inlineStr">
        <is>
          <t>2-5</t>
        </is>
      </c>
      <c r="D37" s="2" t="inlineStr">
        <is>
          <t>3-5</t>
        </is>
      </c>
      <c r="E37" s="17" t="inlineStr">
        <is>
          <t>含水&lt;5%, 铜&lt;3%, 铝&lt;2%</t>
        </is>
      </c>
      <c r="F37" s="2" t="inlineStr">
        <is>
          <t>超高镍</t>
        </is>
      </c>
    </row>
    <row r="38">
      <c r="A38" s="2" t="inlineStr">
        <is>
          <t>钴酸锂黑粉</t>
        </is>
      </c>
      <c r="B38" s="2" t="inlineStr">
        <is>
          <t>1-3</t>
        </is>
      </c>
      <c r="C38" s="2" t="inlineStr">
        <is>
          <t>35-50</t>
        </is>
      </c>
      <c r="D38" s="2" t="inlineStr">
        <is>
          <t>3-5</t>
        </is>
      </c>
      <c r="E38" s="17" t="inlineStr">
        <is>
          <t>含水&lt;5%</t>
        </is>
      </c>
      <c r="F38" s="2" t="inlineStr">
        <is>
          <t>高钴价值</t>
        </is>
      </c>
    </row>
    <row r="39">
      <c r="A39" s="2" t="inlineStr">
        <is>
          <t>磷酸铁锂黑粉</t>
        </is>
      </c>
      <c r="B39" s="2" t="inlineStr">
        <is>
          <t>&lt;0.5</t>
        </is>
      </c>
      <c r="C39" s="2" t="inlineStr">
        <is>
          <t>&lt;0.3</t>
        </is>
      </c>
      <c r="D39" s="2" t="inlineStr">
        <is>
          <t>2-3</t>
        </is>
      </c>
      <c r="E39" s="17" t="inlineStr">
        <is>
          <t>含水&lt;5%</t>
        </is>
      </c>
      <c r="F39" s="2" t="inlineStr">
        <is>
          <t>低价值</t>
        </is>
      </c>
    </row>
    <row r="40">
      <c r="A40" s="2" t="inlineStr">
        <is>
          <t>混合黑粉</t>
        </is>
      </c>
      <c r="B40" s="2" t="inlineStr">
        <is>
          <t>5-15</t>
        </is>
      </c>
      <c r="C40" s="2" t="inlineStr">
        <is>
          <t>2-10</t>
        </is>
      </c>
      <c r="D40" s="2" t="inlineStr">
        <is>
          <t>2-4</t>
        </is>
      </c>
      <c r="E40" s="17" t="inlineStr">
        <is>
          <t>杂料混合</t>
        </is>
      </c>
      <c r="F40" s="2" t="inlineStr">
        <is>
          <t>折价计算</t>
        </is>
      </c>
    </row>
    <row r="43">
      <c r="A43" s="14" t="inlineStr">
        <is>
          <t>📊 黑粉计价系数参考 (按品位分档)</t>
        </is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6" t="inlineStr">
        <is>
          <t>条件</t>
        </is>
      </c>
      <c r="B44" s="16" t="inlineStr">
        <is>
          <t>计价系数</t>
        </is>
      </c>
      <c r="C44" s="16" t="inlineStr">
        <is>
          <t>说明</t>
        </is>
      </c>
    </row>
    <row r="45">
      <c r="A45" s="2" t="inlineStr">
        <is>
          <t>Ni≥20%, Co≥8%</t>
        </is>
      </c>
      <c r="B45" s="2" t="inlineStr">
        <is>
          <t>0.75-0.80</t>
        </is>
      </c>
      <c r="C45" s="2" t="inlineStr">
        <is>
          <t>高品位</t>
        </is>
      </c>
    </row>
    <row r="46">
      <c r="A46" s="2" t="inlineStr">
        <is>
          <t>Ni≥15%, Co≥5%</t>
        </is>
      </c>
      <c r="B46" s="2" t="inlineStr">
        <is>
          <t>0.65-0.75</t>
        </is>
      </c>
      <c r="C46" s="2" t="inlineStr">
        <is>
          <t>中等品位</t>
        </is>
      </c>
    </row>
    <row r="47">
      <c r="A47" s="2" t="inlineStr">
        <is>
          <t>Ni≥10%, Co≥3%</t>
        </is>
      </c>
      <c r="B47" s="2" t="inlineStr">
        <is>
          <t>0.55-0.65</t>
        </is>
      </c>
      <c r="C47" s="2" t="inlineStr">
        <is>
          <t>低品位</t>
        </is>
      </c>
    </row>
    <row r="48">
      <c r="A48" s="2" t="inlineStr">
        <is>
          <t>Ni&lt;10%, Co&lt;3%</t>
        </is>
      </c>
      <c r="B48" s="2" t="inlineStr">
        <is>
          <t>0.40-0.55</t>
        </is>
      </c>
      <c r="C48" s="2" t="inlineStr">
        <is>
          <t>贫料</t>
        </is>
      </c>
    </row>
    <row r="49">
      <c r="A49" s="2" t="inlineStr">
        <is>
          <t>Li品位≥3.5%</t>
        </is>
      </c>
      <c r="B49" s="2" t="inlineStr">
        <is>
          <t>单独计价+0.05</t>
        </is>
      </c>
      <c r="C49" s="2" t="inlineStr">
        <is>
          <t>Li溢价</t>
        </is>
      </c>
    </row>
    <row r="50">
      <c r="A50" s="2" t="inlineStr">
        <is>
          <t>Li品位&lt;2%</t>
        </is>
      </c>
      <c r="B50" s="2" t="inlineStr">
        <is>
          <t>通常不计价</t>
        </is>
      </c>
      <c r="C50" s="2" t="inlineStr">
        <is>
          <t>Li太低</t>
        </is>
      </c>
    </row>
    <row r="51">
      <c r="A51" s="2" t="inlineStr">
        <is>
          <t>含水率&gt;5%</t>
        </is>
      </c>
      <c r="B51" s="2" t="inlineStr">
        <is>
          <t>扣减超出部分</t>
        </is>
      </c>
      <c r="C51" s="2" t="inlineStr">
        <is>
          <t>水分扣减</t>
        </is>
      </c>
    </row>
    <row r="52">
      <c r="A52" s="2" t="inlineStr">
        <is>
          <t>铜铝超标</t>
        </is>
      </c>
      <c r="B52" s="2" t="inlineStr">
        <is>
          <t>扣500-2000元/吨</t>
        </is>
      </c>
      <c r="C52" s="2" t="inlineStr">
        <is>
          <t>杂质罚扣</t>
        </is>
      </c>
    </row>
    <row r="55">
      <c r="A55" s="14" t="inlineStr">
        <is>
          <t>💰 加工成本参考 (元/吨黑粉)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  <row r="56">
      <c r="A56" s="16" t="inlineStr">
        <is>
          <t>环节</t>
        </is>
      </c>
      <c r="B56" s="16" t="inlineStr">
        <is>
          <t>费用(元/吨)</t>
        </is>
      </c>
      <c r="C56" s="16" t="inlineStr">
        <is>
          <t>说明</t>
        </is>
      </c>
    </row>
    <row r="57">
      <c r="A57" s="2" t="inlineStr">
        <is>
          <t>破碎分选</t>
        </is>
      </c>
      <c r="B57" s="2" t="inlineStr">
        <is>
          <t>3,000-5,000</t>
        </is>
      </c>
      <c r="C57" s="17" t="inlineStr">
        <is>
          <t>拆解→破碎→筛分→磁选</t>
        </is>
      </c>
    </row>
    <row r="58">
      <c r="A58" s="2" t="inlineStr">
        <is>
          <t>湿法浸出</t>
        </is>
      </c>
      <c r="B58" s="2" t="inlineStr">
        <is>
          <t>12,000-18,000</t>
        </is>
      </c>
      <c r="C58" s="17" t="inlineStr">
        <is>
          <t>酸浸或碱浸</t>
        </is>
      </c>
    </row>
    <row r="59">
      <c r="A59" s="2" t="inlineStr">
        <is>
          <t>萃取分离</t>
        </is>
      </c>
      <c r="B59" s="2" t="inlineStr">
        <is>
          <t>5,000-8,000</t>
        </is>
      </c>
      <c r="C59" s="17" t="inlineStr">
        <is>
          <t>Ni/Co/Mn/Li分离</t>
        </is>
      </c>
    </row>
    <row r="60">
      <c r="A60" s="2" t="inlineStr">
        <is>
          <t>产品精制</t>
        </is>
      </c>
      <c r="B60" s="2" t="inlineStr">
        <is>
          <t>3,000-5,000</t>
        </is>
      </c>
      <c r="C60" s="17" t="inlineStr">
        <is>
          <t>结晶/干燥/包装</t>
        </is>
      </c>
    </row>
    <row r="61">
      <c r="A61" s="32" t="inlineStr">
        <is>
          <t>合计</t>
        </is>
      </c>
      <c r="B61" s="32" t="inlineStr">
        <is>
          <t>23,000-36,000</t>
        </is>
      </c>
      <c r="C61" s="17" t="inlineStr"/>
    </row>
  </sheetData>
  <mergeCells count="7">
    <mergeCell ref="A1:J1"/>
    <mergeCell ref="A3:J3"/>
    <mergeCell ref="A55:J55"/>
    <mergeCell ref="A20:J20"/>
    <mergeCell ref="A43:J43"/>
    <mergeCell ref="A10:J10"/>
    <mergeCell ref="A33:J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2026-06-18T08:30:19Z</dcterms:created>
  <dcterms:modified xmlns:dcterms="http://purl.org/dc/terms/" xmlns:xsi="http://www.w3.org/2001/XMLSchema-instance" xsi:type="dcterms:W3CDTF">2026-06-18T08:30:19Z</dcterms:modified>
</cp:coreProperties>
</file>