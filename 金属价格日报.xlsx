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'现货'!$A$1:$H$838</definedName>
    <definedName name="_xlnm._FilterDatabase" localSheetId="1" hidden="1">'期货'!$A$1:$J$59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4">
      <c r="A464" s="2" t="inlineStr">
        <is>
          <t>2026/06/25</t>
        </is>
      </c>
      <c r="B464" s="2" t="inlineStr">
        <is>
          <t>5系三元前驱体</t>
        </is>
      </c>
      <c r="C464" s="3" t="n">
        <v>98700</v>
      </c>
      <c r="D464" s="4" t="n">
        <v>103800</v>
      </c>
      <c r="E464" s="4" t="n">
        <v>101250</v>
      </c>
      <c r="F464" s="4" t="n">
        <v>-650</v>
      </c>
      <c r="G464" s="5" t="inlineStr">
        <is>
          <t>元/吨</t>
        </is>
      </c>
      <c r="H464" s="5" t="inlineStr">
        <is>
          <t>SMM</t>
        </is>
      </c>
    </row>
    <row r="465">
      <c r="A465" s="2" t="inlineStr">
        <is>
          <t>2026/06/25</t>
        </is>
      </c>
      <c r="B465" s="2" t="inlineStr">
        <is>
          <t>5系三元材料</t>
        </is>
      </c>
      <c r="C465" s="3" t="n">
        <v>181400</v>
      </c>
      <c r="D465" s="4" t="n">
        <v>188500</v>
      </c>
      <c r="E465" s="4" t="n">
        <v>184950</v>
      </c>
      <c r="F465" s="4" t="n">
        <v>-400</v>
      </c>
      <c r="G465" s="5" t="inlineStr">
        <is>
          <t>元/吨</t>
        </is>
      </c>
      <c r="H465" s="5" t="inlineStr">
        <is>
          <t>SMM</t>
        </is>
      </c>
    </row>
    <row r="466">
      <c r="A466" s="2" t="inlineStr">
        <is>
          <t>2026/06/25</t>
        </is>
      </c>
      <c r="B466" s="2" t="inlineStr">
        <is>
          <t>6系三元前驱体（单晶/动力型）</t>
        </is>
      </c>
      <c r="C466" s="3" t="n">
        <v>91550</v>
      </c>
      <c r="D466" s="4" t="n">
        <v>96250</v>
      </c>
      <c r="E466" s="4" t="n">
        <v>93900</v>
      </c>
      <c r="F466" s="4" t="n">
        <v>-650</v>
      </c>
      <c r="G466" s="5" t="inlineStr">
        <is>
          <t>元/吨</t>
        </is>
      </c>
      <c r="H466" s="5" t="inlineStr">
        <is>
          <t>SMM</t>
        </is>
      </c>
    </row>
    <row r="467">
      <c r="A467" s="2" t="inlineStr">
        <is>
          <t>2026/06/25</t>
        </is>
      </c>
      <c r="B467" s="2" t="inlineStr">
        <is>
          <t>6系三元材料（单晶/动力型）</t>
        </is>
      </c>
      <c r="C467" s="3" t="n">
        <v>184900</v>
      </c>
      <c r="D467" s="4" t="n">
        <v>194400</v>
      </c>
      <c r="E467" s="4" t="n">
        <v>189650</v>
      </c>
      <c r="F467" s="4" t="n">
        <v>-700</v>
      </c>
      <c r="G467" s="5" t="inlineStr">
        <is>
          <t>元/吨</t>
        </is>
      </c>
      <c r="H467" s="5" t="inlineStr">
        <is>
          <t>SMM</t>
        </is>
      </c>
    </row>
    <row r="468">
      <c r="A468" s="2" t="inlineStr">
        <is>
          <t>2026/06/25</t>
        </is>
      </c>
      <c r="B468" s="2" t="inlineStr">
        <is>
          <t>8系三元前驱体（多晶/动力型）</t>
        </is>
      </c>
      <c r="C468" s="3" t="n">
        <v>113200</v>
      </c>
      <c r="D468" s="4" t="n">
        <v>118900</v>
      </c>
      <c r="E468" s="4" t="n">
        <v>116050</v>
      </c>
      <c r="F468" s="4" t="n">
        <v>-900</v>
      </c>
      <c r="G468" s="5" t="inlineStr">
        <is>
          <t>元/吨</t>
        </is>
      </c>
      <c r="H468" s="5" t="inlineStr">
        <is>
          <t>SMM</t>
        </is>
      </c>
    </row>
    <row r="469">
      <c r="A469" s="2" t="inlineStr">
        <is>
          <t>2026/06/25</t>
        </is>
      </c>
      <c r="B469" s="2" t="inlineStr">
        <is>
          <t>8系三元材料</t>
        </is>
      </c>
      <c r="C469" s="3" t="n">
        <v>207800</v>
      </c>
      <c r="D469" s="4" t="n">
        <v>217400</v>
      </c>
      <c r="E469" s="4" t="n">
        <v>212600</v>
      </c>
      <c r="F469" s="4" t="n">
        <v>-800</v>
      </c>
      <c r="G469" s="5" t="inlineStr">
        <is>
          <t>元/吨</t>
        </is>
      </c>
      <c r="H469" s="5" t="inlineStr">
        <is>
          <t>SMM</t>
        </is>
      </c>
    </row>
    <row r="470">
      <c r="A470" s="2" t="inlineStr">
        <is>
          <t>2026/06/25</t>
        </is>
      </c>
      <c r="B470" s="2" t="inlineStr">
        <is>
          <t>MHP系数（对SMM电池级硫酸镍指数）</t>
        </is>
      </c>
      <c r="C470" s="7" t="n">
        <v>81.5</v>
      </c>
      <c r="D470" s="6" t="n">
        <v>82.5</v>
      </c>
      <c r="E470" s="6" t="n">
        <v>82</v>
      </c>
      <c r="F470" s="6" t="n">
        <v>-2</v>
      </c>
      <c r="G470" s="5" t="inlineStr">
        <is>
          <t>%</t>
        </is>
      </c>
      <c r="H470" s="5" t="inlineStr">
        <is>
          <t>SMM</t>
        </is>
      </c>
    </row>
    <row r="471">
      <c r="A471" s="2" t="inlineStr">
        <is>
          <t>2026/06/25</t>
        </is>
      </c>
      <c r="B471" s="2" t="inlineStr">
        <is>
          <t>MHP钴元素计价系数（对SMM硫酸钴均价）</t>
        </is>
      </c>
      <c r="C471" s="7" t="n">
        <v>92</v>
      </c>
      <c r="D471" s="6" t="n">
        <v>93</v>
      </c>
      <c r="E471" s="6" t="n">
        <v>92.5</v>
      </c>
      <c r="F471" s="4" t="n">
        <v>0</v>
      </c>
      <c r="G471" s="5" t="inlineStr">
        <is>
          <t>%</t>
        </is>
      </c>
      <c r="H471" s="5" t="inlineStr">
        <is>
          <t>SMM</t>
        </is>
      </c>
    </row>
    <row r="472">
      <c r="A472" s="2" t="inlineStr">
        <is>
          <t>2026/06/25</t>
        </is>
      </c>
      <c r="B472" s="2" t="inlineStr">
        <is>
          <t>NCA三元材料</t>
        </is>
      </c>
      <c r="C472" s="3" t="n">
        <v>205000</v>
      </c>
      <c r="D472" s="4" t="n">
        <v>213500</v>
      </c>
      <c r="E472" s="4" t="n">
        <v>209250</v>
      </c>
      <c r="F472" s="4" t="n">
        <v>-300</v>
      </c>
      <c r="G472" s="5" t="inlineStr">
        <is>
          <t>元/吨</t>
        </is>
      </c>
      <c r="H472" s="5" t="inlineStr">
        <is>
          <t>SMM</t>
        </is>
      </c>
    </row>
    <row r="473">
      <c r="A473" s="2" t="inlineStr">
        <is>
          <t>2026/06/25</t>
        </is>
      </c>
      <c r="B473" s="2" t="inlineStr">
        <is>
          <t>SMM三元极片粉钴系数指数</t>
        </is>
      </c>
      <c r="C473" s="7" t="n">
        <v>78.31999999999999</v>
      </c>
      <c r="D473" s="6" t="n">
        <v>78.31999999999999</v>
      </c>
      <c r="E473" s="6" t="n">
        <v>78.31999999999999</v>
      </c>
      <c r="F473" s="6" t="n">
        <v>-0.03</v>
      </c>
      <c r="G473" s="5" t="inlineStr">
        <is>
          <t>%</t>
        </is>
      </c>
      <c r="H473" s="5" t="inlineStr">
        <is>
          <t>SMM</t>
        </is>
      </c>
    </row>
    <row r="474">
      <c r="A474" s="2" t="inlineStr">
        <is>
          <t>2026/06/25</t>
        </is>
      </c>
      <c r="B474" s="2" t="inlineStr">
        <is>
          <t>SMM三元极片粉锂系数指数</t>
        </is>
      </c>
      <c r="C474" s="7" t="n">
        <v>78.33</v>
      </c>
      <c r="D474" s="6" t="n">
        <v>78.33</v>
      </c>
      <c r="E474" s="6" t="n">
        <v>78.33</v>
      </c>
      <c r="F474" s="6" t="n">
        <v>-0.03</v>
      </c>
      <c r="G474" s="5" t="inlineStr">
        <is>
          <t>%</t>
        </is>
      </c>
      <c r="H474" s="5" t="inlineStr">
        <is>
          <t>SMM</t>
        </is>
      </c>
    </row>
    <row r="475">
      <c r="A475" s="2" t="inlineStr">
        <is>
          <t>2026/06/25</t>
        </is>
      </c>
      <c r="B475" s="2" t="inlineStr">
        <is>
          <t>SMM三元极片粉镍系数指数</t>
        </is>
      </c>
      <c r="C475" s="7" t="n">
        <v>78.33</v>
      </c>
      <c r="D475" s="6" t="n">
        <v>78.33</v>
      </c>
      <c r="E475" s="6" t="n">
        <v>78.33</v>
      </c>
      <c r="F475" s="6" t="n">
        <v>-0.03</v>
      </c>
      <c r="G475" s="5" t="inlineStr">
        <is>
          <t>%</t>
        </is>
      </c>
      <c r="H475" s="5" t="inlineStr">
        <is>
          <t>SMM</t>
        </is>
      </c>
    </row>
    <row r="476">
      <c r="A476" s="2" t="inlineStr">
        <is>
          <t>2026/06/25</t>
        </is>
      </c>
      <c r="B476" s="2" t="inlineStr">
        <is>
          <t>SMM三元电池粉钴系数指数</t>
        </is>
      </c>
      <c r="C476" s="7" t="n">
        <v>74.8</v>
      </c>
      <c r="D476" s="6" t="n">
        <v>74.8</v>
      </c>
      <c r="E476" s="6" t="n">
        <v>74.8</v>
      </c>
      <c r="F476" s="6" t="n">
        <v>-0.05</v>
      </c>
      <c r="G476" s="5" t="inlineStr">
        <is>
          <t>%</t>
        </is>
      </c>
      <c r="H476" s="5" t="inlineStr">
        <is>
          <t>SMM</t>
        </is>
      </c>
    </row>
    <row r="477">
      <c r="A477" s="2" t="inlineStr">
        <is>
          <t>2026/06/25</t>
        </is>
      </c>
      <c r="B477" s="2" t="inlineStr">
        <is>
          <t>SMM三元电池粉锂系数指数</t>
        </is>
      </c>
      <c r="C477" s="7" t="n">
        <v>74.8</v>
      </c>
      <c r="D477" s="6" t="n">
        <v>74.8</v>
      </c>
      <c r="E477" s="6" t="n">
        <v>74.8</v>
      </c>
      <c r="F477" s="6" t="n">
        <v>-0.05</v>
      </c>
      <c r="G477" s="5" t="inlineStr">
        <is>
          <t>%</t>
        </is>
      </c>
      <c r="H477" s="5" t="inlineStr">
        <is>
          <t>SMM</t>
        </is>
      </c>
    </row>
    <row r="478">
      <c r="A478" s="2" t="inlineStr">
        <is>
          <t>2026/06/25</t>
        </is>
      </c>
      <c r="B478" s="2" t="inlineStr">
        <is>
          <t>SMM三元电池粉镍系数指数</t>
        </is>
      </c>
      <c r="C478" s="7" t="n">
        <v>74.8</v>
      </c>
      <c r="D478" s="6" t="n">
        <v>74.8</v>
      </c>
      <c r="E478" s="6" t="n">
        <v>74.8</v>
      </c>
      <c r="F478" s="6" t="n">
        <v>-0.05</v>
      </c>
      <c r="G478" s="5" t="inlineStr">
        <is>
          <t>%</t>
        </is>
      </c>
      <c r="H478" s="5" t="inlineStr">
        <is>
          <t>SMM</t>
        </is>
      </c>
    </row>
    <row r="479">
      <c r="A479" s="2" t="inlineStr">
        <is>
          <t>2026/06/25</t>
        </is>
      </c>
      <c r="B479" s="2" t="inlineStr">
        <is>
          <t>SMM六氟磷酸锂指数</t>
        </is>
      </c>
      <c r="C479" s="3" t="n">
        <v>100740</v>
      </c>
      <c r="D479" s="4" t="n">
        <v>104852</v>
      </c>
      <c r="E479" s="4" t="n">
        <v>102796</v>
      </c>
      <c r="F479" s="4" t="n">
        <v>-189.5</v>
      </c>
      <c r="G479" s="5" t="inlineStr">
        <is>
          <t>元/吨</t>
        </is>
      </c>
      <c r="H479" s="5" t="inlineStr">
        <is>
          <t>SMM</t>
        </is>
      </c>
    </row>
    <row r="480">
      <c r="A480" s="2" t="inlineStr">
        <is>
          <t>2026/06/25</t>
        </is>
      </c>
      <c r="B480" s="2" t="inlineStr">
        <is>
          <t>SMM电池级氢氧化锂指数</t>
        </is>
      </c>
      <c r="C480" s="3" t="n">
        <v>143670</v>
      </c>
      <c r="D480" s="4" t="n">
        <v>143670</v>
      </c>
      <c r="E480" s="4" t="n">
        <v>143670</v>
      </c>
      <c r="F480" s="4" t="n">
        <v>-582</v>
      </c>
      <c r="G480" s="5" t="inlineStr">
        <is>
          <t>元/吨</t>
        </is>
      </c>
      <c r="H480" s="5" t="inlineStr">
        <is>
          <t>SMM</t>
        </is>
      </c>
    </row>
    <row r="481">
      <c r="A481" s="2" t="inlineStr">
        <is>
          <t>2026/06/25</t>
        </is>
      </c>
      <c r="B481" s="2" t="inlineStr">
        <is>
          <t>SMM电池级硫酸锰指数</t>
        </is>
      </c>
      <c r="C481" s="3" t="n">
        <v>7654</v>
      </c>
      <c r="D481" s="4" t="n">
        <v>7654</v>
      </c>
      <c r="E481" s="4" t="n">
        <v>7654</v>
      </c>
      <c r="F481" s="6" t="n">
        <v>7</v>
      </c>
      <c r="G481" s="5" t="inlineStr">
        <is>
          <t>元/吨</t>
        </is>
      </c>
      <c r="H481" s="5" t="inlineStr">
        <is>
          <t>SMM</t>
        </is>
      </c>
    </row>
    <row r="482">
      <c r="A482" s="2" t="inlineStr">
        <is>
          <t>2026/06/25</t>
        </is>
      </c>
      <c r="B482" s="2" t="inlineStr">
        <is>
          <t>SMM电池级硫酸镍指数</t>
        </is>
      </c>
      <c r="C482" s="3" t="n">
        <v>32642</v>
      </c>
      <c r="D482" s="4" t="n">
        <v>32642</v>
      </c>
      <c r="E482" s="4" t="n">
        <v>32642</v>
      </c>
      <c r="F482" s="4" t="n">
        <v>-155</v>
      </c>
      <c r="G482" s="5" t="inlineStr">
        <is>
          <t>元/吨</t>
        </is>
      </c>
      <c r="H482" s="5" t="inlineStr">
        <is>
          <t>SMM</t>
        </is>
      </c>
    </row>
    <row r="483">
      <c r="A483" s="2" t="inlineStr">
        <is>
          <t>2026/06/25</t>
        </is>
      </c>
      <c r="B483" s="2" t="inlineStr">
        <is>
          <t>SMM电池级碳酸锂指数</t>
        </is>
      </c>
      <c r="C483" s="3" t="n">
        <v>156755</v>
      </c>
      <c r="D483" s="4" t="n">
        <v>156755</v>
      </c>
      <c r="E483" s="4" t="n">
        <v>156755</v>
      </c>
      <c r="F483" s="4" t="n">
        <v>-115</v>
      </c>
      <c r="G483" s="5" t="inlineStr">
        <is>
          <t>元/吨</t>
        </is>
      </c>
      <c r="H483" s="5" t="inlineStr">
        <is>
          <t>SMM</t>
        </is>
      </c>
    </row>
    <row r="484">
      <c r="A484" s="2" t="inlineStr">
        <is>
          <t>2026/06/25</t>
        </is>
      </c>
      <c r="B484" s="2" t="inlineStr">
        <is>
          <t>SMM硫酸钴指数</t>
        </is>
      </c>
      <c r="C484" s="3" t="n">
        <v>86510</v>
      </c>
      <c r="D484" s="4" t="n">
        <v>86510</v>
      </c>
      <c r="E484" s="4" t="n">
        <v>86510</v>
      </c>
      <c r="F484" s="4" t="n">
        <v>-501</v>
      </c>
      <c r="G484" s="5" t="inlineStr">
        <is>
          <t>元/吨</t>
        </is>
      </c>
      <c r="H484" s="5" t="inlineStr">
        <is>
          <t>SMM</t>
        </is>
      </c>
    </row>
    <row r="485">
      <c r="A485" s="2" t="inlineStr">
        <is>
          <t>2026/06/25</t>
        </is>
      </c>
      <c r="B485" s="2" t="inlineStr">
        <is>
          <t>SMM磷酸铁锂极片粉指数</t>
        </is>
      </c>
      <c r="C485" s="3" t="n">
        <v>7039</v>
      </c>
      <c r="D485" s="4" t="n">
        <v>7039</v>
      </c>
      <c r="E485" s="4" t="n">
        <v>7039</v>
      </c>
      <c r="F485" s="6" t="n">
        <v>-9</v>
      </c>
      <c r="G485" s="5" t="inlineStr">
        <is>
          <t>元/锂点</t>
        </is>
      </c>
      <c r="H485" s="5" t="inlineStr">
        <is>
          <t>SMM</t>
        </is>
      </c>
    </row>
    <row r="486">
      <c r="A486" s="2" t="inlineStr">
        <is>
          <t>2026/06/25</t>
        </is>
      </c>
      <c r="B486" s="2" t="inlineStr">
        <is>
          <t>SMM磷酸铁锂电池粉指数</t>
        </is>
      </c>
      <c r="C486" s="3" t="n">
        <v>6595</v>
      </c>
      <c r="D486" s="4" t="n">
        <v>6595</v>
      </c>
      <c r="E486" s="4" t="n">
        <v>6595</v>
      </c>
      <c r="F486" s="6" t="n">
        <v>-1</v>
      </c>
      <c r="G486" s="5" t="inlineStr">
        <is>
          <t>元/锂点</t>
        </is>
      </c>
      <c r="H486" s="5" t="inlineStr">
        <is>
          <t>SMM</t>
        </is>
      </c>
    </row>
    <row r="487">
      <c r="A487" s="2" t="inlineStr">
        <is>
          <t>2026/06/25</t>
        </is>
      </c>
      <c r="B487" s="2" t="inlineStr">
        <is>
          <t>SMM钴酸锂极片粉钴系数指数</t>
        </is>
      </c>
      <c r="C487" s="7" t="n">
        <v>81.78</v>
      </c>
      <c r="D487" s="6" t="n">
        <v>81.78</v>
      </c>
      <c r="E487" s="6" t="n">
        <v>81.78</v>
      </c>
      <c r="F487" s="6" t="n">
        <v>-0.52</v>
      </c>
      <c r="G487" s="5" t="inlineStr">
        <is>
          <t>%</t>
        </is>
      </c>
      <c r="H487" s="5" t="inlineStr">
        <is>
          <t>SMM</t>
        </is>
      </c>
    </row>
    <row r="488">
      <c r="A488" s="2" t="inlineStr">
        <is>
          <t>2026/06/25</t>
        </is>
      </c>
      <c r="B488" s="2" t="inlineStr">
        <is>
          <t>SMM钴酸锂极片粉锂系数指数</t>
        </is>
      </c>
      <c r="C488" s="7" t="n">
        <v>76.23</v>
      </c>
      <c r="D488" s="6" t="n">
        <v>76.23</v>
      </c>
      <c r="E488" s="6" t="n">
        <v>76.23</v>
      </c>
      <c r="F488" s="4" t="n">
        <v>0</v>
      </c>
      <c r="G488" s="5" t="inlineStr">
        <is>
          <t>%</t>
        </is>
      </c>
      <c r="H488" s="5" t="inlineStr">
        <is>
          <t>SMM</t>
        </is>
      </c>
    </row>
    <row r="489">
      <c r="A489" s="2" t="inlineStr">
        <is>
          <t>2026/06/25</t>
        </is>
      </c>
      <c r="B489" s="2" t="inlineStr">
        <is>
          <t>SMM钴酸锂电池粉钴系数指数</t>
        </is>
      </c>
      <c r="C489" s="7" t="n">
        <v>79.34999999999999</v>
      </c>
      <c r="D489" s="6" t="n">
        <v>79.34999999999999</v>
      </c>
      <c r="E489" s="6" t="n">
        <v>79.34999999999999</v>
      </c>
      <c r="F489" s="6" t="n">
        <v>-0.62</v>
      </c>
      <c r="G489" s="5" t="inlineStr">
        <is>
          <t>%</t>
        </is>
      </c>
      <c r="H489" s="5" t="inlineStr">
        <is>
          <t>SMM</t>
        </is>
      </c>
    </row>
    <row r="490">
      <c r="A490" s="2" t="inlineStr">
        <is>
          <t>2026/06/25</t>
        </is>
      </c>
      <c r="B490" s="2" t="inlineStr">
        <is>
          <t>SMM钴酸锂电池粉锂系数指数</t>
        </is>
      </c>
      <c r="C490" s="7" t="n">
        <v>75.92</v>
      </c>
      <c r="D490" s="6" t="n">
        <v>75.92</v>
      </c>
      <c r="E490" s="6" t="n">
        <v>75.92</v>
      </c>
      <c r="F490" s="4" t="n">
        <v>0</v>
      </c>
      <c r="G490" s="5" t="inlineStr">
        <is>
          <t>%</t>
        </is>
      </c>
      <c r="H490" s="5" t="inlineStr">
        <is>
          <t>SMM</t>
        </is>
      </c>
    </row>
    <row r="491">
      <c r="A491" s="2" t="inlineStr">
        <is>
          <t>2026/06/25</t>
        </is>
      </c>
      <c r="B491" s="2" t="inlineStr">
        <is>
          <t>三元方壳锂电B品</t>
        </is>
      </c>
      <c r="C491" s="7" t="n">
        <v>0.75</v>
      </c>
      <c r="D491" s="6" t="n">
        <v>0.84</v>
      </c>
      <c r="E491" s="6" t="n">
        <v>0.795</v>
      </c>
      <c r="F491" s="6" t="n">
        <v>-0.005</v>
      </c>
      <c r="G491" s="5" t="inlineStr">
        <is>
          <t>元/Ah</t>
        </is>
      </c>
      <c r="H491" s="5" t="inlineStr">
        <is>
          <t>SMM</t>
        </is>
      </c>
    </row>
    <row r="492">
      <c r="A492" s="2" t="inlineStr">
        <is>
          <t>2026/06/25</t>
        </is>
      </c>
      <c r="B492" s="2" t="inlineStr">
        <is>
          <t>六氟磷酸锂（国产）</t>
        </is>
      </c>
      <c r="C492" s="3" t="n">
        <v>105000</v>
      </c>
      <c r="D492" s="4" t="n">
        <v>110000</v>
      </c>
      <c r="E492" s="4" t="n">
        <v>107500</v>
      </c>
      <c r="F492" s="4" t="n">
        <v>-500</v>
      </c>
      <c r="G492" s="5" t="inlineStr">
        <is>
          <t>元/吨</t>
        </is>
      </c>
      <c r="H492" s="5" t="inlineStr">
        <is>
          <t>SMM</t>
        </is>
      </c>
    </row>
    <row r="493">
      <c r="A493" s="2" t="inlineStr">
        <is>
          <t>2026/06/25</t>
        </is>
      </c>
      <c r="B493" s="2" t="inlineStr">
        <is>
          <t>四氧化三钴</t>
        </is>
      </c>
      <c r="C493" s="3" t="n">
        <v>330000</v>
      </c>
      <c r="D493" s="4" t="n">
        <v>342000</v>
      </c>
      <c r="E493" s="4" t="n">
        <v>336000</v>
      </c>
      <c r="F493" s="4" t="n">
        <v>0</v>
      </c>
      <c r="G493" s="5" t="inlineStr">
        <is>
          <t>元/吨</t>
        </is>
      </c>
      <c r="H493" s="5" t="inlineStr">
        <is>
          <t>SMM</t>
        </is>
      </c>
    </row>
    <row r="494">
      <c r="A494" s="2" t="inlineStr">
        <is>
          <t>2026/06/25</t>
        </is>
      </c>
      <c r="B494" s="2" t="inlineStr">
        <is>
          <t>四氧化三锰（电池级）</t>
        </is>
      </c>
      <c r="C494" s="3" t="n">
        <v>14000</v>
      </c>
      <c r="D494" s="4" t="n">
        <v>16000</v>
      </c>
      <c r="E494" s="4" t="n">
        <v>15000</v>
      </c>
      <c r="F494" s="4" t="n">
        <v>0</v>
      </c>
      <c r="G494" s="5" t="inlineStr">
        <is>
          <t>元/吨</t>
        </is>
      </c>
      <c r="H494" s="5" t="inlineStr">
        <is>
          <t>SMM</t>
        </is>
      </c>
    </row>
    <row r="495">
      <c r="A495" s="2" t="inlineStr">
        <is>
          <t>2026/06/25</t>
        </is>
      </c>
      <c r="B495" s="2" t="inlineStr">
        <is>
          <t>工业级氢氧化锂</t>
        </is>
      </c>
      <c r="C495" s="3" t="n">
        <v>128000</v>
      </c>
      <c r="D495" s="4" t="n">
        <v>134000</v>
      </c>
      <c r="E495" s="4" t="n">
        <v>131000</v>
      </c>
      <c r="F495" s="4" t="n">
        <v>-500</v>
      </c>
      <c r="G495" s="5" t="inlineStr">
        <is>
          <t>元/吨</t>
        </is>
      </c>
      <c r="H495" s="5" t="inlineStr">
        <is>
          <t>SMM</t>
        </is>
      </c>
    </row>
    <row r="496">
      <c r="A496" s="2" t="inlineStr">
        <is>
          <t>2026/06/25</t>
        </is>
      </c>
      <c r="B496" s="2" t="inlineStr">
        <is>
          <t>工业级碳酸锂</t>
        </is>
      </c>
      <c r="C496" s="3" t="n">
        <v>149000</v>
      </c>
      <c r="D496" s="4" t="n">
        <v>157000</v>
      </c>
      <c r="E496" s="4" t="n">
        <v>153000</v>
      </c>
      <c r="F496" s="4" t="n">
        <v>-500</v>
      </c>
      <c r="G496" s="5" t="inlineStr">
        <is>
          <t>元/吨</t>
        </is>
      </c>
      <c r="H496" s="5" t="inlineStr">
        <is>
          <t>SMM</t>
        </is>
      </c>
    </row>
    <row r="497">
      <c r="A497" s="2" t="inlineStr">
        <is>
          <t>2026/06/25</t>
        </is>
      </c>
      <c r="B497" s="2" t="inlineStr">
        <is>
          <t>工业级金属锂</t>
        </is>
      </c>
      <c r="C497" s="3" t="n">
        <v>1060000</v>
      </c>
      <c r="D497" s="4" t="n">
        <v>1100000</v>
      </c>
      <c r="E497" s="4" t="n">
        <v>1080000</v>
      </c>
      <c r="F497" s="4" t="n">
        <v>0</v>
      </c>
      <c r="G497" s="5" t="inlineStr">
        <is>
          <t>元/吨</t>
        </is>
      </c>
      <c r="H497" s="5" t="inlineStr">
        <is>
          <t>SMM</t>
        </is>
      </c>
    </row>
    <row r="498">
      <c r="A498" s="2" t="inlineStr">
        <is>
          <t>2026/06/25</t>
        </is>
      </c>
      <c r="B498" s="2" t="inlineStr">
        <is>
          <t>巴西锂辉石精矿（CIF中国）现货</t>
        </is>
      </c>
      <c r="C498" s="3" t="n">
        <v>2180</v>
      </c>
      <c r="D498" s="4" t="n">
        <v>2320</v>
      </c>
      <c r="E498" s="4" t="n">
        <v>2250</v>
      </c>
      <c r="F498" s="4" t="n">
        <v>0</v>
      </c>
      <c r="G498" s="5" t="inlineStr">
        <is>
          <t>美元/吨</t>
        </is>
      </c>
      <c r="H498" s="5" t="inlineStr">
        <is>
          <t>SMM</t>
        </is>
      </c>
    </row>
    <row r="499">
      <c r="A499" s="2" t="inlineStr">
        <is>
          <t>2026/06/25</t>
        </is>
      </c>
      <c r="B499" s="2" t="inlineStr">
        <is>
          <t>废旧磷酸铁锂储能正极片</t>
        </is>
      </c>
      <c r="C499" s="3" t="n">
        <v>20600</v>
      </c>
      <c r="D499" s="4" t="n">
        <v>23750</v>
      </c>
      <c r="E499" s="4" t="n">
        <v>22175</v>
      </c>
      <c r="F499" s="6" t="n">
        <v>-50</v>
      </c>
      <c r="G499" s="5" t="inlineStr">
        <is>
          <t>元/吨</t>
        </is>
      </c>
      <c r="H499" s="5" t="inlineStr">
        <is>
          <t>SMM</t>
        </is>
      </c>
    </row>
    <row r="500">
      <c r="A500" s="2" t="inlineStr">
        <is>
          <t>2026/06/25</t>
        </is>
      </c>
      <c r="B500" s="2" t="inlineStr">
        <is>
          <t>废旧磷酸铁锂动力正极片</t>
        </is>
      </c>
      <c r="C500" s="3" t="n">
        <v>24400</v>
      </c>
      <c r="D500" s="4" t="n">
        <v>28650</v>
      </c>
      <c r="E500" s="4" t="n">
        <v>26525</v>
      </c>
      <c r="F500" s="4" t="n">
        <v>-100</v>
      </c>
      <c r="G500" s="5" t="inlineStr">
        <is>
          <t>元/吨</t>
        </is>
      </c>
      <c r="H500" s="5" t="inlineStr">
        <is>
          <t>SMM</t>
        </is>
      </c>
    </row>
    <row r="501">
      <c r="A501" s="2" t="inlineStr">
        <is>
          <t>2026/06/25</t>
        </is>
      </c>
      <c r="B501" s="2" t="inlineStr">
        <is>
          <t>废旧磷酸铁锂软包电池</t>
        </is>
      </c>
      <c r="C501" s="3" t="n">
        <v>15500</v>
      </c>
      <c r="D501" s="4" t="n">
        <v>17000</v>
      </c>
      <c r="E501" s="4" t="n">
        <v>16250</v>
      </c>
      <c r="F501" s="4" t="n">
        <v>-100</v>
      </c>
      <c r="G501" s="5" t="inlineStr">
        <is>
          <t>元/吨</t>
        </is>
      </c>
      <c r="H501" s="5" t="inlineStr">
        <is>
          <t>SMM</t>
        </is>
      </c>
    </row>
    <row r="502">
      <c r="A502" s="2" t="inlineStr">
        <is>
          <t>2026/06/25</t>
        </is>
      </c>
      <c r="B502" s="2" t="inlineStr">
        <is>
          <t>废旧磷酸铁锂钢壳电池</t>
        </is>
      </c>
      <c r="C502" s="3" t="n">
        <v>9800</v>
      </c>
      <c r="D502" s="4" t="n">
        <v>11000</v>
      </c>
      <c r="E502" s="4" t="n">
        <v>10400</v>
      </c>
      <c r="F502" s="4" t="n">
        <v>-150</v>
      </c>
      <c r="G502" s="5" t="inlineStr">
        <is>
          <t>元/吨</t>
        </is>
      </c>
      <c r="H502" s="5" t="inlineStr">
        <is>
          <t>SMM</t>
        </is>
      </c>
    </row>
    <row r="503">
      <c r="A503" s="2" t="inlineStr">
        <is>
          <t>2026/06/25</t>
        </is>
      </c>
      <c r="B503" s="2" t="inlineStr">
        <is>
          <t>废旧磷酸铁锂铝壳电池</t>
        </is>
      </c>
      <c r="C503" s="3" t="n">
        <v>16800</v>
      </c>
      <c r="D503" s="4" t="n">
        <v>18000</v>
      </c>
      <c r="E503" s="4" t="n">
        <v>17400</v>
      </c>
      <c r="F503" s="4" t="n">
        <v>-150</v>
      </c>
      <c r="G503" s="5" t="inlineStr">
        <is>
          <t>元/吨</t>
        </is>
      </c>
      <c r="H503" s="5" t="inlineStr">
        <is>
          <t>SMM</t>
        </is>
      </c>
    </row>
    <row r="504">
      <c r="A504" s="2" t="inlineStr">
        <is>
          <t>2026/06/25</t>
        </is>
      </c>
      <c r="B504" s="2" t="inlineStr">
        <is>
          <t>方形磷酸铁锂电池B品</t>
        </is>
      </c>
      <c r="C504" s="7" t="n">
        <v>0.68</v>
      </c>
      <c r="D504" s="6" t="n">
        <v>0.8</v>
      </c>
      <c r="E504" s="6" t="n">
        <v>0.74</v>
      </c>
      <c r="F504" s="4" t="n">
        <v>0</v>
      </c>
      <c r="G504" s="5" t="inlineStr">
        <is>
          <t>元/Ah</t>
        </is>
      </c>
      <c r="H504" s="5" t="inlineStr">
        <is>
          <t>SMM</t>
        </is>
      </c>
    </row>
    <row r="505">
      <c r="A505" s="2" t="inlineStr">
        <is>
          <t>2026/06/25</t>
        </is>
      </c>
      <c r="B505" s="2" t="inlineStr">
        <is>
          <t>氧化亚镍</t>
        </is>
      </c>
      <c r="C505" s="3" t="n">
        <v>118000</v>
      </c>
      <c r="D505" s="4" t="n">
        <v>126000</v>
      </c>
      <c r="E505" s="4" t="n">
        <v>122000</v>
      </c>
      <c r="F505" s="4" t="n">
        <v>0</v>
      </c>
      <c r="G505" s="5" t="inlineStr">
        <is>
          <t>元/吨</t>
        </is>
      </c>
      <c r="H505" s="5" t="inlineStr">
        <is>
          <t>SMM</t>
        </is>
      </c>
    </row>
    <row r="506">
      <c r="A506" s="2" t="inlineStr">
        <is>
          <t>2026/06/25</t>
        </is>
      </c>
      <c r="B506" s="2" t="inlineStr">
        <is>
          <t>氧化钴</t>
        </is>
      </c>
      <c r="C506" s="3" t="n">
        <v>302000</v>
      </c>
      <c r="D506" s="4" t="n">
        <v>315000</v>
      </c>
      <c r="E506" s="4" t="n">
        <v>308500</v>
      </c>
      <c r="F506" s="4" t="n">
        <v>0</v>
      </c>
      <c r="G506" s="5" t="inlineStr">
        <is>
          <t>元/吨</t>
        </is>
      </c>
      <c r="H506" s="5" t="inlineStr">
        <is>
          <t>SMM</t>
        </is>
      </c>
    </row>
    <row r="507">
      <c r="A507" s="2" t="inlineStr">
        <is>
          <t>2026/06/25</t>
        </is>
      </c>
      <c r="B507" s="2" t="inlineStr">
        <is>
          <t>氯化钴</t>
        </is>
      </c>
      <c r="C507" s="3" t="n">
        <v>104500</v>
      </c>
      <c r="D507" s="4" t="n">
        <v>108000</v>
      </c>
      <c r="E507" s="4" t="n">
        <v>106250</v>
      </c>
      <c r="F507" s="4" t="n">
        <v>-900</v>
      </c>
      <c r="G507" s="5" t="inlineStr">
        <is>
          <t>元/吨</t>
        </is>
      </c>
      <c r="H507" s="5" t="inlineStr">
        <is>
          <t>SMM</t>
        </is>
      </c>
    </row>
    <row r="508">
      <c r="A508" s="2" t="inlineStr">
        <is>
          <t>2026/06/25</t>
        </is>
      </c>
      <c r="B508" s="2" t="inlineStr">
        <is>
          <t>氯化镍NiCl₂·6H₂O</t>
        </is>
      </c>
      <c r="C508" s="3" t="n">
        <v>38500</v>
      </c>
      <c r="D508" s="4" t="n">
        <v>41000</v>
      </c>
      <c r="E508" s="4" t="n">
        <v>39750</v>
      </c>
      <c r="F508" s="4" t="n">
        <v>0</v>
      </c>
      <c r="G508" s="5" t="inlineStr">
        <is>
          <t>元/吨</t>
        </is>
      </c>
      <c r="H508" s="5" t="inlineStr">
        <is>
          <t>SMM</t>
        </is>
      </c>
    </row>
    <row r="509">
      <c r="A509" s="2" t="inlineStr">
        <is>
          <t>2026/06/25</t>
        </is>
      </c>
      <c r="B509" s="2" t="inlineStr">
        <is>
          <t>津巴布韦锂辉石精矿（CIF中国）现货</t>
        </is>
      </c>
      <c r="C509" s="3" t="n">
        <v>2380</v>
      </c>
      <c r="D509" s="4" t="n">
        <v>2450</v>
      </c>
      <c r="E509" s="4" t="n">
        <v>2415</v>
      </c>
      <c r="F509" s="6" t="n">
        <v>-60</v>
      </c>
      <c r="G509" s="5" t="inlineStr">
        <is>
          <t>美元/吨</t>
        </is>
      </c>
      <c r="H509" s="5" t="inlineStr">
        <is>
          <t>SMM</t>
        </is>
      </c>
    </row>
    <row r="510">
      <c r="A510" s="2" t="inlineStr">
        <is>
          <t>2026/06/25</t>
        </is>
      </c>
      <c r="B510" s="2" t="inlineStr">
        <is>
          <t>澳大利亚锂辉石精矿（CIF中国）现货</t>
        </is>
      </c>
      <c r="C510" s="3" t="n">
        <v>2200</v>
      </c>
      <c r="D510" s="4" t="n">
        <v>2330</v>
      </c>
      <c r="E510" s="4" t="n">
        <v>2265</v>
      </c>
      <c r="F510" s="4" t="n">
        <v>0</v>
      </c>
      <c r="G510" s="5" t="inlineStr">
        <is>
          <t>美元/吨</t>
        </is>
      </c>
      <c r="H510" s="5" t="inlineStr">
        <is>
          <t>SMM</t>
        </is>
      </c>
    </row>
    <row r="511">
      <c r="A511" s="2" t="inlineStr">
        <is>
          <t>2026/06/25</t>
        </is>
      </c>
      <c r="B511" s="2" t="inlineStr">
        <is>
          <t>电池级无水氯化锂</t>
        </is>
      </c>
      <c r="C511" s="3" t="n">
        <v>230</v>
      </c>
      <c r="D511" s="4" t="n">
        <v>290</v>
      </c>
      <c r="E511" s="4" t="n">
        <v>260</v>
      </c>
      <c r="F511" s="4" t="n">
        <v>0</v>
      </c>
      <c r="G511" s="5" t="inlineStr">
        <is>
          <t>元/千克</t>
        </is>
      </c>
      <c r="H511" s="5" t="inlineStr">
        <is>
          <t>SMM</t>
        </is>
      </c>
    </row>
    <row r="512">
      <c r="A512" s="2" t="inlineStr">
        <is>
          <t>2026/06/25</t>
        </is>
      </c>
      <c r="B512" s="2" t="inlineStr">
        <is>
          <t>电池级氟化锂</t>
        </is>
      </c>
      <c r="C512" s="3" t="n">
        <v>270000</v>
      </c>
      <c r="D512" s="4" t="n">
        <v>280000</v>
      </c>
      <c r="E512" s="4" t="n">
        <v>275000</v>
      </c>
      <c r="F512" s="4" t="n">
        <v>-1000</v>
      </c>
      <c r="G512" s="5" t="inlineStr">
        <is>
          <t>元/吨</t>
        </is>
      </c>
      <c r="H512" s="5" t="inlineStr">
        <is>
          <t>SMM</t>
        </is>
      </c>
    </row>
    <row r="513">
      <c r="A513" s="2" t="inlineStr">
        <is>
          <t>2026/06/25</t>
        </is>
      </c>
      <c r="B513" s="2" t="inlineStr">
        <is>
          <t>电池级氢氧化锂(CIF中日韩)</t>
        </is>
      </c>
      <c r="C513" s="7" t="n">
        <v>17.4</v>
      </c>
      <c r="D513" s="6" t="n">
        <v>20.2</v>
      </c>
      <c r="E513" s="6" t="n">
        <v>18.8</v>
      </c>
      <c r="F513" s="6" t="n">
        <v>-0.05</v>
      </c>
      <c r="G513" s="5" t="inlineStr">
        <is>
          <t>美元/千克</t>
        </is>
      </c>
      <c r="H513" s="5" t="inlineStr">
        <is>
          <t>SMM</t>
        </is>
      </c>
    </row>
    <row r="514">
      <c r="A514" s="2" t="inlineStr">
        <is>
          <t>2026/06/25</t>
        </is>
      </c>
      <c r="B514" s="2" t="inlineStr">
        <is>
          <t>电池级氢氧化锂(CIF韩国)</t>
        </is>
      </c>
      <c r="C514" s="7" t="n">
        <v>17.1</v>
      </c>
      <c r="D514" s="6" t="n">
        <v>20.3</v>
      </c>
      <c r="E514" s="6" t="n">
        <v>18.7</v>
      </c>
      <c r="F514" s="6" t="n">
        <v>-0.05</v>
      </c>
      <c r="G514" s="5" t="inlineStr">
        <is>
          <t>美元/千克</t>
        </is>
      </c>
      <c r="H514" s="5" t="inlineStr">
        <is>
          <t>SMM</t>
        </is>
      </c>
    </row>
    <row r="515">
      <c r="A515" s="2" t="inlineStr">
        <is>
          <t>2026/06/25</t>
        </is>
      </c>
      <c r="B515" s="2" t="inlineStr">
        <is>
          <t>电池级氢氧化锂(微粉）</t>
        </is>
      </c>
      <c r="C515" s="3" t="n">
        <v>141500</v>
      </c>
      <c r="D515" s="4" t="n">
        <v>157500</v>
      </c>
      <c r="E515" s="4" t="n">
        <v>149500</v>
      </c>
      <c r="F515" s="4" t="n">
        <v>-500</v>
      </c>
      <c r="G515" s="5" t="inlineStr">
        <is>
          <t>元/吨</t>
        </is>
      </c>
      <c r="H515" s="5" t="inlineStr">
        <is>
          <t>SMM</t>
        </is>
      </c>
    </row>
    <row r="516">
      <c r="A516" s="2" t="inlineStr">
        <is>
          <t>2026/06/25</t>
        </is>
      </c>
      <c r="B516" s="2" t="inlineStr">
        <is>
          <t>电池级氢氧化锂（粗颗粒）</t>
        </is>
      </c>
      <c r="C516" s="3" t="n">
        <v>133500</v>
      </c>
      <c r="D516" s="4" t="n">
        <v>153500</v>
      </c>
      <c r="E516" s="4" t="n">
        <v>143500</v>
      </c>
      <c r="F516" s="4" t="n">
        <v>-500</v>
      </c>
      <c r="G516" s="5" t="inlineStr">
        <is>
          <t>元/吨</t>
        </is>
      </c>
      <c r="H516" s="5" t="inlineStr">
        <is>
          <t>SMM</t>
        </is>
      </c>
    </row>
    <row r="517">
      <c r="A517" s="2" t="inlineStr">
        <is>
          <t>2026/06/25</t>
        </is>
      </c>
      <c r="B517" s="2" t="inlineStr">
        <is>
          <t>电池级硫酸锰（出厂价）</t>
        </is>
      </c>
      <c r="C517" s="3" t="n">
        <v>7570</v>
      </c>
      <c r="D517" s="4" t="n">
        <v>7770</v>
      </c>
      <c r="E517" s="4" t="n">
        <v>7670</v>
      </c>
      <c r="F517" s="4" t="n">
        <v>0</v>
      </c>
      <c r="G517" s="5" t="inlineStr">
        <is>
          <t>元/吨</t>
        </is>
      </c>
      <c r="H517" s="5" t="inlineStr">
        <is>
          <t>SMM</t>
        </is>
      </c>
    </row>
    <row r="518">
      <c r="A518" s="2" t="inlineStr">
        <is>
          <t>2026/06/25</t>
        </is>
      </c>
      <c r="B518" s="2" t="inlineStr">
        <is>
          <t>电池级硫酸镍</t>
        </is>
      </c>
      <c r="C518" s="3" t="n">
        <v>32300</v>
      </c>
      <c r="D518" s="4" t="n">
        <v>32700</v>
      </c>
      <c r="E518" s="4" t="n">
        <v>32500</v>
      </c>
      <c r="F518" s="4" t="n">
        <v>-300</v>
      </c>
      <c r="G518" s="5" t="inlineStr">
        <is>
          <t>元/吨</t>
        </is>
      </c>
      <c r="H518" s="5" t="inlineStr">
        <is>
          <t>SMM</t>
        </is>
      </c>
    </row>
    <row r="519">
      <c r="A519" s="2" t="inlineStr">
        <is>
          <t>2026/06/25</t>
        </is>
      </c>
      <c r="B519" s="2" t="inlineStr">
        <is>
          <t>电池级碳酸锂</t>
        </is>
      </c>
      <c r="C519" s="3" t="n">
        <v>153000</v>
      </c>
      <c r="D519" s="4" t="n">
        <v>161000</v>
      </c>
      <c r="E519" s="4" t="n">
        <v>157000</v>
      </c>
      <c r="F519" s="4" t="n">
        <v>-500</v>
      </c>
      <c r="G519" s="5" t="inlineStr">
        <is>
          <t>元/吨</t>
        </is>
      </c>
      <c r="H519" s="5" t="inlineStr">
        <is>
          <t>SMM</t>
        </is>
      </c>
    </row>
    <row r="520">
      <c r="A520" s="2" t="inlineStr">
        <is>
          <t>2026/06/25</t>
        </is>
      </c>
      <c r="B520" s="2" t="inlineStr">
        <is>
          <t>电池级碳酸锂(CIF韩国)</t>
        </is>
      </c>
      <c r="C520" s="7" t="n">
        <v>19.2</v>
      </c>
      <c r="D520" s="6" t="n">
        <v>21.4</v>
      </c>
      <c r="E520" s="6" t="n">
        <v>20.3</v>
      </c>
      <c r="F520" s="6" t="n">
        <v>-0.05</v>
      </c>
      <c r="G520" s="5" t="inlineStr">
        <is>
          <t>美元/千克</t>
        </is>
      </c>
      <c r="H520" s="5" t="inlineStr">
        <is>
          <t>SMM</t>
        </is>
      </c>
    </row>
    <row r="521">
      <c r="A521" s="2" t="inlineStr">
        <is>
          <t>2026/06/25</t>
        </is>
      </c>
      <c r="B521" s="2" t="inlineStr">
        <is>
          <t>电池级碳酸锂（CIF中日韩）</t>
        </is>
      </c>
      <c r="C521" s="7" t="n">
        <v>19.3</v>
      </c>
      <c r="D521" s="6" t="n">
        <v>21.4</v>
      </c>
      <c r="E521" s="6" t="n">
        <v>20.35</v>
      </c>
      <c r="F521" s="6" t="n">
        <v>-0.05</v>
      </c>
      <c r="G521" s="5" t="inlineStr">
        <is>
          <t>美元/千克</t>
        </is>
      </c>
      <c r="H521" s="5" t="inlineStr">
        <is>
          <t>SMM</t>
        </is>
      </c>
    </row>
    <row r="522">
      <c r="A522" s="2" t="inlineStr">
        <is>
          <t>2026/06/25</t>
        </is>
      </c>
      <c r="B522" s="2" t="inlineStr">
        <is>
          <t>电池级金属锂</t>
        </is>
      </c>
      <c r="C522" s="3" t="n">
        <v>1090000</v>
      </c>
      <c r="D522" s="4" t="n">
        <v>1130000</v>
      </c>
      <c r="E522" s="4" t="n">
        <v>1110000</v>
      </c>
      <c r="F522" s="4" t="n">
        <v>0</v>
      </c>
      <c r="G522" s="5" t="inlineStr">
        <is>
          <t>元/吨</t>
        </is>
      </c>
      <c r="H522" s="5" t="inlineStr">
        <is>
          <t>SMM</t>
        </is>
      </c>
    </row>
    <row r="523">
      <c r="A523" s="2" t="inlineStr">
        <is>
          <t>2026/06/25</t>
        </is>
      </c>
      <c r="B523" s="2" t="inlineStr">
        <is>
          <t>电解钴</t>
        </is>
      </c>
      <c r="C523" s="3" t="n">
        <v>369000</v>
      </c>
      <c r="D523" s="4" t="n">
        <v>385000</v>
      </c>
      <c r="E523" s="4" t="n">
        <v>377000</v>
      </c>
      <c r="F523" s="4" t="n">
        <v>-500</v>
      </c>
      <c r="G523" s="5" t="inlineStr">
        <is>
          <t>元/吨</t>
        </is>
      </c>
      <c r="H523" s="5" t="inlineStr">
        <is>
          <t>SMM</t>
        </is>
      </c>
    </row>
    <row r="524">
      <c r="A524" s="2" t="inlineStr">
        <is>
          <t>2026/06/25</t>
        </is>
      </c>
      <c r="B524" s="2" t="inlineStr">
        <is>
          <t>电解钴（鹿特丹仓库）</t>
        </is>
      </c>
      <c r="C524" s="7" t="n">
        <v>25</v>
      </c>
      <c r="D524" s="6" t="n">
        <v>27</v>
      </c>
      <c r="E524" s="6" t="n">
        <v>26</v>
      </c>
      <c r="F524" s="6" t="n">
        <v>-0.25</v>
      </c>
      <c r="G524" s="5" t="inlineStr">
        <is>
          <t>美元/磅</t>
        </is>
      </c>
      <c r="H524" s="5" t="inlineStr">
        <is>
          <t>SMM</t>
        </is>
      </c>
    </row>
    <row r="525">
      <c r="A525" s="2" t="inlineStr">
        <is>
          <t>2026/06/25</t>
        </is>
      </c>
      <c r="B525" s="2" t="inlineStr">
        <is>
          <t>电镀级硫酸镍</t>
        </is>
      </c>
      <c r="C525" s="3" t="n">
        <v>32500</v>
      </c>
      <c r="D525" s="4" t="n">
        <v>37000</v>
      </c>
      <c r="E525" s="4" t="n">
        <v>34750</v>
      </c>
      <c r="F525" s="4" t="n">
        <v>0</v>
      </c>
      <c r="G525" s="5" t="inlineStr">
        <is>
          <t>元/吨</t>
        </is>
      </c>
      <c r="H525" s="5" t="inlineStr">
        <is>
          <t>SMM</t>
        </is>
      </c>
    </row>
    <row r="526">
      <c r="A526" s="2" t="inlineStr">
        <is>
          <t>2026/06/25</t>
        </is>
      </c>
      <c r="B526" s="2" t="inlineStr">
        <is>
          <t>硫酸钴</t>
        </is>
      </c>
      <c r="C526" s="3" t="n">
        <v>85500</v>
      </c>
      <c r="D526" s="4" t="n">
        <v>88000</v>
      </c>
      <c r="E526" s="4" t="n">
        <v>86750</v>
      </c>
      <c r="F526" s="4" t="n">
        <v>-500</v>
      </c>
      <c r="G526" s="5" t="inlineStr">
        <is>
          <t>元/吨</t>
        </is>
      </c>
      <c r="H526" s="5" t="inlineStr">
        <is>
          <t>SMM</t>
        </is>
      </c>
    </row>
    <row r="527">
      <c r="A527" s="2" t="inlineStr">
        <is>
          <t>2026/06/25</t>
        </is>
      </c>
      <c r="B527" s="2" t="inlineStr">
        <is>
          <t>碳酸钴</t>
        </is>
      </c>
      <c r="C527" s="3" t="n">
        <v>208000</v>
      </c>
      <c r="D527" s="4" t="n">
        <v>215000</v>
      </c>
      <c r="E527" s="4" t="n">
        <v>211500</v>
      </c>
      <c r="F527" s="4" t="n">
        <v>-1500</v>
      </c>
      <c r="G527" s="5" t="inlineStr">
        <is>
          <t>元/吨</t>
        </is>
      </c>
      <c r="H527" s="5" t="inlineStr">
        <is>
          <t>SMM</t>
        </is>
      </c>
    </row>
    <row r="528">
      <c r="A528" s="2" t="inlineStr">
        <is>
          <t>2026/06/25</t>
        </is>
      </c>
      <c r="B528" s="2" t="inlineStr">
        <is>
          <t>磷酸铁锂</t>
        </is>
      </c>
      <c r="C528" s="3" t="n">
        <v>56670</v>
      </c>
      <c r="D528" s="4" t="n">
        <v>57270</v>
      </c>
      <c r="E528" s="4" t="n">
        <v>56970</v>
      </c>
      <c r="F528" s="4" t="n">
        <v>-120</v>
      </c>
      <c r="G528" s="5" t="inlineStr">
        <is>
          <t>元/吨</t>
        </is>
      </c>
      <c r="H528" s="5" t="inlineStr">
        <is>
          <t>SMM</t>
        </is>
      </c>
    </row>
    <row r="529">
      <c r="A529" s="2" t="inlineStr">
        <is>
          <t>2026/06/25</t>
        </is>
      </c>
      <c r="B529" s="2" t="inlineStr">
        <is>
          <t>磷酸锰铁锂</t>
        </is>
      </c>
      <c r="C529" s="3" t="n">
        <v>62500</v>
      </c>
      <c r="D529" s="4" t="n">
        <v>67500</v>
      </c>
      <c r="E529" s="4" t="n">
        <v>65000</v>
      </c>
      <c r="F529" s="4" t="n">
        <v>0</v>
      </c>
      <c r="G529" s="5" t="inlineStr">
        <is>
          <t>元/吨</t>
        </is>
      </c>
      <c r="H529" s="5" t="inlineStr">
        <is>
          <t>SMM</t>
        </is>
      </c>
    </row>
    <row r="530">
      <c r="A530" s="2" t="inlineStr">
        <is>
          <t>2026/06/25</t>
        </is>
      </c>
      <c r="B530" s="2" t="inlineStr">
        <is>
          <t>金属钴FOB</t>
        </is>
      </c>
      <c r="C530" s="7" t="n">
        <v>24</v>
      </c>
      <c r="D530" s="6" t="n">
        <v>25</v>
      </c>
      <c r="E530" s="6" t="n">
        <v>24.5</v>
      </c>
      <c r="F530" s="4" t="n">
        <v>0</v>
      </c>
      <c r="G530" s="5" t="inlineStr">
        <is>
          <t>美元/磅</t>
        </is>
      </c>
      <c r="H530" s="5" t="inlineStr">
        <is>
          <t>SMM</t>
        </is>
      </c>
    </row>
    <row r="531">
      <c r="A531" s="2" t="inlineStr">
        <is>
          <t>2026/06/25</t>
        </is>
      </c>
      <c r="B531" s="2" t="inlineStr">
        <is>
          <t>钴中间品中钴含量≥30%</t>
        </is>
      </c>
      <c r="C531" s="3" t="n">
        <v>26122</v>
      </c>
      <c r="D531" s="4" t="n">
        <v>26122</v>
      </c>
      <c r="E531" s="4" t="n">
        <v>26122</v>
      </c>
      <c r="F531" s="4" t="n">
        <v>-661</v>
      </c>
      <c r="G531" s="5" t="inlineStr">
        <is>
          <t>元/金属吨</t>
        </is>
      </c>
      <c r="H531" s="5" t="inlineStr">
        <is>
          <t>SMM</t>
        </is>
      </c>
    </row>
    <row r="532">
      <c r="A532" s="2" t="inlineStr">
        <is>
          <t>2026/06/25</t>
        </is>
      </c>
      <c r="B532" s="2" t="inlineStr">
        <is>
          <t>钴中间品原料计价系数（对SMM硫酸钴均价）</t>
        </is>
      </c>
      <c r="C532" s="7" t="n">
        <v>99</v>
      </c>
      <c r="D532" s="4" t="n">
        <v>100</v>
      </c>
      <c r="E532" s="6" t="n">
        <v>99.5</v>
      </c>
      <c r="F532" s="4" t="n">
        <v>0</v>
      </c>
      <c r="G532" s="5" t="inlineStr">
        <is>
          <t>%</t>
        </is>
      </c>
      <c r="H532" s="5" t="inlineStr">
        <is>
          <t>SMM</t>
        </is>
      </c>
    </row>
    <row r="533">
      <c r="A533" s="2" t="inlineStr">
        <is>
          <t>2026/06/25</t>
        </is>
      </c>
      <c r="B533" s="2" t="inlineStr">
        <is>
          <t>钴酸锂</t>
        </is>
      </c>
      <c r="C533" s="3" t="n">
        <v>373000</v>
      </c>
      <c r="D533" s="4" t="n">
        <v>376000</v>
      </c>
      <c r="E533" s="4" t="n">
        <v>374500</v>
      </c>
      <c r="F533" s="4" t="n">
        <v>-3000</v>
      </c>
      <c r="G533" s="5" t="inlineStr">
        <is>
          <t>元/吨</t>
        </is>
      </c>
      <c r="H533" s="5" t="inlineStr">
        <is>
          <t>SMM</t>
        </is>
      </c>
    </row>
    <row r="534">
      <c r="A534" s="2" t="inlineStr">
        <is>
          <t>2026/06/25</t>
        </is>
      </c>
      <c r="B534" s="2" t="inlineStr">
        <is>
          <t>钴酸锂聚合物软包</t>
        </is>
      </c>
      <c r="C534" s="3" t="n">
        <v>97000</v>
      </c>
      <c r="D534" s="4" t="n">
        <v>99400</v>
      </c>
      <c r="E534" s="4" t="n">
        <v>98200</v>
      </c>
      <c r="F534" s="4" t="n">
        <v>-300</v>
      </c>
      <c r="G534" s="5" t="inlineStr">
        <is>
          <t>元/吨</t>
        </is>
      </c>
      <c r="H534" s="5" t="inlineStr">
        <is>
          <t>SMM</t>
        </is>
      </c>
    </row>
    <row r="535">
      <c r="A535" s="2" t="inlineStr">
        <is>
          <t>2026/06/25</t>
        </is>
      </c>
      <c r="B535" s="2" t="inlineStr">
        <is>
          <t>钴酸锂铝壳</t>
        </is>
      </c>
      <c r="C535" s="3" t="n">
        <v>84000</v>
      </c>
      <c r="D535" s="4" t="n">
        <v>91500</v>
      </c>
      <c r="E535" s="4" t="n">
        <v>87750</v>
      </c>
      <c r="F535" s="4" t="n">
        <v>-350</v>
      </c>
      <c r="G535" s="5" t="inlineStr">
        <is>
          <t>元/吨</t>
        </is>
      </c>
      <c r="H535" s="5" t="inlineStr">
        <is>
          <t>SMM</t>
        </is>
      </c>
    </row>
    <row r="536">
      <c r="A536" s="2" t="inlineStr">
        <is>
          <t>2026/06/25</t>
        </is>
      </c>
      <c r="B536" s="2" t="inlineStr">
        <is>
          <t>锰酸锂圆柱钢壳</t>
        </is>
      </c>
      <c r="C536" s="3" t="n">
        <v>5000</v>
      </c>
      <c r="D536" s="4" t="n">
        <v>7400</v>
      </c>
      <c r="E536" s="4" t="n">
        <v>6200</v>
      </c>
      <c r="F536" s="4" t="n">
        <v>0</v>
      </c>
      <c r="G536" s="5" t="inlineStr">
        <is>
          <t>元/吨</t>
        </is>
      </c>
      <c r="H536" s="5" t="inlineStr">
        <is>
          <t>SMM</t>
        </is>
      </c>
    </row>
    <row r="537">
      <c r="A537" s="2" t="inlineStr">
        <is>
          <t>2026/06/25</t>
        </is>
      </c>
      <c r="B537" s="2" t="inlineStr">
        <is>
          <t>非洲硫酸锂(CIF中国)</t>
        </is>
      </c>
      <c r="C537" s="3" t="n">
        <v>7347</v>
      </c>
      <c r="D537" s="4" t="n">
        <v>7779</v>
      </c>
      <c r="E537" s="4" t="n">
        <v>7563</v>
      </c>
      <c r="F537" s="6" t="n">
        <v>-46</v>
      </c>
      <c r="G537" s="5" t="inlineStr">
        <is>
          <t>美元/吨</t>
        </is>
      </c>
      <c r="H537" s="5" t="inlineStr">
        <is>
          <t>SMM</t>
        </is>
      </c>
    </row>
    <row r="538">
      <c r="A538" s="2" t="inlineStr">
        <is>
          <t>2026/06/25</t>
        </is>
      </c>
      <c r="B538" s="2" t="inlineStr">
        <is>
          <t>非洲锂辉石精矿（CIF中国）指数</t>
        </is>
      </c>
      <c r="C538" s="3" t="n">
        <v>2398</v>
      </c>
      <c r="D538" s="4" t="n">
        <v>2398</v>
      </c>
      <c r="E538" s="4" t="n">
        <v>2398</v>
      </c>
      <c r="F538" s="6" t="n">
        <v>-72</v>
      </c>
      <c r="G538" s="5" t="inlineStr">
        <is>
          <t>美元/吨</t>
        </is>
      </c>
      <c r="H538" s="5" t="inlineStr">
        <is>
          <t>SMM</t>
        </is>
      </c>
    </row>
    <row r="539">
      <c r="A539" s="2" t="inlineStr">
        <is>
          <t>2026/06/26</t>
        </is>
      </c>
      <c r="B539" s="2" t="inlineStr">
        <is>
          <t>5系三元前驱体</t>
        </is>
      </c>
      <c r="C539" s="3" t="n">
        <v>98350</v>
      </c>
      <c r="D539" s="4" t="n">
        <v>103450</v>
      </c>
      <c r="E539" s="4" t="n">
        <v>100900</v>
      </c>
      <c r="F539" s="4" t="n">
        <v>-350</v>
      </c>
      <c r="G539" s="5" t="inlineStr">
        <is>
          <t>元/吨</t>
        </is>
      </c>
      <c r="H539" s="5" t="inlineStr">
        <is>
          <t>SMM</t>
        </is>
      </c>
    </row>
    <row r="540">
      <c r="A540" s="2" t="inlineStr">
        <is>
          <t>2026/06/26</t>
        </is>
      </c>
      <c r="B540" s="2" t="inlineStr">
        <is>
          <t>5系三元材料</t>
        </is>
      </c>
      <c r="C540" s="3" t="n">
        <v>180100</v>
      </c>
      <c r="D540" s="4" t="n">
        <v>187200</v>
      </c>
      <c r="E540" s="4" t="n">
        <v>183650</v>
      </c>
      <c r="F540" s="4" t="n">
        <v>-1300</v>
      </c>
      <c r="G540" s="5" t="inlineStr">
        <is>
          <t>元/吨</t>
        </is>
      </c>
      <c r="H540" s="5" t="inlineStr">
        <is>
          <t>SMM</t>
        </is>
      </c>
    </row>
    <row r="541">
      <c r="A541" s="2" t="inlineStr">
        <is>
          <t>2026/06/26</t>
        </is>
      </c>
      <c r="B541" s="2" t="inlineStr">
        <is>
          <t>6系三元前驱体（单晶/动力型）</t>
        </is>
      </c>
      <c r="C541" s="3" t="n">
        <v>91250</v>
      </c>
      <c r="D541" s="4" t="n">
        <v>95950</v>
      </c>
      <c r="E541" s="4" t="n">
        <v>93600</v>
      </c>
      <c r="F541" s="4" t="n">
        <v>-300</v>
      </c>
      <c r="G541" s="5" t="inlineStr">
        <is>
          <t>元/吨</t>
        </is>
      </c>
      <c r="H541" s="5" t="inlineStr">
        <is>
          <t>SMM</t>
        </is>
      </c>
    </row>
    <row r="542">
      <c r="A542" s="2" t="inlineStr">
        <is>
          <t>2026/06/26</t>
        </is>
      </c>
      <c r="B542" s="2" t="inlineStr">
        <is>
          <t>6系三元材料（单晶/动力型）</t>
        </is>
      </c>
      <c r="C542" s="3" t="n">
        <v>183200</v>
      </c>
      <c r="D542" s="4" t="n">
        <v>192700</v>
      </c>
      <c r="E542" s="4" t="n">
        <v>187950</v>
      </c>
      <c r="F542" s="4" t="n">
        <v>-1700</v>
      </c>
      <c r="G542" s="5" t="inlineStr">
        <is>
          <t>元/吨</t>
        </is>
      </c>
      <c r="H542" s="5" t="inlineStr">
        <is>
          <t>SMM</t>
        </is>
      </c>
    </row>
    <row r="543">
      <c r="A543" s="2" t="inlineStr">
        <is>
          <t>2026/06/26</t>
        </is>
      </c>
      <c r="B543" s="2" t="inlineStr">
        <is>
          <t>8系三元前驱体（多晶/动力型）</t>
        </is>
      </c>
      <c r="C543" s="3" t="n">
        <v>112800</v>
      </c>
      <c r="D543" s="4" t="n">
        <v>118500</v>
      </c>
      <c r="E543" s="4" t="n">
        <v>115650</v>
      </c>
      <c r="F543" s="4" t="n">
        <v>-400</v>
      </c>
      <c r="G543" s="5" t="inlineStr">
        <is>
          <t>元/吨</t>
        </is>
      </c>
      <c r="H543" s="5" t="inlineStr">
        <is>
          <t>SMM</t>
        </is>
      </c>
    </row>
    <row r="544">
      <c r="A544" s="2" t="inlineStr">
        <is>
          <t>2026/06/26</t>
        </is>
      </c>
      <c r="B544" s="2" t="inlineStr">
        <is>
          <t>8系三元材料</t>
        </is>
      </c>
      <c r="C544" s="3" t="n">
        <v>206000</v>
      </c>
      <c r="D544" s="4" t="n">
        <v>215600</v>
      </c>
      <c r="E544" s="4" t="n">
        <v>210800</v>
      </c>
      <c r="F544" s="4" t="n">
        <v>-1800</v>
      </c>
      <c r="G544" s="5" t="inlineStr">
        <is>
          <t>元/吨</t>
        </is>
      </c>
      <c r="H544" s="5" t="inlineStr">
        <is>
          <t>SMM</t>
        </is>
      </c>
    </row>
    <row r="545">
      <c r="A545" s="2" t="inlineStr">
        <is>
          <t>2026/06/26</t>
        </is>
      </c>
      <c r="B545" s="2" t="inlineStr">
        <is>
          <t>MHP系数（对SMM电池级硫酸镍指数）</t>
        </is>
      </c>
      <c r="C545" s="7" t="n">
        <v>81.5</v>
      </c>
      <c r="D545" s="6" t="n">
        <v>83</v>
      </c>
      <c r="E545" s="6" t="n">
        <v>82.25</v>
      </c>
      <c r="F545" s="6" t="n">
        <v>0.25</v>
      </c>
      <c r="G545" s="5" t="inlineStr">
        <is>
          <t>%</t>
        </is>
      </c>
      <c r="H545" s="5" t="inlineStr">
        <is>
          <t>SMM</t>
        </is>
      </c>
    </row>
    <row r="546">
      <c r="A546" s="2" t="inlineStr">
        <is>
          <t>2026/06/26</t>
        </is>
      </c>
      <c r="B546" s="2" t="inlineStr">
        <is>
          <t>MHP钴元素计价系数（对SMM硫酸钴均价）</t>
        </is>
      </c>
      <c r="C546" s="7" t="n">
        <v>92</v>
      </c>
      <c r="D546" s="6" t="n">
        <v>93</v>
      </c>
      <c r="E546" s="6" t="n">
        <v>92.5</v>
      </c>
      <c r="F546" s="4" t="n">
        <v>0</v>
      </c>
      <c r="G546" s="5" t="inlineStr">
        <is>
          <t>%</t>
        </is>
      </c>
      <c r="H546" s="5" t="inlineStr">
        <is>
          <t>SMM</t>
        </is>
      </c>
    </row>
    <row r="547">
      <c r="A547" s="2" t="inlineStr">
        <is>
          <t>2026/06/26</t>
        </is>
      </c>
      <c r="B547" s="2" t="inlineStr">
        <is>
          <t>NCA三元材料</t>
        </is>
      </c>
      <c r="C547" s="3" t="n">
        <v>204200</v>
      </c>
      <c r="D547" s="4" t="n">
        <v>212700</v>
      </c>
      <c r="E547" s="4" t="n">
        <v>208450</v>
      </c>
      <c r="F547" s="4" t="n">
        <v>-800</v>
      </c>
      <c r="G547" s="5" t="inlineStr">
        <is>
          <t>元/吨</t>
        </is>
      </c>
      <c r="H547" s="5" t="inlineStr">
        <is>
          <t>SMM</t>
        </is>
      </c>
    </row>
    <row r="548">
      <c r="A548" s="2" t="inlineStr">
        <is>
          <t>2026/06/26</t>
        </is>
      </c>
      <c r="B548" s="2" t="inlineStr">
        <is>
          <t>SMM三元极片粉钴系数指数</t>
        </is>
      </c>
      <c r="C548" s="7" t="n">
        <v>78.31999999999999</v>
      </c>
      <c r="D548" s="6" t="n">
        <v>78.31999999999999</v>
      </c>
      <c r="E548" s="6" t="n">
        <v>78.31999999999999</v>
      </c>
      <c r="F548" s="4" t="n">
        <v>0</v>
      </c>
      <c r="G548" s="5" t="inlineStr">
        <is>
          <t>%</t>
        </is>
      </c>
      <c r="H548" s="5" t="inlineStr">
        <is>
          <t>SMM</t>
        </is>
      </c>
    </row>
    <row r="549">
      <c r="A549" s="2" t="inlineStr">
        <is>
          <t>2026/06/26</t>
        </is>
      </c>
      <c r="B549" s="2" t="inlineStr">
        <is>
          <t>SMM三元极片粉锂系数指数</t>
        </is>
      </c>
      <c r="C549" s="7" t="n">
        <v>78.31999999999999</v>
      </c>
      <c r="D549" s="6" t="n">
        <v>78.31999999999999</v>
      </c>
      <c r="E549" s="6" t="n">
        <v>78.31999999999999</v>
      </c>
      <c r="F549" s="6" t="n">
        <v>-0.01</v>
      </c>
      <c r="G549" s="5" t="inlineStr">
        <is>
          <t>%</t>
        </is>
      </c>
      <c r="H549" s="5" t="inlineStr">
        <is>
          <t>SMM</t>
        </is>
      </c>
    </row>
    <row r="550">
      <c r="A550" s="2" t="inlineStr">
        <is>
          <t>2026/06/26</t>
        </is>
      </c>
      <c r="B550" s="2" t="inlineStr">
        <is>
          <t>SMM三元极片粉镍系数指数</t>
        </is>
      </c>
      <c r="C550" s="7" t="n">
        <v>78.31999999999999</v>
      </c>
      <c r="D550" s="6" t="n">
        <v>78.31999999999999</v>
      </c>
      <c r="E550" s="6" t="n">
        <v>78.31999999999999</v>
      </c>
      <c r="F550" s="6" t="n">
        <v>-0.01</v>
      </c>
      <c r="G550" s="5" t="inlineStr">
        <is>
          <t>%</t>
        </is>
      </c>
      <c r="H550" s="5" t="inlineStr">
        <is>
          <t>SMM</t>
        </is>
      </c>
    </row>
    <row r="551">
      <c r="A551" s="2" t="inlineStr">
        <is>
          <t>2026/06/26</t>
        </is>
      </c>
      <c r="B551" s="2" t="inlineStr">
        <is>
          <t>SMM三元电池粉钴系数指数</t>
        </is>
      </c>
      <c r="C551" s="7" t="n">
        <v>74.8</v>
      </c>
      <c r="D551" s="6" t="n">
        <v>74.8</v>
      </c>
      <c r="E551" s="6" t="n">
        <v>74.8</v>
      </c>
      <c r="F551" s="4" t="n">
        <v>0</v>
      </c>
      <c r="G551" s="5" t="inlineStr">
        <is>
          <t>%</t>
        </is>
      </c>
      <c r="H551" s="5" t="inlineStr">
        <is>
          <t>SMM</t>
        </is>
      </c>
    </row>
    <row r="552">
      <c r="A552" s="2" t="inlineStr">
        <is>
          <t>2026/06/26</t>
        </is>
      </c>
      <c r="B552" s="2" t="inlineStr">
        <is>
          <t>SMM三元电池粉锂系数指数</t>
        </is>
      </c>
      <c r="C552" s="7" t="n">
        <v>74.8</v>
      </c>
      <c r="D552" s="6" t="n">
        <v>74.8</v>
      </c>
      <c r="E552" s="6" t="n">
        <v>74.8</v>
      </c>
      <c r="F552" s="4" t="n">
        <v>0</v>
      </c>
      <c r="G552" s="5" t="inlineStr">
        <is>
          <t>%</t>
        </is>
      </c>
      <c r="H552" s="5" t="inlineStr">
        <is>
          <t>SMM</t>
        </is>
      </c>
    </row>
    <row r="553">
      <c r="A553" s="2" t="inlineStr">
        <is>
          <t>2026/06/26</t>
        </is>
      </c>
      <c r="B553" s="2" t="inlineStr">
        <is>
          <t>SMM三元电池粉镍系数指数</t>
        </is>
      </c>
      <c r="C553" s="7" t="n">
        <v>74.8</v>
      </c>
      <c r="D553" s="6" t="n">
        <v>74.8</v>
      </c>
      <c r="E553" s="6" t="n">
        <v>74.8</v>
      </c>
      <c r="F553" s="4" t="n">
        <v>0</v>
      </c>
      <c r="G553" s="5" t="inlineStr">
        <is>
          <t>%</t>
        </is>
      </c>
      <c r="H553" s="5" t="inlineStr">
        <is>
          <t>SMM</t>
        </is>
      </c>
    </row>
    <row r="554">
      <c r="A554" s="2" t="inlineStr">
        <is>
          <t>2026/06/26</t>
        </is>
      </c>
      <c r="B554" s="2" t="inlineStr">
        <is>
          <t>SMM六氟磷酸锂指数</t>
        </is>
      </c>
      <c r="C554" s="3" t="n">
        <v>100240</v>
      </c>
      <c r="D554" s="4" t="n">
        <v>104331</v>
      </c>
      <c r="E554" s="4" t="n">
        <v>102285.5</v>
      </c>
      <c r="F554" s="4" t="n">
        <v>-510.5</v>
      </c>
      <c r="G554" s="5" t="inlineStr">
        <is>
          <t>元/吨</t>
        </is>
      </c>
      <c r="H554" s="5" t="inlineStr">
        <is>
          <t>SMM</t>
        </is>
      </c>
    </row>
    <row r="555">
      <c r="A555" s="2" t="inlineStr">
        <is>
          <t>2026/06/26</t>
        </is>
      </c>
      <c r="B555" s="2" t="inlineStr">
        <is>
          <t>SMM电池级氢氧化锂指数</t>
        </is>
      </c>
      <c r="C555" s="3" t="n">
        <v>139288</v>
      </c>
      <c r="D555" s="4" t="n">
        <v>139288</v>
      </c>
      <c r="E555" s="4" t="n">
        <v>139288</v>
      </c>
      <c r="F555" s="4" t="n">
        <v>-4382</v>
      </c>
      <c r="G555" s="5" t="inlineStr">
        <is>
          <t>元/吨</t>
        </is>
      </c>
      <c r="H555" s="5" t="inlineStr">
        <is>
          <t>SMM</t>
        </is>
      </c>
    </row>
    <row r="556">
      <c r="A556" s="2" t="inlineStr">
        <is>
          <t>2026/06/26</t>
        </is>
      </c>
      <c r="B556" s="2" t="inlineStr">
        <is>
          <t>SMM电池级硫酸锰指数</t>
        </is>
      </c>
      <c r="C556" s="3" t="n">
        <v>7666</v>
      </c>
      <c r="D556" s="4" t="n">
        <v>7666</v>
      </c>
      <c r="E556" s="4" t="n">
        <v>7666</v>
      </c>
      <c r="F556" s="6" t="n">
        <v>12</v>
      </c>
      <c r="G556" s="5" t="inlineStr">
        <is>
          <t>元/吨</t>
        </is>
      </c>
      <c r="H556" s="5" t="inlineStr">
        <is>
          <t>SMM</t>
        </is>
      </c>
    </row>
    <row r="557">
      <c r="A557" s="2" t="inlineStr">
        <is>
          <t>2026/06/26</t>
        </is>
      </c>
      <c r="B557" s="2" t="inlineStr">
        <is>
          <t>SMM电池级硫酸镍指数</t>
        </is>
      </c>
      <c r="C557" s="3" t="n">
        <v>32551</v>
      </c>
      <c r="D557" s="4" t="n">
        <v>32551</v>
      </c>
      <c r="E557" s="4" t="n">
        <v>32551</v>
      </c>
      <c r="F557" s="6" t="n">
        <v>-91</v>
      </c>
      <c r="G557" s="5" t="inlineStr">
        <is>
          <t>元/吨</t>
        </is>
      </c>
      <c r="H557" s="5" t="inlineStr">
        <is>
          <t>SMM</t>
        </is>
      </c>
    </row>
    <row r="558">
      <c r="A558" s="2" t="inlineStr">
        <is>
          <t>2026/06/26</t>
        </is>
      </c>
      <c r="B558" s="2" t="inlineStr">
        <is>
          <t>SMM电池级碳酸锂指数</t>
        </is>
      </c>
      <c r="C558" s="3" t="n">
        <v>152571</v>
      </c>
      <c r="D558" s="4" t="n">
        <v>152571</v>
      </c>
      <c r="E558" s="4" t="n">
        <v>152571</v>
      </c>
      <c r="F558" s="4" t="n">
        <v>-4184</v>
      </c>
      <c r="G558" s="5" t="inlineStr">
        <is>
          <t>元/吨</t>
        </is>
      </c>
      <c r="H558" s="5" t="inlineStr">
        <is>
          <t>SMM</t>
        </is>
      </c>
    </row>
    <row r="559">
      <c r="A559" s="2" t="inlineStr">
        <is>
          <t>2026/06/26</t>
        </is>
      </c>
      <c r="B559" s="2" t="inlineStr">
        <is>
          <t>SMM硫酸钴指数</t>
        </is>
      </c>
      <c r="C559" s="3" t="n">
        <v>85909</v>
      </c>
      <c r="D559" s="4" t="n">
        <v>85909</v>
      </c>
      <c r="E559" s="4" t="n">
        <v>85909</v>
      </c>
      <c r="F559" s="4" t="n">
        <v>-601</v>
      </c>
      <c r="G559" s="5" t="inlineStr">
        <is>
          <t>元/吨</t>
        </is>
      </c>
      <c r="H559" s="5" t="inlineStr">
        <is>
          <t>SMM</t>
        </is>
      </c>
    </row>
    <row r="560">
      <c r="A560" s="2" t="inlineStr">
        <is>
          <t>2026/06/26</t>
        </is>
      </c>
      <c r="B560" s="2" t="inlineStr">
        <is>
          <t>SMM磷酸铁锂极片粉指数</t>
        </is>
      </c>
      <c r="C560" s="3" t="n">
        <v>6803</v>
      </c>
      <c r="D560" s="4" t="n">
        <v>6803</v>
      </c>
      <c r="E560" s="4" t="n">
        <v>6803</v>
      </c>
      <c r="F560" s="4" t="n">
        <v>-236</v>
      </c>
      <c r="G560" s="5" t="inlineStr">
        <is>
          <t>元/锂点</t>
        </is>
      </c>
      <c r="H560" s="5" t="inlineStr">
        <is>
          <t>SMM</t>
        </is>
      </c>
    </row>
    <row r="561">
      <c r="A561" s="2" t="inlineStr">
        <is>
          <t>2026/06/26</t>
        </is>
      </c>
      <c r="B561" s="2" t="inlineStr">
        <is>
          <t>SMM磷酸铁锂电池粉指数</t>
        </is>
      </c>
      <c r="C561" s="3" t="n">
        <v>6464</v>
      </c>
      <c r="D561" s="4" t="n">
        <v>6464</v>
      </c>
      <c r="E561" s="4" t="n">
        <v>6464</v>
      </c>
      <c r="F561" s="4" t="n">
        <v>-131</v>
      </c>
      <c r="G561" s="5" t="inlineStr">
        <is>
          <t>元/锂点</t>
        </is>
      </c>
      <c r="H561" s="5" t="inlineStr">
        <is>
          <t>SMM</t>
        </is>
      </c>
    </row>
    <row r="562">
      <c r="A562" s="2" t="inlineStr">
        <is>
          <t>2026/06/26</t>
        </is>
      </c>
      <c r="B562" s="2" t="inlineStr">
        <is>
          <t>SMM钴酸锂极片粉钴系数指数</t>
        </is>
      </c>
      <c r="C562" s="7" t="n">
        <v>79.68000000000001</v>
      </c>
      <c r="D562" s="6" t="n">
        <v>79.68000000000001</v>
      </c>
      <c r="E562" s="6" t="n">
        <v>79.68000000000001</v>
      </c>
      <c r="F562" s="6" t="n">
        <v>-2.1</v>
      </c>
      <c r="G562" s="5" t="inlineStr">
        <is>
          <t>%</t>
        </is>
      </c>
      <c r="H562" s="5" t="inlineStr">
        <is>
          <t>SMM</t>
        </is>
      </c>
    </row>
    <row r="563">
      <c r="A563" s="2" t="inlineStr">
        <is>
          <t>2026/06/26</t>
        </is>
      </c>
      <c r="B563" s="2" t="inlineStr">
        <is>
          <t>SMM钴酸锂极片粉锂系数指数</t>
        </is>
      </c>
      <c r="C563" s="7" t="n">
        <v>76.23</v>
      </c>
      <c r="D563" s="6" t="n">
        <v>76.23</v>
      </c>
      <c r="E563" s="6" t="n">
        <v>76.23</v>
      </c>
      <c r="F563" s="4" t="n">
        <v>0</v>
      </c>
      <c r="G563" s="5" t="inlineStr">
        <is>
          <t>%</t>
        </is>
      </c>
      <c r="H563" s="5" t="inlineStr">
        <is>
          <t>SMM</t>
        </is>
      </c>
    </row>
    <row r="564">
      <c r="A564" s="2" t="inlineStr">
        <is>
          <t>2026/06/26</t>
        </is>
      </c>
      <c r="B564" s="2" t="inlineStr">
        <is>
          <t>SMM钴酸锂电池粉钴系数指数</t>
        </is>
      </c>
      <c r="C564" s="7" t="n">
        <v>76.84</v>
      </c>
      <c r="D564" s="6" t="n">
        <v>76.84</v>
      </c>
      <c r="E564" s="6" t="n">
        <v>76.84</v>
      </c>
      <c r="F564" s="6" t="n">
        <v>-2.51</v>
      </c>
      <c r="G564" s="5" t="inlineStr">
        <is>
          <t>%</t>
        </is>
      </c>
      <c r="H564" s="5" t="inlineStr">
        <is>
          <t>SMM</t>
        </is>
      </c>
    </row>
    <row r="565">
      <c r="A565" s="2" t="inlineStr">
        <is>
          <t>2026/06/26</t>
        </is>
      </c>
      <c r="B565" s="2" t="inlineStr">
        <is>
          <t>SMM钴酸锂电池粉锂系数指数</t>
        </is>
      </c>
      <c r="C565" s="7" t="n">
        <v>75.92</v>
      </c>
      <c r="D565" s="6" t="n">
        <v>75.92</v>
      </c>
      <c r="E565" s="6" t="n">
        <v>75.92</v>
      </c>
      <c r="F565" s="4" t="n">
        <v>0</v>
      </c>
      <c r="G565" s="5" t="inlineStr">
        <is>
          <t>%</t>
        </is>
      </c>
      <c r="H565" s="5" t="inlineStr">
        <is>
          <t>SMM</t>
        </is>
      </c>
    </row>
    <row r="566">
      <c r="A566" s="2" t="inlineStr">
        <is>
          <t>2026/06/26</t>
        </is>
      </c>
      <c r="B566" s="2" t="inlineStr">
        <is>
          <t>三元方壳锂电B品</t>
        </is>
      </c>
      <c r="C566" s="7" t="n">
        <v>0.75</v>
      </c>
      <c r="D566" s="6" t="n">
        <v>0.84</v>
      </c>
      <c r="E566" s="6" t="n">
        <v>0.795</v>
      </c>
      <c r="F566" s="4" t="n">
        <v>0</v>
      </c>
      <c r="G566" s="5" t="inlineStr">
        <is>
          <t>元/Ah</t>
        </is>
      </c>
      <c r="H566" s="5" t="inlineStr">
        <is>
          <t>SMM</t>
        </is>
      </c>
    </row>
    <row r="567">
      <c r="A567" s="2" t="inlineStr">
        <is>
          <t>2026/06/26</t>
        </is>
      </c>
      <c r="B567" s="2" t="inlineStr">
        <is>
          <t>六氟磷酸锂（国产）</t>
        </is>
      </c>
      <c r="C567" s="3" t="n">
        <v>105000</v>
      </c>
      <c r="D567" s="4" t="n">
        <v>108000</v>
      </c>
      <c r="E567" s="4" t="n">
        <v>106500</v>
      </c>
      <c r="F567" s="4" t="n">
        <v>-1000</v>
      </c>
      <c r="G567" s="5" t="inlineStr">
        <is>
          <t>元/吨</t>
        </is>
      </c>
      <c r="H567" s="5" t="inlineStr">
        <is>
          <t>SMM</t>
        </is>
      </c>
    </row>
    <row r="568">
      <c r="A568" s="2" t="inlineStr">
        <is>
          <t>2026/06/26</t>
        </is>
      </c>
      <c r="B568" s="2" t="inlineStr">
        <is>
          <t>四氧化三钴</t>
        </is>
      </c>
      <c r="C568" s="3" t="n">
        <v>329000</v>
      </c>
      <c r="D568" s="4" t="n">
        <v>341000</v>
      </c>
      <c r="E568" s="4" t="n">
        <v>335000</v>
      </c>
      <c r="F568" s="4" t="n">
        <v>-1000</v>
      </c>
      <c r="G568" s="5" t="inlineStr">
        <is>
          <t>元/吨</t>
        </is>
      </c>
      <c r="H568" s="5" t="inlineStr">
        <is>
          <t>SMM</t>
        </is>
      </c>
    </row>
    <row r="569">
      <c r="A569" s="2" t="inlineStr">
        <is>
          <t>2026/06/26</t>
        </is>
      </c>
      <c r="B569" s="2" t="inlineStr">
        <is>
          <t>四氧化三锰（电池级）</t>
        </is>
      </c>
      <c r="C569" s="3" t="n">
        <v>14000</v>
      </c>
      <c r="D569" s="4" t="n">
        <v>16000</v>
      </c>
      <c r="E569" s="4" t="n">
        <v>15000</v>
      </c>
      <c r="F569" s="4" t="n">
        <v>0</v>
      </c>
      <c r="G569" s="5" t="inlineStr">
        <is>
          <t>元/吨</t>
        </is>
      </c>
      <c r="H569" s="5" t="inlineStr">
        <is>
          <t>SMM</t>
        </is>
      </c>
    </row>
    <row r="570">
      <c r="A570" s="2" t="inlineStr">
        <is>
          <t>2026/06/26</t>
        </is>
      </c>
      <c r="B570" s="2" t="inlineStr">
        <is>
          <t>工业级氢氧化锂</t>
        </is>
      </c>
      <c r="C570" s="3" t="n">
        <v>124000</v>
      </c>
      <c r="D570" s="4" t="n">
        <v>129000</v>
      </c>
      <c r="E570" s="4" t="n">
        <v>126500</v>
      </c>
      <c r="F570" s="4" t="n">
        <v>-4500</v>
      </c>
      <c r="G570" s="5" t="inlineStr">
        <is>
          <t>元/吨</t>
        </is>
      </c>
      <c r="H570" s="5" t="inlineStr">
        <is>
          <t>SMM</t>
        </is>
      </c>
    </row>
    <row r="571">
      <c r="A571" s="2" t="inlineStr">
        <is>
          <t>2026/06/26</t>
        </is>
      </c>
      <c r="B571" s="2" t="inlineStr">
        <is>
          <t>工业级碳酸锂</t>
        </is>
      </c>
      <c r="C571" s="3" t="n">
        <v>143000</v>
      </c>
      <c r="D571" s="4" t="n">
        <v>154000</v>
      </c>
      <c r="E571" s="4" t="n">
        <v>148500</v>
      </c>
      <c r="F571" s="4" t="n">
        <v>-4500</v>
      </c>
      <c r="G571" s="5" t="inlineStr">
        <is>
          <t>元/吨</t>
        </is>
      </c>
      <c r="H571" s="5" t="inlineStr">
        <is>
          <t>SMM</t>
        </is>
      </c>
    </row>
    <row r="572">
      <c r="A572" s="2" t="inlineStr">
        <is>
          <t>2026/06/26</t>
        </is>
      </c>
      <c r="B572" s="2" t="inlineStr">
        <is>
          <t>工业级金属锂</t>
        </is>
      </c>
      <c r="C572" s="3" t="n">
        <v>1060000</v>
      </c>
      <c r="D572" s="4" t="n">
        <v>1080000</v>
      </c>
      <c r="E572" s="4" t="n">
        <v>1070000</v>
      </c>
      <c r="F572" s="4" t="n">
        <v>-10000</v>
      </c>
      <c r="G572" s="5" t="inlineStr">
        <is>
          <t>元/吨</t>
        </is>
      </c>
      <c r="H572" s="5" t="inlineStr">
        <is>
          <t>SMM</t>
        </is>
      </c>
    </row>
    <row r="573">
      <c r="A573" s="2" t="inlineStr">
        <is>
          <t>2026/06/26</t>
        </is>
      </c>
      <c r="B573" s="2" t="inlineStr">
        <is>
          <t>巴西锂辉石精矿（CIF中国）现货</t>
        </is>
      </c>
      <c r="C573" s="3" t="n">
        <v>2090</v>
      </c>
      <c r="D573" s="4" t="n">
        <v>2240</v>
      </c>
      <c r="E573" s="4" t="n">
        <v>2165</v>
      </c>
      <c r="F573" s="6" t="n">
        <v>-85</v>
      </c>
      <c r="G573" s="5" t="inlineStr">
        <is>
          <t>美元/吨</t>
        </is>
      </c>
      <c r="H573" s="5" t="inlineStr">
        <is>
          <t>SMM</t>
        </is>
      </c>
    </row>
    <row r="574">
      <c r="A574" s="2" t="inlineStr">
        <is>
          <t>2026/06/26</t>
        </is>
      </c>
      <c r="B574" s="2" t="inlineStr">
        <is>
          <t>废旧磷酸铁锂储能正极片</t>
        </is>
      </c>
      <c r="C574" s="3" t="n">
        <v>20050</v>
      </c>
      <c r="D574" s="4" t="n">
        <v>23200</v>
      </c>
      <c r="E574" s="4" t="n">
        <v>21625</v>
      </c>
      <c r="F574" s="4" t="n">
        <v>-550</v>
      </c>
      <c r="G574" s="5" t="inlineStr">
        <is>
          <t>元/吨</t>
        </is>
      </c>
      <c r="H574" s="5" t="inlineStr">
        <is>
          <t>SMM</t>
        </is>
      </c>
    </row>
    <row r="575">
      <c r="A575" s="2" t="inlineStr">
        <is>
          <t>2026/06/26</t>
        </is>
      </c>
      <c r="B575" s="2" t="inlineStr">
        <is>
          <t>废旧磷酸铁锂动力正极片</t>
        </is>
      </c>
      <c r="C575" s="3" t="n">
        <v>23850</v>
      </c>
      <c r="D575" s="4" t="n">
        <v>28100</v>
      </c>
      <c r="E575" s="4" t="n">
        <v>25975</v>
      </c>
      <c r="F575" s="4" t="n">
        <v>-550</v>
      </c>
      <c r="G575" s="5" t="inlineStr">
        <is>
          <t>元/吨</t>
        </is>
      </c>
      <c r="H575" s="5" t="inlineStr">
        <is>
          <t>SMM</t>
        </is>
      </c>
    </row>
    <row r="576">
      <c r="A576" s="2" t="inlineStr">
        <is>
          <t>2026/06/26</t>
        </is>
      </c>
      <c r="B576" s="2" t="inlineStr">
        <is>
          <t>废旧磷酸铁锂软包电池</t>
        </is>
      </c>
      <c r="C576" s="3" t="n">
        <v>15300</v>
      </c>
      <c r="D576" s="4" t="n">
        <v>16800</v>
      </c>
      <c r="E576" s="4" t="n">
        <v>16050</v>
      </c>
      <c r="F576" s="4" t="n">
        <v>-200</v>
      </c>
      <c r="G576" s="5" t="inlineStr">
        <is>
          <t>元/吨</t>
        </is>
      </c>
      <c r="H576" s="5" t="inlineStr">
        <is>
          <t>SMM</t>
        </is>
      </c>
    </row>
    <row r="577">
      <c r="A577" s="2" t="inlineStr">
        <is>
          <t>2026/06/26</t>
        </is>
      </c>
      <c r="B577" s="2" t="inlineStr">
        <is>
          <t>废旧磷酸铁锂钢壳电池</t>
        </is>
      </c>
      <c r="C577" s="3" t="n">
        <v>9800</v>
      </c>
      <c r="D577" s="4" t="n">
        <v>10800</v>
      </c>
      <c r="E577" s="4" t="n">
        <v>10300</v>
      </c>
      <c r="F577" s="4" t="n">
        <v>-100</v>
      </c>
      <c r="G577" s="5" t="inlineStr">
        <is>
          <t>元/吨</t>
        </is>
      </c>
      <c r="H577" s="5" t="inlineStr">
        <is>
          <t>SMM</t>
        </is>
      </c>
    </row>
    <row r="578">
      <c r="A578" s="2" t="inlineStr">
        <is>
          <t>2026/06/26</t>
        </is>
      </c>
      <c r="B578" s="2" t="inlineStr">
        <is>
          <t>废旧磷酸铁锂铝壳电池</t>
        </is>
      </c>
      <c r="C578" s="3" t="n">
        <v>16700</v>
      </c>
      <c r="D578" s="4" t="n">
        <v>17800</v>
      </c>
      <c r="E578" s="4" t="n">
        <v>17250</v>
      </c>
      <c r="F578" s="4" t="n">
        <v>-150</v>
      </c>
      <c r="G578" s="5" t="inlineStr">
        <is>
          <t>元/吨</t>
        </is>
      </c>
      <c r="H578" s="5" t="inlineStr">
        <is>
          <t>SMM</t>
        </is>
      </c>
    </row>
    <row r="579">
      <c r="A579" s="2" t="inlineStr">
        <is>
          <t>2026/06/26</t>
        </is>
      </c>
      <c r="B579" s="2" t="inlineStr">
        <is>
          <t>方形磷酸铁锂电池B品</t>
        </is>
      </c>
      <c r="C579" s="7" t="n">
        <v>0.68</v>
      </c>
      <c r="D579" s="6" t="n">
        <v>0.8</v>
      </c>
      <c r="E579" s="6" t="n">
        <v>0.74</v>
      </c>
      <c r="F579" s="4" t="n">
        <v>0</v>
      </c>
      <c r="G579" s="5" t="inlineStr">
        <is>
          <t>元/Ah</t>
        </is>
      </c>
      <c r="H579" s="5" t="inlineStr">
        <is>
          <t>SMM</t>
        </is>
      </c>
    </row>
    <row r="580">
      <c r="A580" s="2" t="inlineStr">
        <is>
          <t>2026/06/26</t>
        </is>
      </c>
      <c r="B580" s="2" t="inlineStr">
        <is>
          <t>氧化亚镍</t>
        </is>
      </c>
      <c r="C580" s="3" t="n">
        <v>118000</v>
      </c>
      <c r="D580" s="4" t="n">
        <v>126000</v>
      </c>
      <c r="E580" s="4" t="n">
        <v>122000</v>
      </c>
      <c r="F580" s="4" t="n">
        <v>0</v>
      </c>
      <c r="G580" s="5" t="inlineStr">
        <is>
          <t>元/吨</t>
        </is>
      </c>
      <c r="H580" s="5" t="inlineStr">
        <is>
          <t>SMM</t>
        </is>
      </c>
    </row>
    <row r="581">
      <c r="A581" s="2" t="inlineStr">
        <is>
          <t>2026/06/26</t>
        </is>
      </c>
      <c r="B581" s="2" t="inlineStr">
        <is>
          <t>氧化钴</t>
        </is>
      </c>
      <c r="C581" s="3" t="n">
        <v>302000</v>
      </c>
      <c r="D581" s="4" t="n">
        <v>315000</v>
      </c>
      <c r="E581" s="4" t="n">
        <v>308500</v>
      </c>
      <c r="F581" s="4" t="n">
        <v>0</v>
      </c>
      <c r="G581" s="5" t="inlineStr">
        <is>
          <t>元/吨</t>
        </is>
      </c>
      <c r="H581" s="5" t="inlineStr">
        <is>
          <t>SMM</t>
        </is>
      </c>
    </row>
    <row r="582">
      <c r="A582" s="2" t="inlineStr">
        <is>
          <t>2026/06/26</t>
        </is>
      </c>
      <c r="B582" s="2" t="inlineStr">
        <is>
          <t>氯化钴</t>
        </is>
      </c>
      <c r="C582" s="3" t="n">
        <v>104000</v>
      </c>
      <c r="D582" s="4" t="n">
        <v>106500</v>
      </c>
      <c r="E582" s="4" t="n">
        <v>105250</v>
      </c>
      <c r="F582" s="4" t="n">
        <v>-1000</v>
      </c>
      <c r="G582" s="5" t="inlineStr">
        <is>
          <t>元/吨</t>
        </is>
      </c>
      <c r="H582" s="5" t="inlineStr">
        <is>
          <t>SMM</t>
        </is>
      </c>
    </row>
    <row r="583">
      <c r="A583" s="2" t="inlineStr">
        <is>
          <t>2026/06/26</t>
        </is>
      </c>
      <c r="B583" s="2" t="inlineStr">
        <is>
          <t>氯化镍NiCl₂·6H₂O</t>
        </is>
      </c>
      <c r="C583" s="3" t="n">
        <v>38500</v>
      </c>
      <c r="D583" s="4" t="n">
        <v>41000</v>
      </c>
      <c r="E583" s="4" t="n">
        <v>39750</v>
      </c>
      <c r="F583" s="4" t="n">
        <v>0</v>
      </c>
      <c r="G583" s="5" t="inlineStr">
        <is>
          <t>元/吨</t>
        </is>
      </c>
      <c r="H583" s="5" t="inlineStr">
        <is>
          <t>SMM</t>
        </is>
      </c>
    </row>
    <row r="584">
      <c r="A584" s="2" t="inlineStr">
        <is>
          <t>2026/06/26</t>
        </is>
      </c>
      <c r="B584" s="2" t="inlineStr">
        <is>
          <t>津巴布韦锂辉石精矿（CIF中国）现货</t>
        </is>
      </c>
      <c r="C584" s="3" t="n">
        <v>2060</v>
      </c>
      <c r="D584" s="4" t="n">
        <v>2200</v>
      </c>
      <c r="E584" s="4" t="n">
        <v>2130</v>
      </c>
      <c r="F584" s="4" t="n">
        <v>-285</v>
      </c>
      <c r="G584" s="5" t="inlineStr">
        <is>
          <t>美元/吨</t>
        </is>
      </c>
      <c r="H584" s="5" t="inlineStr">
        <is>
          <t>SMM</t>
        </is>
      </c>
    </row>
    <row r="585">
      <c r="A585" s="2" t="inlineStr">
        <is>
          <t>2026/06/26</t>
        </is>
      </c>
      <c r="B585" s="2" t="inlineStr">
        <is>
          <t>澳大利亚锂辉石精矿（CIF中国）现货</t>
        </is>
      </c>
      <c r="C585" s="3" t="n">
        <v>2110</v>
      </c>
      <c r="D585" s="4" t="n">
        <v>2250</v>
      </c>
      <c r="E585" s="4" t="n">
        <v>2180</v>
      </c>
      <c r="F585" s="6" t="n">
        <v>-85</v>
      </c>
      <c r="G585" s="5" t="inlineStr">
        <is>
          <t>美元/吨</t>
        </is>
      </c>
      <c r="H585" s="5" t="inlineStr">
        <is>
          <t>SMM</t>
        </is>
      </c>
    </row>
    <row r="586">
      <c r="A586" s="2" t="inlineStr">
        <is>
          <t>2026/06/26</t>
        </is>
      </c>
      <c r="B586" s="2" t="inlineStr">
        <is>
          <t>电池级无水氯化锂</t>
        </is>
      </c>
      <c r="C586" s="3" t="n">
        <v>230</v>
      </c>
      <c r="D586" s="4" t="n">
        <v>290</v>
      </c>
      <c r="E586" s="4" t="n">
        <v>260</v>
      </c>
      <c r="F586" s="4" t="n">
        <v>0</v>
      </c>
      <c r="G586" s="5" t="inlineStr">
        <is>
          <t>元/千克</t>
        </is>
      </c>
      <c r="H586" s="5" t="inlineStr">
        <is>
          <t>SMM</t>
        </is>
      </c>
    </row>
    <row r="587">
      <c r="A587" s="2" t="inlineStr">
        <is>
          <t>2026/06/26</t>
        </is>
      </c>
      <c r="B587" s="2" t="inlineStr">
        <is>
          <t>电池级氟化锂</t>
        </is>
      </c>
      <c r="C587" s="3" t="n">
        <v>265000</v>
      </c>
      <c r="D587" s="4" t="n">
        <v>273000</v>
      </c>
      <c r="E587" s="4" t="n">
        <v>269000</v>
      </c>
      <c r="F587" s="4" t="n">
        <v>-6000</v>
      </c>
      <c r="G587" s="5" t="inlineStr">
        <is>
          <t>元/吨</t>
        </is>
      </c>
      <c r="H587" s="5" t="inlineStr">
        <is>
          <t>SMM</t>
        </is>
      </c>
    </row>
    <row r="588">
      <c r="A588" s="2" t="inlineStr">
        <is>
          <t>2026/06/26</t>
        </is>
      </c>
      <c r="B588" s="2" t="inlineStr">
        <is>
          <t>电池级氢氧化锂(CIF中日韩)</t>
        </is>
      </c>
      <c r="C588" s="7" t="n">
        <v>16.9</v>
      </c>
      <c r="D588" s="6" t="n">
        <v>19.9</v>
      </c>
      <c r="E588" s="6" t="n">
        <v>18.4</v>
      </c>
      <c r="F588" s="6" t="n">
        <v>-0.4</v>
      </c>
      <c r="G588" s="5" t="inlineStr">
        <is>
          <t>美元/千克</t>
        </is>
      </c>
      <c r="H588" s="5" t="inlineStr">
        <is>
          <t>SMM</t>
        </is>
      </c>
    </row>
    <row r="589">
      <c r="A589" s="2" t="inlineStr">
        <is>
          <t>2026/06/26</t>
        </is>
      </c>
      <c r="B589" s="2" t="inlineStr">
        <is>
          <t>电池级氢氧化锂(CIF韩国)</t>
        </is>
      </c>
      <c r="C589" s="7" t="n">
        <v>16.6</v>
      </c>
      <c r="D589" s="6" t="n">
        <v>20</v>
      </c>
      <c r="E589" s="6" t="n">
        <v>18.3</v>
      </c>
      <c r="F589" s="6" t="n">
        <v>-0.4</v>
      </c>
      <c r="G589" s="5" t="inlineStr">
        <is>
          <t>美元/千克</t>
        </is>
      </c>
      <c r="H589" s="5" t="inlineStr">
        <is>
          <t>SMM</t>
        </is>
      </c>
    </row>
    <row r="590">
      <c r="A590" s="2" t="inlineStr">
        <is>
          <t>2026/06/26</t>
        </is>
      </c>
      <c r="B590" s="2" t="inlineStr">
        <is>
          <t>电池级氢氧化锂(微粉）</t>
        </is>
      </c>
      <c r="C590" s="3" t="n">
        <v>137000</v>
      </c>
      <c r="D590" s="4" t="n">
        <v>153000</v>
      </c>
      <c r="E590" s="4" t="n">
        <v>145000</v>
      </c>
      <c r="F590" s="4" t="n">
        <v>-4500</v>
      </c>
      <c r="G590" s="5" t="inlineStr">
        <is>
          <t>元/吨</t>
        </is>
      </c>
      <c r="H590" s="5" t="inlineStr">
        <is>
          <t>SMM</t>
        </is>
      </c>
    </row>
    <row r="591">
      <c r="A591" s="2" t="inlineStr">
        <is>
          <t>2026/06/26</t>
        </is>
      </c>
      <c r="B591" s="2" t="inlineStr">
        <is>
          <t>电池级氢氧化锂（粗颗粒）</t>
        </is>
      </c>
      <c r="C591" s="3" t="n">
        <v>128000</v>
      </c>
      <c r="D591" s="4" t="n">
        <v>150000</v>
      </c>
      <c r="E591" s="4" t="n">
        <v>139000</v>
      </c>
      <c r="F591" s="4" t="n">
        <v>-4500</v>
      </c>
      <c r="G591" s="5" t="inlineStr">
        <is>
          <t>元/吨</t>
        </is>
      </c>
      <c r="H591" s="5" t="inlineStr">
        <is>
          <t>SMM</t>
        </is>
      </c>
    </row>
    <row r="592">
      <c r="A592" s="2" t="inlineStr">
        <is>
          <t>2026/06/26</t>
        </is>
      </c>
      <c r="B592" s="2" t="inlineStr">
        <is>
          <t>电池级硫酸锰（出厂价）</t>
        </is>
      </c>
      <c r="C592" s="3" t="n">
        <v>7570</v>
      </c>
      <c r="D592" s="4" t="n">
        <v>7770</v>
      </c>
      <c r="E592" s="4" t="n">
        <v>7670</v>
      </c>
      <c r="F592" s="4" t="n">
        <v>0</v>
      </c>
      <c r="G592" s="5" t="inlineStr">
        <is>
          <t>元/吨</t>
        </is>
      </c>
      <c r="H592" s="5" t="inlineStr">
        <is>
          <t>SMM</t>
        </is>
      </c>
    </row>
    <row r="593">
      <c r="A593" s="2" t="inlineStr">
        <is>
          <t>2026/06/26</t>
        </is>
      </c>
      <c r="B593" s="2" t="inlineStr">
        <is>
          <t>电池级硫酸镍</t>
        </is>
      </c>
      <c r="C593" s="3" t="n">
        <v>32200</v>
      </c>
      <c r="D593" s="4" t="n">
        <v>32600</v>
      </c>
      <c r="E593" s="4" t="n">
        <v>32400</v>
      </c>
      <c r="F593" s="4" t="n">
        <v>-100</v>
      </c>
      <c r="G593" s="5" t="inlineStr">
        <is>
          <t>元/吨</t>
        </is>
      </c>
      <c r="H593" s="5" t="inlineStr">
        <is>
          <t>SMM</t>
        </is>
      </c>
    </row>
    <row r="594">
      <c r="A594" s="2" t="inlineStr">
        <is>
          <t>2026/06/26</t>
        </is>
      </c>
      <c r="B594" s="2" t="inlineStr">
        <is>
          <t>电池级碳酸锂</t>
        </is>
      </c>
      <c r="C594" s="3" t="n">
        <v>147000</v>
      </c>
      <c r="D594" s="4" t="n">
        <v>158000</v>
      </c>
      <c r="E594" s="4" t="n">
        <v>152500</v>
      </c>
      <c r="F594" s="4" t="n">
        <v>-4500</v>
      </c>
      <c r="G594" s="5" t="inlineStr">
        <is>
          <t>元/吨</t>
        </is>
      </c>
      <c r="H594" s="5" t="inlineStr">
        <is>
          <t>SMM</t>
        </is>
      </c>
    </row>
    <row r="595">
      <c r="A595" s="2" t="inlineStr">
        <is>
          <t>2026/06/26</t>
        </is>
      </c>
      <c r="B595" s="2" t="inlineStr">
        <is>
          <t>电池级碳酸锂(CIF韩国)</t>
        </is>
      </c>
      <c r="C595" s="7" t="n">
        <v>18.6</v>
      </c>
      <c r="D595" s="6" t="n">
        <v>21.2</v>
      </c>
      <c r="E595" s="6" t="n">
        <v>19.9</v>
      </c>
      <c r="F595" s="6" t="n">
        <v>-0.4</v>
      </c>
      <c r="G595" s="5" t="inlineStr">
        <is>
          <t>美元/千克</t>
        </is>
      </c>
      <c r="H595" s="5" t="inlineStr">
        <is>
          <t>SMM</t>
        </is>
      </c>
    </row>
    <row r="596">
      <c r="A596" s="2" t="inlineStr">
        <is>
          <t>2026/06/26</t>
        </is>
      </c>
      <c r="B596" s="2" t="inlineStr">
        <is>
          <t>电池级碳酸锂（CIF中日韩）</t>
        </is>
      </c>
      <c r="C596" s="7" t="n">
        <v>18.7</v>
      </c>
      <c r="D596" s="6" t="n">
        <v>21.2</v>
      </c>
      <c r="E596" s="6" t="n">
        <v>19.95</v>
      </c>
      <c r="F596" s="6" t="n">
        <v>-0.4</v>
      </c>
      <c r="G596" s="5" t="inlineStr">
        <is>
          <t>美元/千克</t>
        </is>
      </c>
      <c r="H596" s="5" t="inlineStr">
        <is>
          <t>SMM</t>
        </is>
      </c>
    </row>
    <row r="597">
      <c r="A597" s="2" t="inlineStr">
        <is>
          <t>2026/06/26</t>
        </is>
      </c>
      <c r="B597" s="2" t="inlineStr">
        <is>
          <t>电池级金属锂</t>
        </is>
      </c>
      <c r="C597" s="3" t="n">
        <v>1090000</v>
      </c>
      <c r="D597" s="4" t="n">
        <v>1110000</v>
      </c>
      <c r="E597" s="4" t="n">
        <v>1100000</v>
      </c>
      <c r="F597" s="4" t="n">
        <v>-10000</v>
      </c>
      <c r="G597" s="5" t="inlineStr">
        <is>
          <t>元/吨</t>
        </is>
      </c>
      <c r="H597" s="5" t="inlineStr">
        <is>
          <t>SMM</t>
        </is>
      </c>
    </row>
    <row r="598">
      <c r="A598" s="2" t="inlineStr">
        <is>
          <t>2026/06/26</t>
        </is>
      </c>
      <c r="B598" s="2" t="inlineStr">
        <is>
          <t>电解钴</t>
        </is>
      </c>
      <c r="C598" s="3" t="n">
        <v>374000</v>
      </c>
      <c r="D598" s="4" t="n">
        <v>385000</v>
      </c>
      <c r="E598" s="4" t="n">
        <v>379500</v>
      </c>
      <c r="F598" s="4" t="n">
        <v>2500</v>
      </c>
      <c r="G598" s="5" t="inlineStr">
        <is>
          <t>元/吨</t>
        </is>
      </c>
      <c r="H598" s="5" t="inlineStr">
        <is>
          <t>SMM</t>
        </is>
      </c>
    </row>
    <row r="599">
      <c r="A599" s="2" t="inlineStr">
        <is>
          <t>2026/06/26</t>
        </is>
      </c>
      <c r="B599" s="2" t="inlineStr">
        <is>
          <t>电解钴（鹿特丹仓库）</t>
        </is>
      </c>
      <c r="C599" s="7" t="n">
        <v>25</v>
      </c>
      <c r="D599" s="6" t="n">
        <v>27</v>
      </c>
      <c r="E599" s="6" t="n">
        <v>26</v>
      </c>
      <c r="F599" s="4" t="n">
        <v>0</v>
      </c>
      <c r="G599" s="5" t="inlineStr">
        <is>
          <t>美元/磅</t>
        </is>
      </c>
      <c r="H599" s="5" t="inlineStr">
        <is>
          <t>SMM</t>
        </is>
      </c>
    </row>
    <row r="600">
      <c r="A600" s="2" t="inlineStr">
        <is>
          <t>2026/06/26</t>
        </is>
      </c>
      <c r="B600" s="2" t="inlineStr">
        <is>
          <t>电镀级硫酸镍</t>
        </is>
      </c>
      <c r="C600" s="3" t="n">
        <v>32500</v>
      </c>
      <c r="D600" s="4" t="n">
        <v>37000</v>
      </c>
      <c r="E600" s="4" t="n">
        <v>34750</v>
      </c>
      <c r="F600" s="4" t="n">
        <v>0</v>
      </c>
      <c r="G600" s="5" t="inlineStr">
        <is>
          <t>元/吨</t>
        </is>
      </c>
      <c r="H600" s="5" t="inlineStr">
        <is>
          <t>SMM</t>
        </is>
      </c>
    </row>
    <row r="601">
      <c r="A601" s="2" t="inlineStr">
        <is>
          <t>2026/06/26</t>
        </is>
      </c>
      <c r="B601" s="2" t="inlineStr">
        <is>
          <t>硫酸钴</t>
        </is>
      </c>
      <c r="C601" s="3" t="n">
        <v>85000</v>
      </c>
      <c r="D601" s="4" t="n">
        <v>87300</v>
      </c>
      <c r="E601" s="4" t="n">
        <v>86150</v>
      </c>
      <c r="F601" s="4" t="n">
        <v>-600</v>
      </c>
      <c r="G601" s="5" t="inlineStr">
        <is>
          <t>元/吨</t>
        </is>
      </c>
      <c r="H601" s="5" t="inlineStr">
        <is>
          <t>SMM</t>
        </is>
      </c>
    </row>
    <row r="602">
      <c r="A602" s="2" t="inlineStr">
        <is>
          <t>2026/06/26</t>
        </is>
      </c>
      <c r="B602" s="2" t="inlineStr">
        <is>
          <t>碳酸钴</t>
        </is>
      </c>
      <c r="C602" s="3" t="n">
        <v>208000</v>
      </c>
      <c r="D602" s="4" t="n">
        <v>215000</v>
      </c>
      <c r="E602" s="4" t="n">
        <v>211500</v>
      </c>
      <c r="F602" s="4" t="n">
        <v>0</v>
      </c>
      <c r="G602" s="5" t="inlineStr">
        <is>
          <t>元/吨</t>
        </is>
      </c>
      <c r="H602" s="5" t="inlineStr">
        <is>
          <t>SMM</t>
        </is>
      </c>
    </row>
    <row r="603">
      <c r="A603" s="2" t="inlineStr">
        <is>
          <t>2026/06/26</t>
        </is>
      </c>
      <c r="B603" s="2" t="inlineStr">
        <is>
          <t>磷酸铁锂</t>
        </is>
      </c>
      <c r="C603" s="3" t="n">
        <v>55660</v>
      </c>
      <c r="D603" s="4" t="n">
        <v>56360</v>
      </c>
      <c r="E603" s="4" t="n">
        <v>56010</v>
      </c>
      <c r="F603" s="4" t="n">
        <v>-960</v>
      </c>
      <c r="G603" s="5" t="inlineStr">
        <is>
          <t>元/吨</t>
        </is>
      </c>
      <c r="H603" s="5" t="inlineStr">
        <is>
          <t>SMM</t>
        </is>
      </c>
    </row>
    <row r="604">
      <c r="A604" s="2" t="inlineStr">
        <is>
          <t>2026/06/26</t>
        </is>
      </c>
      <c r="B604" s="2" t="inlineStr">
        <is>
          <t>磷酸锰铁锂</t>
        </is>
      </c>
      <c r="C604" s="3" t="n">
        <v>61500</v>
      </c>
      <c r="D604" s="4" t="n">
        <v>66500</v>
      </c>
      <c r="E604" s="4" t="n">
        <v>64000</v>
      </c>
      <c r="F604" s="4" t="n">
        <v>-1000</v>
      </c>
      <c r="G604" s="5" t="inlineStr">
        <is>
          <t>元/吨</t>
        </is>
      </c>
      <c r="H604" s="5" t="inlineStr">
        <is>
          <t>SMM</t>
        </is>
      </c>
    </row>
    <row r="605">
      <c r="A605" s="2" t="inlineStr">
        <is>
          <t>2026/06/26</t>
        </is>
      </c>
      <c r="B605" s="2" t="inlineStr">
        <is>
          <t>金属钴FOB</t>
        </is>
      </c>
      <c r="C605" s="7" t="n">
        <v>24</v>
      </c>
      <c r="D605" s="6" t="n">
        <v>25</v>
      </c>
      <c r="E605" s="6" t="n">
        <v>24.5</v>
      </c>
      <c r="F605" s="4" t="n">
        <v>0</v>
      </c>
      <c r="G605" s="5" t="inlineStr">
        <is>
          <t>美元/磅</t>
        </is>
      </c>
      <c r="H605" s="5" t="inlineStr">
        <is>
          <t>SMM</t>
        </is>
      </c>
    </row>
    <row r="606">
      <c r="A606" s="2" t="inlineStr">
        <is>
          <t>2026/06/26</t>
        </is>
      </c>
      <c r="B606" s="2" t="inlineStr">
        <is>
          <t>钴中间品中钴含量≥30%</t>
        </is>
      </c>
      <c r="C606" s="3" t="n">
        <v>26122</v>
      </c>
      <c r="D606" s="4" t="n">
        <v>26122</v>
      </c>
      <c r="E606" s="4" t="n">
        <v>26122</v>
      </c>
      <c r="F606" s="4" t="n">
        <v>-661</v>
      </c>
      <c r="G606" s="5" t="inlineStr">
        <is>
          <t>元/金属吨</t>
        </is>
      </c>
      <c r="H606" s="5" t="inlineStr">
        <is>
          <t>SMM</t>
        </is>
      </c>
    </row>
    <row r="607">
      <c r="A607" s="2" t="inlineStr">
        <is>
          <t>2026/06/26</t>
        </is>
      </c>
      <c r="B607" s="2" t="inlineStr">
        <is>
          <t>钴中间品原料计价系数（对SMM硫酸钴均价）</t>
        </is>
      </c>
      <c r="C607" s="7" t="n">
        <v>99</v>
      </c>
      <c r="D607" s="4" t="n">
        <v>100</v>
      </c>
      <c r="E607" s="6" t="n">
        <v>99.5</v>
      </c>
      <c r="F607" s="4" t="n">
        <v>0</v>
      </c>
      <c r="G607" s="5" t="inlineStr">
        <is>
          <t>%</t>
        </is>
      </c>
      <c r="H607" s="5" t="inlineStr">
        <is>
          <t>SMM</t>
        </is>
      </c>
    </row>
    <row r="608">
      <c r="A608" s="2" t="inlineStr">
        <is>
          <t>2026/06/26</t>
        </is>
      </c>
      <c r="B608" s="2" t="inlineStr">
        <is>
          <t>钴酸锂</t>
        </is>
      </c>
      <c r="C608" s="3" t="n">
        <v>373000</v>
      </c>
      <c r="D608" s="4" t="n">
        <v>376000</v>
      </c>
      <c r="E608" s="4" t="n">
        <v>374500</v>
      </c>
      <c r="F608" s="4" t="n">
        <v>0</v>
      </c>
      <c r="G608" s="5" t="inlineStr">
        <is>
          <t>元/吨</t>
        </is>
      </c>
      <c r="H608" s="5" t="inlineStr">
        <is>
          <t>SMM</t>
        </is>
      </c>
    </row>
    <row r="609">
      <c r="A609" s="2" t="inlineStr">
        <is>
          <t>2026/06/26</t>
        </is>
      </c>
      <c r="B609" s="2" t="inlineStr">
        <is>
          <t>钴酸锂聚合物软包</t>
        </is>
      </c>
      <c r="C609" s="3" t="n">
        <v>96500</v>
      </c>
      <c r="D609" s="4" t="n">
        <v>99000</v>
      </c>
      <c r="E609" s="4" t="n">
        <v>97750</v>
      </c>
      <c r="F609" s="4" t="n">
        <v>-450</v>
      </c>
      <c r="G609" s="5" t="inlineStr">
        <is>
          <t>元/吨</t>
        </is>
      </c>
      <c r="H609" s="5" t="inlineStr">
        <is>
          <t>SMM</t>
        </is>
      </c>
    </row>
    <row r="610">
      <c r="A610" s="2" t="inlineStr">
        <is>
          <t>2026/06/26</t>
        </is>
      </c>
      <c r="B610" s="2" t="inlineStr">
        <is>
          <t>钴酸锂铝壳</t>
        </is>
      </c>
      <c r="C610" s="3" t="n">
        <v>84000</v>
      </c>
      <c r="D610" s="4" t="n">
        <v>91000</v>
      </c>
      <c r="E610" s="4" t="n">
        <v>87500</v>
      </c>
      <c r="F610" s="4" t="n">
        <v>-250</v>
      </c>
      <c r="G610" s="5" t="inlineStr">
        <is>
          <t>元/吨</t>
        </is>
      </c>
      <c r="H610" s="5" t="inlineStr">
        <is>
          <t>SMM</t>
        </is>
      </c>
    </row>
    <row r="611">
      <c r="A611" s="2" t="inlineStr">
        <is>
          <t>2026/06/26</t>
        </is>
      </c>
      <c r="B611" s="2" t="inlineStr">
        <is>
          <t>锰酸锂圆柱钢壳</t>
        </is>
      </c>
      <c r="C611" s="3" t="n">
        <v>5000</v>
      </c>
      <c r="D611" s="4" t="n">
        <v>7400</v>
      </c>
      <c r="E611" s="4" t="n">
        <v>6200</v>
      </c>
      <c r="F611" s="4" t="n">
        <v>0</v>
      </c>
      <c r="G611" s="5" t="inlineStr">
        <is>
          <t>元/吨</t>
        </is>
      </c>
      <c r="H611" s="5" t="inlineStr">
        <is>
          <t>SMM</t>
        </is>
      </c>
    </row>
    <row r="612">
      <c r="A612" s="2" t="inlineStr">
        <is>
          <t>2026/06/26</t>
        </is>
      </c>
      <c r="B612" s="2" t="inlineStr">
        <is>
          <t>非洲硫酸锂(CIF中国)</t>
        </is>
      </c>
      <c r="C612" s="3" t="n">
        <v>7027</v>
      </c>
      <c r="D612" s="4" t="n">
        <v>7622</v>
      </c>
      <c r="E612" s="4" t="n">
        <v>7324.5</v>
      </c>
      <c r="F612" s="4" t="n">
        <v>-238.5</v>
      </c>
      <c r="G612" s="5" t="inlineStr">
        <is>
          <t>美元/吨</t>
        </is>
      </c>
      <c r="H612" s="5" t="inlineStr">
        <is>
          <t>SMM</t>
        </is>
      </c>
    </row>
    <row r="613">
      <c r="A613" s="2" t="inlineStr">
        <is>
          <t>2026/06/26</t>
        </is>
      </c>
      <c r="B613" s="2" t="inlineStr">
        <is>
          <t>非洲锂辉石精矿（CIF中国）指数</t>
        </is>
      </c>
      <c r="C613" s="3" t="n">
        <v>2120</v>
      </c>
      <c r="D613" s="4" t="n">
        <v>2120</v>
      </c>
      <c r="E613" s="4" t="n">
        <v>2120</v>
      </c>
      <c r="F613" s="4" t="n">
        <v>-278</v>
      </c>
      <c r="G613" s="5" t="inlineStr">
        <is>
          <t>美元/吨</t>
        </is>
      </c>
      <c r="H613" s="5" t="inlineStr">
        <is>
          <t>SMM</t>
        </is>
      </c>
    </row>
    <row r="614">
      <c r="A614" s="2" t="inlineStr">
        <is>
          <t>2026/06/29</t>
        </is>
      </c>
      <c r="B614" s="2" t="inlineStr">
        <is>
          <t>5系三元前驱体</t>
        </is>
      </c>
      <c r="C614" s="3" t="n">
        <v>98300</v>
      </c>
      <c r="D614" s="4" t="n">
        <v>103400</v>
      </c>
      <c r="E614" s="4" t="n">
        <v>100850</v>
      </c>
      <c r="F614" s="6" t="n">
        <v>-50</v>
      </c>
      <c r="G614" s="5" t="inlineStr">
        <is>
          <t>元/吨</t>
        </is>
      </c>
      <c r="H614" s="5" t="inlineStr">
        <is>
          <t>SMM</t>
        </is>
      </c>
    </row>
    <row r="615">
      <c r="A615" s="2" t="inlineStr">
        <is>
          <t>2026/06/29</t>
        </is>
      </c>
      <c r="B615" s="2" t="inlineStr">
        <is>
          <t>5系三元材料</t>
        </is>
      </c>
      <c r="C615" s="3" t="n">
        <v>179900</v>
      </c>
      <c r="D615" s="4" t="n">
        <v>187000</v>
      </c>
      <c r="E615" s="4" t="n">
        <v>183450</v>
      </c>
      <c r="F615" s="4" t="n">
        <v>-200</v>
      </c>
      <c r="G615" s="5" t="inlineStr">
        <is>
          <t>元/吨</t>
        </is>
      </c>
      <c r="H615" s="5" t="inlineStr">
        <is>
          <t>SMM</t>
        </is>
      </c>
    </row>
    <row r="616">
      <c r="A616" s="2" t="inlineStr">
        <is>
          <t>2026/06/29</t>
        </is>
      </c>
      <c r="B616" s="2" t="inlineStr">
        <is>
          <t>6系三元前驱体（单晶/动力型）</t>
        </is>
      </c>
      <c r="C616" s="3" t="n">
        <v>91200</v>
      </c>
      <c r="D616" s="4" t="n">
        <v>95900</v>
      </c>
      <c r="E616" s="4" t="n">
        <v>93550</v>
      </c>
      <c r="F616" s="6" t="n">
        <v>-50</v>
      </c>
      <c r="G616" s="5" t="inlineStr">
        <is>
          <t>元/吨</t>
        </is>
      </c>
      <c r="H616" s="5" t="inlineStr">
        <is>
          <t>SMM</t>
        </is>
      </c>
    </row>
    <row r="617">
      <c r="A617" s="2" t="inlineStr">
        <is>
          <t>2026/06/29</t>
        </is>
      </c>
      <c r="B617" s="2" t="inlineStr">
        <is>
          <t>6系三元材料（单晶/动力型）</t>
        </is>
      </c>
      <c r="C617" s="3" t="n">
        <v>182900</v>
      </c>
      <c r="D617" s="4" t="n">
        <v>192400</v>
      </c>
      <c r="E617" s="4" t="n">
        <v>187650</v>
      </c>
      <c r="F617" s="4" t="n">
        <v>-300</v>
      </c>
      <c r="G617" s="5" t="inlineStr">
        <is>
          <t>元/吨</t>
        </is>
      </c>
      <c r="H617" s="5" t="inlineStr">
        <is>
          <t>SMM</t>
        </is>
      </c>
    </row>
    <row r="618">
      <c r="A618" s="2" t="inlineStr">
        <is>
          <t>2026/06/29</t>
        </is>
      </c>
      <c r="B618" s="2" t="inlineStr">
        <is>
          <t>8系三元前驱体（多晶/动力型）</t>
        </is>
      </c>
      <c r="C618" s="3" t="n">
        <v>112700</v>
      </c>
      <c r="D618" s="4" t="n">
        <v>118400</v>
      </c>
      <c r="E618" s="4" t="n">
        <v>115550</v>
      </c>
      <c r="F618" s="4" t="n">
        <v>-100</v>
      </c>
      <c r="G618" s="5" t="inlineStr">
        <is>
          <t>元/吨</t>
        </is>
      </c>
      <c r="H618" s="5" t="inlineStr">
        <is>
          <t>SMM</t>
        </is>
      </c>
    </row>
    <row r="619">
      <c r="A619" s="2" t="inlineStr">
        <is>
          <t>2026/06/29</t>
        </is>
      </c>
      <c r="B619" s="2" t="inlineStr">
        <is>
          <t>8系三元材料</t>
        </is>
      </c>
      <c r="C619" s="3" t="n">
        <v>205700</v>
      </c>
      <c r="D619" s="4" t="n">
        <v>215300</v>
      </c>
      <c r="E619" s="4" t="n">
        <v>210500</v>
      </c>
      <c r="F619" s="4" t="n">
        <v>-300</v>
      </c>
      <c r="G619" s="5" t="inlineStr">
        <is>
          <t>元/吨</t>
        </is>
      </c>
      <c r="H619" s="5" t="inlineStr">
        <is>
          <t>SMM</t>
        </is>
      </c>
    </row>
    <row r="620">
      <c r="A620" s="2" t="inlineStr">
        <is>
          <t>2026/06/29</t>
        </is>
      </c>
      <c r="B620" s="2" t="inlineStr">
        <is>
          <t>MHP系数（对SMM电池级硫酸镍指数）</t>
        </is>
      </c>
      <c r="C620" s="7" t="n">
        <v>81.5</v>
      </c>
      <c r="D620" s="6" t="n">
        <v>82.5</v>
      </c>
      <c r="E620" s="6" t="n">
        <v>82</v>
      </c>
      <c r="F620" s="6" t="n">
        <v>-0.25</v>
      </c>
      <c r="G620" s="5" t="inlineStr">
        <is>
          <t>%</t>
        </is>
      </c>
      <c r="H620" s="5" t="inlineStr">
        <is>
          <t>SMM</t>
        </is>
      </c>
    </row>
    <row r="621">
      <c r="A621" s="2" t="inlineStr">
        <is>
          <t>2026/06/29</t>
        </is>
      </c>
      <c r="B621" s="2" t="inlineStr">
        <is>
          <t>MHP钴元素计价系数（对SMM硫酸钴均价）</t>
        </is>
      </c>
      <c r="C621" s="7" t="n">
        <v>92</v>
      </c>
      <c r="D621" s="6" t="n">
        <v>93</v>
      </c>
      <c r="E621" s="6" t="n">
        <v>92.5</v>
      </c>
      <c r="F621" s="4" t="n">
        <v>0</v>
      </c>
      <c r="G621" s="5" t="inlineStr">
        <is>
          <t>%</t>
        </is>
      </c>
      <c r="H621" s="5" t="inlineStr">
        <is>
          <t>SMM</t>
        </is>
      </c>
    </row>
    <row r="622">
      <c r="A622" s="2" t="inlineStr">
        <is>
          <t>2026/06/29</t>
        </is>
      </c>
      <c r="B622" s="2" t="inlineStr">
        <is>
          <t>NCA三元材料</t>
        </is>
      </c>
      <c r="C622" s="3" t="n">
        <v>204200</v>
      </c>
      <c r="D622" s="4" t="n">
        <v>212700</v>
      </c>
      <c r="E622" s="4" t="n">
        <v>208450</v>
      </c>
      <c r="F622" s="4" t="n">
        <v>0</v>
      </c>
      <c r="G622" s="5" t="inlineStr">
        <is>
          <t>元/吨</t>
        </is>
      </c>
      <c r="H622" s="5" t="inlineStr">
        <is>
          <t>SMM</t>
        </is>
      </c>
    </row>
    <row r="623">
      <c r="A623" s="2" t="inlineStr">
        <is>
          <t>2026/06/29</t>
        </is>
      </c>
      <c r="B623" s="2" t="inlineStr">
        <is>
          <t>SMM三元极片粉钴系数指数</t>
        </is>
      </c>
      <c r="C623" s="7" t="n">
        <v>78.31999999999999</v>
      </c>
      <c r="D623" s="6" t="n">
        <v>78.31999999999999</v>
      </c>
      <c r="E623" s="6" t="n">
        <v>78.31999999999999</v>
      </c>
      <c r="F623" s="4" t="n">
        <v>0</v>
      </c>
      <c r="G623" s="5" t="inlineStr">
        <is>
          <t>%</t>
        </is>
      </c>
      <c r="H623" s="5" t="inlineStr">
        <is>
          <t>SMM</t>
        </is>
      </c>
    </row>
    <row r="624">
      <c r="A624" s="2" t="inlineStr">
        <is>
          <t>2026/06/29</t>
        </is>
      </c>
      <c r="B624" s="2" t="inlineStr">
        <is>
          <t>SMM三元极片粉锂系数指数</t>
        </is>
      </c>
      <c r="C624" s="7" t="n">
        <v>78.31999999999999</v>
      </c>
      <c r="D624" s="6" t="n">
        <v>78.31999999999999</v>
      </c>
      <c r="E624" s="6" t="n">
        <v>78.31999999999999</v>
      </c>
      <c r="F624" s="4" t="n">
        <v>0</v>
      </c>
      <c r="G624" s="5" t="inlineStr">
        <is>
          <t>%</t>
        </is>
      </c>
      <c r="H624" s="5" t="inlineStr">
        <is>
          <t>SMM</t>
        </is>
      </c>
    </row>
    <row r="625">
      <c r="A625" s="2" t="inlineStr">
        <is>
          <t>2026/06/29</t>
        </is>
      </c>
      <c r="B625" s="2" t="inlineStr">
        <is>
          <t>SMM三元极片粉镍系数指数</t>
        </is>
      </c>
      <c r="C625" s="7" t="n">
        <v>78.31999999999999</v>
      </c>
      <c r="D625" s="6" t="n">
        <v>78.31999999999999</v>
      </c>
      <c r="E625" s="6" t="n">
        <v>78.31999999999999</v>
      </c>
      <c r="F625" s="4" t="n">
        <v>0</v>
      </c>
      <c r="G625" s="5" t="inlineStr">
        <is>
          <t>%</t>
        </is>
      </c>
      <c r="H625" s="5" t="inlineStr">
        <is>
          <t>SMM</t>
        </is>
      </c>
    </row>
    <row r="626">
      <c r="A626" s="2" t="inlineStr">
        <is>
          <t>2026/06/29</t>
        </is>
      </c>
      <c r="B626" s="2" t="inlineStr">
        <is>
          <t>SMM三元电池粉钴系数指数</t>
        </is>
      </c>
      <c r="C626" s="7" t="n">
        <v>74.8</v>
      </c>
      <c r="D626" s="6" t="n">
        <v>74.8</v>
      </c>
      <c r="E626" s="6" t="n">
        <v>74.8</v>
      </c>
      <c r="F626" s="4" t="n">
        <v>0</v>
      </c>
      <c r="G626" s="5" t="inlineStr">
        <is>
          <t>%</t>
        </is>
      </c>
      <c r="H626" s="5" t="inlineStr">
        <is>
          <t>SMM</t>
        </is>
      </c>
    </row>
    <row r="627">
      <c r="A627" s="2" t="inlineStr">
        <is>
          <t>2026/06/29</t>
        </is>
      </c>
      <c r="B627" s="2" t="inlineStr">
        <is>
          <t>SMM三元电池粉锂系数指数</t>
        </is>
      </c>
      <c r="C627" s="7" t="n">
        <v>74.8</v>
      </c>
      <c r="D627" s="6" t="n">
        <v>74.8</v>
      </c>
      <c r="E627" s="6" t="n">
        <v>74.8</v>
      </c>
      <c r="F627" s="4" t="n">
        <v>0</v>
      </c>
      <c r="G627" s="5" t="inlineStr">
        <is>
          <t>%</t>
        </is>
      </c>
      <c r="H627" s="5" t="inlineStr">
        <is>
          <t>SMM</t>
        </is>
      </c>
    </row>
    <row r="628">
      <c r="A628" s="2" t="inlineStr">
        <is>
          <t>2026/06/29</t>
        </is>
      </c>
      <c r="B628" s="2" t="inlineStr">
        <is>
          <t>SMM三元电池粉镍系数指数</t>
        </is>
      </c>
      <c r="C628" s="7" t="n">
        <v>74.8</v>
      </c>
      <c r="D628" s="6" t="n">
        <v>74.8</v>
      </c>
      <c r="E628" s="6" t="n">
        <v>74.8</v>
      </c>
      <c r="F628" s="4" t="n">
        <v>0</v>
      </c>
      <c r="G628" s="5" t="inlineStr">
        <is>
          <t>%</t>
        </is>
      </c>
      <c r="H628" s="5" t="inlineStr">
        <is>
          <t>SMM</t>
        </is>
      </c>
    </row>
    <row r="629">
      <c r="A629" s="2" t="inlineStr">
        <is>
          <t>2026/06/29</t>
        </is>
      </c>
      <c r="B629" s="2" t="inlineStr">
        <is>
          <t>SMM六氟磷酸锂指数</t>
        </is>
      </c>
      <c r="C629" s="3" t="n">
        <v>99957</v>
      </c>
      <c r="D629" s="4" t="n">
        <v>104037</v>
      </c>
      <c r="E629" s="4" t="n">
        <v>101997</v>
      </c>
      <c r="F629" s="4" t="n">
        <v>-288.5</v>
      </c>
      <c r="G629" s="5" t="inlineStr">
        <is>
          <t>元/吨</t>
        </is>
      </c>
      <c r="H629" s="5" t="inlineStr">
        <is>
          <t>SMM</t>
        </is>
      </c>
    </row>
    <row r="630">
      <c r="A630" s="2" t="inlineStr">
        <is>
          <t>2026/06/29</t>
        </is>
      </c>
      <c r="B630" s="2" t="inlineStr">
        <is>
          <t>SMM电池级氢氧化锂指数</t>
        </is>
      </c>
      <c r="C630" s="3" t="n">
        <v>138755</v>
      </c>
      <c r="D630" s="4" t="n">
        <v>138755</v>
      </c>
      <c r="E630" s="4" t="n">
        <v>138755</v>
      </c>
      <c r="F630" s="4" t="n">
        <v>-533</v>
      </c>
      <c r="G630" s="5" t="inlineStr">
        <is>
          <t>元/吨</t>
        </is>
      </c>
      <c r="H630" s="5" t="inlineStr">
        <is>
          <t>SMM</t>
        </is>
      </c>
    </row>
    <row r="631">
      <c r="A631" s="2" t="inlineStr">
        <is>
          <t>2026/06/29</t>
        </is>
      </c>
      <c r="B631" s="2" t="inlineStr">
        <is>
          <t>SMM电池级硫酸锰指数</t>
        </is>
      </c>
      <c r="C631" s="3" t="n">
        <v>7679</v>
      </c>
      <c r="D631" s="4" t="n">
        <v>7679</v>
      </c>
      <c r="E631" s="4" t="n">
        <v>7679</v>
      </c>
      <c r="F631" s="6" t="n">
        <v>13</v>
      </c>
      <c r="G631" s="5" t="inlineStr">
        <is>
          <t>元/吨</t>
        </is>
      </c>
      <c r="H631" s="5" t="inlineStr">
        <is>
          <t>SMM</t>
        </is>
      </c>
    </row>
    <row r="632">
      <c r="A632" s="2" t="inlineStr">
        <is>
          <t>2026/06/29</t>
        </is>
      </c>
      <c r="B632" s="2" t="inlineStr">
        <is>
          <t>SMM电池级硫酸镍指数</t>
        </is>
      </c>
      <c r="C632" s="3" t="n">
        <v>32506</v>
      </c>
      <c r="D632" s="4" t="n">
        <v>32506</v>
      </c>
      <c r="E632" s="4" t="n">
        <v>32506</v>
      </c>
      <c r="F632" s="6" t="n">
        <v>-45</v>
      </c>
      <c r="G632" s="5" t="inlineStr">
        <is>
          <t>元/吨</t>
        </is>
      </c>
      <c r="H632" s="5" t="inlineStr">
        <is>
          <t>SMM</t>
        </is>
      </c>
    </row>
    <row r="633">
      <c r="A633" s="2" t="inlineStr">
        <is>
          <t>2026/06/29</t>
        </is>
      </c>
      <c r="B633" s="2" t="inlineStr">
        <is>
          <t>SMM电池级碳酸锂指数</t>
        </is>
      </c>
      <c r="C633" s="3" t="n">
        <v>149891</v>
      </c>
      <c r="D633" s="4" t="n">
        <v>149891</v>
      </c>
      <c r="E633" s="4" t="n">
        <v>149891</v>
      </c>
      <c r="F633" s="4" t="n">
        <v>-2680</v>
      </c>
      <c r="G633" s="5" t="inlineStr">
        <is>
          <t>元/吨</t>
        </is>
      </c>
      <c r="H633" s="5" t="inlineStr">
        <is>
          <t>SMM</t>
        </is>
      </c>
    </row>
    <row r="634">
      <c r="A634" s="2" t="inlineStr">
        <is>
          <t>2026/06/29</t>
        </is>
      </c>
      <c r="B634" s="2" t="inlineStr">
        <is>
          <t>SMM硫酸钴指数</t>
        </is>
      </c>
      <c r="C634" s="3" t="n">
        <v>85772</v>
      </c>
      <c r="D634" s="4" t="n">
        <v>85772</v>
      </c>
      <c r="E634" s="4" t="n">
        <v>85772</v>
      </c>
      <c r="F634" s="4" t="n">
        <v>-137</v>
      </c>
      <c r="G634" s="5" t="inlineStr">
        <is>
          <t>元/吨</t>
        </is>
      </c>
      <c r="H634" s="5" t="inlineStr">
        <is>
          <t>SMM</t>
        </is>
      </c>
    </row>
    <row r="635">
      <c r="A635" s="2" t="inlineStr">
        <is>
          <t>2026/06/29</t>
        </is>
      </c>
      <c r="B635" s="2" t="inlineStr">
        <is>
          <t>SMM磷酸铁锂极片粉指数</t>
        </is>
      </c>
      <c r="C635" s="3" t="n">
        <v>6802</v>
      </c>
      <c r="D635" s="4" t="n">
        <v>6802</v>
      </c>
      <c r="E635" s="4" t="n">
        <v>6802</v>
      </c>
      <c r="F635" s="6" t="n">
        <v>-1</v>
      </c>
      <c r="G635" s="5" t="inlineStr">
        <is>
          <t>元/锂点</t>
        </is>
      </c>
      <c r="H635" s="5" t="inlineStr">
        <is>
          <t>SMM</t>
        </is>
      </c>
    </row>
    <row r="636">
      <c r="A636" s="2" t="inlineStr">
        <is>
          <t>2026/06/29</t>
        </is>
      </c>
      <c r="B636" s="2" t="inlineStr">
        <is>
          <t>SMM磷酸铁锂电池粉指数</t>
        </is>
      </c>
      <c r="C636" s="3" t="n">
        <v>6460</v>
      </c>
      <c r="D636" s="4" t="n">
        <v>6460</v>
      </c>
      <c r="E636" s="4" t="n">
        <v>6460</v>
      </c>
      <c r="F636" s="6" t="n">
        <v>-4</v>
      </c>
      <c r="G636" s="5" t="inlineStr">
        <is>
          <t>元/锂点</t>
        </is>
      </c>
      <c r="H636" s="5" t="inlineStr">
        <is>
          <t>SMM</t>
        </is>
      </c>
    </row>
    <row r="637">
      <c r="A637" s="2" t="inlineStr">
        <is>
          <t>2026/06/29</t>
        </is>
      </c>
      <c r="B637" s="2" t="inlineStr">
        <is>
          <t>SMM钴酸锂极片粉钴系数指数</t>
        </is>
      </c>
      <c r="C637" s="7" t="n">
        <v>79.68000000000001</v>
      </c>
      <c r="D637" s="6" t="n">
        <v>79.68000000000001</v>
      </c>
      <c r="E637" s="6" t="n">
        <v>79.68000000000001</v>
      </c>
      <c r="F637" s="4" t="n">
        <v>0</v>
      </c>
      <c r="G637" s="5" t="inlineStr">
        <is>
          <t>%</t>
        </is>
      </c>
      <c r="H637" s="5" t="inlineStr">
        <is>
          <t>SMM</t>
        </is>
      </c>
    </row>
    <row r="638">
      <c r="A638" s="2" t="inlineStr">
        <is>
          <t>2026/06/29</t>
        </is>
      </c>
      <c r="B638" s="2" t="inlineStr">
        <is>
          <t>SMM钴酸锂极片粉锂系数指数</t>
        </is>
      </c>
      <c r="C638" s="7" t="n">
        <v>76.23</v>
      </c>
      <c r="D638" s="6" t="n">
        <v>76.23</v>
      </c>
      <c r="E638" s="6" t="n">
        <v>76.23</v>
      </c>
      <c r="F638" s="4" t="n">
        <v>0</v>
      </c>
      <c r="G638" s="5" t="inlineStr">
        <is>
          <t>%</t>
        </is>
      </c>
      <c r="H638" s="5" t="inlineStr">
        <is>
          <t>SMM</t>
        </is>
      </c>
    </row>
    <row r="639">
      <c r="A639" s="2" t="inlineStr">
        <is>
          <t>2026/06/29</t>
        </is>
      </c>
      <c r="B639" s="2" t="inlineStr">
        <is>
          <t>SMM钴酸锂电池粉钴系数指数</t>
        </is>
      </c>
      <c r="C639" s="7" t="n">
        <v>76.84</v>
      </c>
      <c r="D639" s="6" t="n">
        <v>76.84</v>
      </c>
      <c r="E639" s="6" t="n">
        <v>76.84</v>
      </c>
      <c r="F639" s="4" t="n">
        <v>0</v>
      </c>
      <c r="G639" s="5" t="inlineStr">
        <is>
          <t>%</t>
        </is>
      </c>
      <c r="H639" s="5" t="inlineStr">
        <is>
          <t>SMM</t>
        </is>
      </c>
    </row>
    <row r="640">
      <c r="A640" s="2" t="inlineStr">
        <is>
          <t>2026/06/29</t>
        </is>
      </c>
      <c r="B640" s="2" t="inlineStr">
        <is>
          <t>SMM钴酸锂电池粉锂系数指数</t>
        </is>
      </c>
      <c r="C640" s="7" t="n">
        <v>75.92</v>
      </c>
      <c r="D640" s="6" t="n">
        <v>75.92</v>
      </c>
      <c r="E640" s="6" t="n">
        <v>75.92</v>
      </c>
      <c r="F640" s="4" t="n">
        <v>0</v>
      </c>
      <c r="G640" s="5" t="inlineStr">
        <is>
          <t>%</t>
        </is>
      </c>
      <c r="H640" s="5" t="inlineStr">
        <is>
          <t>SMM</t>
        </is>
      </c>
    </row>
    <row r="641">
      <c r="A641" s="2" t="inlineStr">
        <is>
          <t>2026/06/29</t>
        </is>
      </c>
      <c r="B641" s="2" t="inlineStr">
        <is>
          <t>三元方壳锂电B品</t>
        </is>
      </c>
      <c r="C641" s="7" t="n">
        <v>0.75</v>
      </c>
      <c r="D641" s="6" t="n">
        <v>0.84</v>
      </c>
      <c r="E641" s="6" t="n">
        <v>0.795</v>
      </c>
      <c r="F641" s="4" t="n">
        <v>0</v>
      </c>
      <c r="G641" s="5" t="inlineStr">
        <is>
          <t>元/Ah</t>
        </is>
      </c>
      <c r="H641" s="5" t="inlineStr">
        <is>
          <t>SMM</t>
        </is>
      </c>
    </row>
    <row r="642">
      <c r="A642" s="2" t="inlineStr">
        <is>
          <t>2026/06/29</t>
        </is>
      </c>
      <c r="B642" s="2" t="inlineStr">
        <is>
          <t>六氟磷酸锂（国产）</t>
        </is>
      </c>
      <c r="C642" s="3" t="n">
        <v>105000</v>
      </c>
      <c r="D642" s="4" t="n">
        <v>108000</v>
      </c>
      <c r="E642" s="4" t="n">
        <v>106500</v>
      </c>
      <c r="F642" s="4" t="n">
        <v>0</v>
      </c>
      <c r="G642" s="5" t="inlineStr">
        <is>
          <t>元/吨</t>
        </is>
      </c>
      <c r="H642" s="5" t="inlineStr">
        <is>
          <t>SMM</t>
        </is>
      </c>
    </row>
    <row r="643">
      <c r="A643" s="2" t="inlineStr">
        <is>
          <t>2026/06/29</t>
        </is>
      </c>
      <c r="B643" s="2" t="inlineStr">
        <is>
          <t>四氧化三钴</t>
        </is>
      </c>
      <c r="C643" s="3" t="n">
        <v>329000</v>
      </c>
      <c r="D643" s="4" t="n">
        <v>341000</v>
      </c>
      <c r="E643" s="4" t="n">
        <v>335000</v>
      </c>
      <c r="F643" s="4" t="n">
        <v>0</v>
      </c>
      <c r="G643" s="5" t="inlineStr">
        <is>
          <t>元/吨</t>
        </is>
      </c>
      <c r="H643" s="5" t="inlineStr">
        <is>
          <t>SMM</t>
        </is>
      </c>
    </row>
    <row r="644">
      <c r="A644" s="2" t="inlineStr">
        <is>
          <t>2026/06/29</t>
        </is>
      </c>
      <c r="B644" s="2" t="inlineStr">
        <is>
          <t>四氧化三锰（电池级）</t>
        </is>
      </c>
      <c r="C644" s="3" t="n">
        <v>14000</v>
      </c>
      <c r="D644" s="4" t="n">
        <v>16000</v>
      </c>
      <c r="E644" s="4" t="n">
        <v>15000</v>
      </c>
      <c r="F644" s="4" t="n">
        <v>0</v>
      </c>
      <c r="G644" s="5" t="inlineStr">
        <is>
          <t>元/吨</t>
        </is>
      </c>
      <c r="H644" s="5" t="inlineStr">
        <is>
          <t>SMM</t>
        </is>
      </c>
    </row>
    <row r="645">
      <c r="A645" s="2" t="inlineStr">
        <is>
          <t>2026/06/29</t>
        </is>
      </c>
      <c r="B645" s="2" t="inlineStr">
        <is>
          <t>工业级氢氧化锂</t>
        </is>
      </c>
      <c r="C645" s="3" t="n">
        <v>125000</v>
      </c>
      <c r="D645" s="4" t="n">
        <v>128000</v>
      </c>
      <c r="E645" s="4" t="n">
        <v>126500</v>
      </c>
      <c r="F645" s="4" t="n">
        <v>0</v>
      </c>
      <c r="G645" s="5" t="inlineStr">
        <is>
          <t>元/吨</t>
        </is>
      </c>
      <c r="H645" s="5" t="inlineStr">
        <is>
          <t>SMM</t>
        </is>
      </c>
    </row>
    <row r="646">
      <c r="A646" s="2" t="inlineStr">
        <is>
          <t>2026/06/29</t>
        </is>
      </c>
      <c r="B646" s="2" t="inlineStr">
        <is>
          <t>工业级碳酸锂</t>
        </is>
      </c>
      <c r="C646" s="3" t="n">
        <v>141500</v>
      </c>
      <c r="D646" s="4" t="n">
        <v>154000</v>
      </c>
      <c r="E646" s="4" t="n">
        <v>147750</v>
      </c>
      <c r="F646" s="4" t="n">
        <v>-750</v>
      </c>
      <c r="G646" s="5" t="inlineStr">
        <is>
          <t>元/吨</t>
        </is>
      </c>
      <c r="H646" s="5" t="inlineStr">
        <is>
          <t>SMM</t>
        </is>
      </c>
    </row>
    <row r="647">
      <c r="A647" s="2" t="inlineStr">
        <is>
          <t>2026/06/29</t>
        </is>
      </c>
      <c r="B647" s="2" t="inlineStr">
        <is>
          <t>工业级金属锂</t>
        </is>
      </c>
      <c r="C647" s="3" t="n">
        <v>1040000</v>
      </c>
      <c r="D647" s="4" t="n">
        <v>1060000</v>
      </c>
      <c r="E647" s="4" t="n">
        <v>1050000</v>
      </c>
      <c r="F647" s="4" t="n">
        <v>-20000</v>
      </c>
      <c r="G647" s="5" t="inlineStr">
        <is>
          <t>元/吨</t>
        </is>
      </c>
      <c r="H647" s="5" t="inlineStr">
        <is>
          <t>SMM</t>
        </is>
      </c>
    </row>
    <row r="648">
      <c r="A648" s="2" t="inlineStr">
        <is>
          <t>2026/06/29</t>
        </is>
      </c>
      <c r="B648" s="2" t="inlineStr">
        <is>
          <t>巴西锂辉石精矿（CIF中国）现货</t>
        </is>
      </c>
      <c r="C648" s="3" t="n">
        <v>2090</v>
      </c>
      <c r="D648" s="4" t="n">
        <v>2240</v>
      </c>
      <c r="E648" s="4" t="n">
        <v>2165</v>
      </c>
      <c r="F648" s="4" t="n">
        <v>0</v>
      </c>
      <c r="G648" s="5" t="inlineStr">
        <is>
          <t>美元/吨</t>
        </is>
      </c>
      <c r="H648" s="5" t="inlineStr">
        <is>
          <t>SMM</t>
        </is>
      </c>
    </row>
    <row r="649">
      <c r="A649" s="2" t="inlineStr">
        <is>
          <t>2026/06/29</t>
        </is>
      </c>
      <c r="B649" s="2" t="inlineStr">
        <is>
          <t>废旧磷酸铁锂储能正极片</t>
        </is>
      </c>
      <c r="C649" s="3" t="n">
        <v>20050</v>
      </c>
      <c r="D649" s="4" t="n">
        <v>23100</v>
      </c>
      <c r="E649" s="4" t="n">
        <v>21575</v>
      </c>
      <c r="F649" s="6" t="n">
        <v>-50</v>
      </c>
      <c r="G649" s="5" t="inlineStr">
        <is>
          <t>元/吨</t>
        </is>
      </c>
      <c r="H649" s="5" t="inlineStr">
        <is>
          <t>SMM</t>
        </is>
      </c>
    </row>
    <row r="650">
      <c r="A650" s="2" t="inlineStr">
        <is>
          <t>2026/06/29</t>
        </is>
      </c>
      <c r="B650" s="2" t="inlineStr">
        <is>
          <t>废旧磷酸铁锂动力正极片</t>
        </is>
      </c>
      <c r="C650" s="3" t="n">
        <v>23850</v>
      </c>
      <c r="D650" s="4" t="n">
        <v>28000</v>
      </c>
      <c r="E650" s="4" t="n">
        <v>25925</v>
      </c>
      <c r="F650" s="6" t="n">
        <v>-50</v>
      </c>
      <c r="G650" s="5" t="inlineStr">
        <is>
          <t>元/吨</t>
        </is>
      </c>
      <c r="H650" s="5" t="inlineStr">
        <is>
          <t>SMM</t>
        </is>
      </c>
    </row>
    <row r="651">
      <c r="A651" s="2" t="inlineStr">
        <is>
          <t>2026/06/29</t>
        </is>
      </c>
      <c r="B651" s="2" t="inlineStr">
        <is>
          <t>废旧磷酸铁锂软包电池</t>
        </is>
      </c>
      <c r="C651" s="3" t="n">
        <v>15200</v>
      </c>
      <c r="D651" s="4" t="n">
        <v>16500</v>
      </c>
      <c r="E651" s="4" t="n">
        <v>15850</v>
      </c>
      <c r="F651" s="4" t="n">
        <v>-200</v>
      </c>
      <c r="G651" s="5" t="inlineStr">
        <is>
          <t>元/吨</t>
        </is>
      </c>
      <c r="H651" s="5" t="inlineStr">
        <is>
          <t>SMM</t>
        </is>
      </c>
    </row>
    <row r="652">
      <c r="A652" s="2" t="inlineStr">
        <is>
          <t>2026/06/29</t>
        </is>
      </c>
      <c r="B652" s="2" t="inlineStr">
        <is>
          <t>废旧磷酸铁锂钢壳电池</t>
        </is>
      </c>
      <c r="C652" s="3" t="n">
        <v>9800</v>
      </c>
      <c r="D652" s="4" t="n">
        <v>10500</v>
      </c>
      <c r="E652" s="4" t="n">
        <v>10150</v>
      </c>
      <c r="F652" s="4" t="n">
        <v>-150</v>
      </c>
      <c r="G652" s="5" t="inlineStr">
        <is>
          <t>元/吨</t>
        </is>
      </c>
      <c r="H652" s="5" t="inlineStr">
        <is>
          <t>SMM</t>
        </is>
      </c>
    </row>
    <row r="653">
      <c r="A653" s="2" t="inlineStr">
        <is>
          <t>2026/06/29</t>
        </is>
      </c>
      <c r="B653" s="2" t="inlineStr">
        <is>
          <t>废旧磷酸铁锂铝壳电池</t>
        </is>
      </c>
      <c r="C653" s="3" t="n">
        <v>16400</v>
      </c>
      <c r="D653" s="4" t="n">
        <v>17700</v>
      </c>
      <c r="E653" s="4" t="n">
        <v>17050</v>
      </c>
      <c r="F653" s="4" t="n">
        <v>-200</v>
      </c>
      <c r="G653" s="5" t="inlineStr">
        <is>
          <t>元/吨</t>
        </is>
      </c>
      <c r="H653" s="5" t="inlineStr">
        <is>
          <t>SMM</t>
        </is>
      </c>
    </row>
    <row r="654">
      <c r="A654" s="2" t="inlineStr">
        <is>
          <t>2026/06/29</t>
        </is>
      </c>
      <c r="B654" s="2" t="inlineStr">
        <is>
          <t>方形磷酸铁锂电池B品</t>
        </is>
      </c>
      <c r="C654" s="7" t="n">
        <v>0.68</v>
      </c>
      <c r="D654" s="6" t="n">
        <v>0.8</v>
      </c>
      <c r="E654" s="6" t="n">
        <v>0.74</v>
      </c>
      <c r="F654" s="4" t="n">
        <v>0</v>
      </c>
      <c r="G654" s="5" t="inlineStr">
        <is>
          <t>元/Ah</t>
        </is>
      </c>
      <c r="H654" s="5" t="inlineStr">
        <is>
          <t>SMM</t>
        </is>
      </c>
    </row>
    <row r="655">
      <c r="A655" s="2" t="inlineStr">
        <is>
          <t>2026/06/29</t>
        </is>
      </c>
      <c r="B655" s="2" t="inlineStr">
        <is>
          <t>氧化亚镍</t>
        </is>
      </c>
      <c r="C655" s="3" t="n">
        <v>118000</v>
      </c>
      <c r="D655" s="4" t="n">
        <v>126000</v>
      </c>
      <c r="E655" s="4" t="n">
        <v>122000</v>
      </c>
      <c r="F655" s="4" t="n">
        <v>0</v>
      </c>
      <c r="G655" s="5" t="inlineStr">
        <is>
          <t>元/吨</t>
        </is>
      </c>
      <c r="H655" s="5" t="inlineStr">
        <is>
          <t>SMM</t>
        </is>
      </c>
    </row>
    <row r="656">
      <c r="A656" s="2" t="inlineStr">
        <is>
          <t>2026/06/29</t>
        </is>
      </c>
      <c r="B656" s="2" t="inlineStr">
        <is>
          <t>氧化钴</t>
        </is>
      </c>
      <c r="C656" s="3" t="n">
        <v>302000</v>
      </c>
      <c r="D656" s="4" t="n">
        <v>315000</v>
      </c>
      <c r="E656" s="4" t="n">
        <v>308500</v>
      </c>
      <c r="F656" s="4" t="n">
        <v>0</v>
      </c>
      <c r="G656" s="5" t="inlineStr">
        <is>
          <t>元/吨</t>
        </is>
      </c>
      <c r="H656" s="5" t="inlineStr">
        <is>
          <t>SMM</t>
        </is>
      </c>
    </row>
    <row r="657">
      <c r="A657" s="2" t="inlineStr">
        <is>
          <t>2026/06/29</t>
        </is>
      </c>
      <c r="B657" s="2" t="inlineStr">
        <is>
          <t>氯化钴</t>
        </is>
      </c>
      <c r="C657" s="3" t="n">
        <v>104000</v>
      </c>
      <c r="D657" s="4" t="n">
        <v>106500</v>
      </c>
      <c r="E657" s="4" t="n">
        <v>105250</v>
      </c>
      <c r="F657" s="4" t="n">
        <v>0</v>
      </c>
      <c r="G657" s="5" t="inlineStr">
        <is>
          <t>元/吨</t>
        </is>
      </c>
      <c r="H657" s="5" t="inlineStr">
        <is>
          <t>SMM</t>
        </is>
      </c>
    </row>
    <row r="658">
      <c r="A658" s="2" t="inlineStr">
        <is>
          <t>2026/06/29</t>
        </is>
      </c>
      <c r="B658" s="2" t="inlineStr">
        <is>
          <t>氯化镍NiCl₂·6H₂O</t>
        </is>
      </c>
      <c r="C658" s="3" t="n">
        <v>38500</v>
      </c>
      <c r="D658" s="4" t="n">
        <v>41000</v>
      </c>
      <c r="E658" s="4" t="n">
        <v>39750</v>
      </c>
      <c r="F658" s="4" t="n">
        <v>0</v>
      </c>
      <c r="G658" s="5" t="inlineStr">
        <is>
          <t>元/吨</t>
        </is>
      </c>
      <c r="H658" s="5" t="inlineStr">
        <is>
          <t>SMM</t>
        </is>
      </c>
    </row>
    <row r="659">
      <c r="A659" s="2" t="inlineStr">
        <is>
          <t>2026/06/29</t>
        </is>
      </c>
      <c r="B659" s="2" t="inlineStr">
        <is>
          <t>津巴布韦锂辉石精矿（CIF中国）现货</t>
        </is>
      </c>
      <c r="C659" s="3" t="n">
        <v>2060</v>
      </c>
      <c r="D659" s="4" t="n">
        <v>2200</v>
      </c>
      <c r="E659" s="4" t="n">
        <v>2130</v>
      </c>
      <c r="F659" s="4" t="n">
        <v>-285</v>
      </c>
      <c r="G659" s="5" t="inlineStr">
        <is>
          <t>美元/吨</t>
        </is>
      </c>
      <c r="H659" s="5" t="inlineStr">
        <is>
          <t>SMM</t>
        </is>
      </c>
    </row>
    <row r="660">
      <c r="A660" s="2" t="inlineStr">
        <is>
          <t>2026/06/29</t>
        </is>
      </c>
      <c r="B660" s="2" t="inlineStr">
        <is>
          <t>澳大利亚锂辉石精矿（CIF中国）现货</t>
        </is>
      </c>
      <c r="C660" s="3" t="n">
        <v>2110</v>
      </c>
      <c r="D660" s="4" t="n">
        <v>2250</v>
      </c>
      <c r="E660" s="4" t="n">
        <v>2180</v>
      </c>
      <c r="F660" s="4" t="n">
        <v>0</v>
      </c>
      <c r="G660" s="5" t="inlineStr">
        <is>
          <t>美元/吨</t>
        </is>
      </c>
      <c r="H660" s="5" t="inlineStr">
        <is>
          <t>SMM</t>
        </is>
      </c>
    </row>
    <row r="661">
      <c r="A661" s="2" t="inlineStr">
        <is>
          <t>2026/06/29</t>
        </is>
      </c>
      <c r="B661" s="2" t="inlineStr">
        <is>
          <t>电池级无水氯化锂</t>
        </is>
      </c>
      <c r="C661" s="3" t="n">
        <v>230</v>
      </c>
      <c r="D661" s="4" t="n">
        <v>290</v>
      </c>
      <c r="E661" s="4" t="n">
        <v>260</v>
      </c>
      <c r="F661" s="4" t="n">
        <v>0</v>
      </c>
      <c r="G661" s="5" t="inlineStr">
        <is>
          <t>元/千克</t>
        </is>
      </c>
      <c r="H661" s="5" t="inlineStr">
        <is>
          <t>SMM</t>
        </is>
      </c>
    </row>
    <row r="662">
      <c r="A662" s="2" t="inlineStr">
        <is>
          <t>2026/06/29</t>
        </is>
      </c>
      <c r="B662" s="2" t="inlineStr">
        <is>
          <t>电池级氟化锂</t>
        </is>
      </c>
      <c r="C662" s="3" t="n">
        <v>265000</v>
      </c>
      <c r="D662" s="4" t="n">
        <v>273000</v>
      </c>
      <c r="E662" s="4" t="n">
        <v>269000</v>
      </c>
      <c r="F662" s="4" t="n">
        <v>0</v>
      </c>
      <c r="G662" s="5" t="inlineStr">
        <is>
          <t>元/吨</t>
        </is>
      </c>
      <c r="H662" s="5" t="inlineStr">
        <is>
          <t>SMM</t>
        </is>
      </c>
    </row>
    <row r="663">
      <c r="A663" s="2" t="inlineStr">
        <is>
          <t>2026/06/29</t>
        </is>
      </c>
      <c r="B663" s="2" t="inlineStr">
        <is>
          <t>电池级氢氧化锂(CIF中日韩)</t>
        </is>
      </c>
      <c r="C663" s="7" t="n">
        <v>16.7</v>
      </c>
      <c r="D663" s="6" t="n">
        <v>19.7</v>
      </c>
      <c r="E663" s="6" t="n">
        <v>18.2</v>
      </c>
      <c r="F663" s="6" t="n">
        <v>-0.2</v>
      </c>
      <c r="G663" s="5" t="inlineStr">
        <is>
          <t>美元/千克</t>
        </is>
      </c>
      <c r="H663" s="5" t="inlineStr">
        <is>
          <t>SMM</t>
        </is>
      </c>
    </row>
    <row r="664">
      <c r="A664" s="2" t="inlineStr">
        <is>
          <t>2026/06/29</t>
        </is>
      </c>
      <c r="B664" s="2" t="inlineStr">
        <is>
          <t>电池级氢氧化锂(CIF韩国)</t>
        </is>
      </c>
      <c r="C664" s="7" t="n">
        <v>16.4</v>
      </c>
      <c r="D664" s="6" t="n">
        <v>19.8</v>
      </c>
      <c r="E664" s="6" t="n">
        <v>18.1</v>
      </c>
      <c r="F664" s="6" t="n">
        <v>-0.2</v>
      </c>
      <c r="G664" s="5" t="inlineStr">
        <is>
          <t>美元/千克</t>
        </is>
      </c>
      <c r="H664" s="5" t="inlineStr">
        <is>
          <t>SMM</t>
        </is>
      </c>
    </row>
    <row r="665">
      <c r="A665" s="2" t="inlineStr">
        <is>
          <t>2026/06/29</t>
        </is>
      </c>
      <c r="B665" s="2" t="inlineStr">
        <is>
          <t>电池级氢氧化锂(微粉）</t>
        </is>
      </c>
      <c r="C665" s="3" t="n">
        <v>138000</v>
      </c>
      <c r="D665" s="4" t="n">
        <v>152000</v>
      </c>
      <c r="E665" s="4" t="n">
        <v>145000</v>
      </c>
      <c r="F665" s="4" t="n">
        <v>0</v>
      </c>
      <c r="G665" s="5" t="inlineStr">
        <is>
          <t>元/吨</t>
        </is>
      </c>
      <c r="H665" s="5" t="inlineStr">
        <is>
          <t>SMM</t>
        </is>
      </c>
    </row>
    <row r="666">
      <c r="A666" s="2" t="inlineStr">
        <is>
          <t>2026/06/29</t>
        </is>
      </c>
      <c r="B666" s="2" t="inlineStr">
        <is>
          <t>电池级氢氧化锂（粗颗粒）</t>
        </is>
      </c>
      <c r="C666" s="3" t="n">
        <v>129000</v>
      </c>
      <c r="D666" s="4" t="n">
        <v>149000</v>
      </c>
      <c r="E666" s="4" t="n">
        <v>139000</v>
      </c>
      <c r="F666" s="4" t="n">
        <v>0</v>
      </c>
      <c r="G666" s="5" t="inlineStr">
        <is>
          <t>元/吨</t>
        </is>
      </c>
      <c r="H666" s="5" t="inlineStr">
        <is>
          <t>SMM</t>
        </is>
      </c>
    </row>
    <row r="667">
      <c r="A667" s="2" t="inlineStr">
        <is>
          <t>2026/06/29</t>
        </is>
      </c>
      <c r="B667" s="2" t="inlineStr">
        <is>
          <t>电池级硫酸锰（出厂价）</t>
        </is>
      </c>
      <c r="C667" s="3" t="n">
        <v>7580</v>
      </c>
      <c r="D667" s="4" t="n">
        <v>7800</v>
      </c>
      <c r="E667" s="4" t="n">
        <v>7690</v>
      </c>
      <c r="F667" s="6" t="n">
        <v>20</v>
      </c>
      <c r="G667" s="5" t="inlineStr">
        <is>
          <t>元/吨</t>
        </is>
      </c>
      <c r="H667" s="5" t="inlineStr">
        <is>
          <t>SMM</t>
        </is>
      </c>
    </row>
    <row r="668">
      <c r="A668" s="2" t="inlineStr">
        <is>
          <t>2026/06/29</t>
        </is>
      </c>
      <c r="B668" s="2" t="inlineStr">
        <is>
          <t>电池级硫酸镍</t>
        </is>
      </c>
      <c r="C668" s="3" t="n">
        <v>32160</v>
      </c>
      <c r="D668" s="4" t="n">
        <v>32560</v>
      </c>
      <c r="E668" s="4" t="n">
        <v>32360</v>
      </c>
      <c r="F668" s="6" t="n">
        <v>-40</v>
      </c>
      <c r="G668" s="5" t="inlineStr">
        <is>
          <t>元/吨</t>
        </is>
      </c>
      <c r="H668" s="5" t="inlineStr">
        <is>
          <t>SMM</t>
        </is>
      </c>
    </row>
    <row r="669">
      <c r="A669" s="2" t="inlineStr">
        <is>
          <t>2026/06/29</t>
        </is>
      </c>
      <c r="B669" s="2" t="inlineStr">
        <is>
          <t>电池级碳酸锂</t>
        </is>
      </c>
      <c r="C669" s="3" t="n">
        <v>145500</v>
      </c>
      <c r="D669" s="4" t="n">
        <v>158000</v>
      </c>
      <c r="E669" s="4" t="n">
        <v>151750</v>
      </c>
      <c r="F669" s="4" t="n">
        <v>-750</v>
      </c>
      <c r="G669" s="5" t="inlineStr">
        <is>
          <t>元/吨</t>
        </is>
      </c>
      <c r="H669" s="5" t="inlineStr">
        <is>
          <t>SMM</t>
        </is>
      </c>
    </row>
    <row r="670">
      <c r="A670" s="2" t="inlineStr">
        <is>
          <t>2026/06/29</t>
        </is>
      </c>
      <c r="B670" s="2" t="inlineStr">
        <is>
          <t>电池级碳酸锂(CIF韩国)</t>
        </is>
      </c>
      <c r="C670" s="7" t="n">
        <v>18.5</v>
      </c>
      <c r="D670" s="6" t="n">
        <v>20.9</v>
      </c>
      <c r="E670" s="6" t="n">
        <v>19.7</v>
      </c>
      <c r="F670" s="6" t="n">
        <v>-0.2</v>
      </c>
      <c r="G670" s="5" t="inlineStr">
        <is>
          <t>美元/千克</t>
        </is>
      </c>
      <c r="H670" s="5" t="inlineStr">
        <is>
          <t>SMM</t>
        </is>
      </c>
    </row>
    <row r="671">
      <c r="A671" s="2" t="inlineStr">
        <is>
          <t>2026/06/29</t>
        </is>
      </c>
      <c r="B671" s="2" t="inlineStr">
        <is>
          <t>电池级碳酸锂（CIF中日韩）</t>
        </is>
      </c>
      <c r="C671" s="7" t="n">
        <v>18.6</v>
      </c>
      <c r="D671" s="6" t="n">
        <v>20.9</v>
      </c>
      <c r="E671" s="6" t="n">
        <v>19.75</v>
      </c>
      <c r="F671" s="6" t="n">
        <v>-0.2</v>
      </c>
      <c r="G671" s="5" t="inlineStr">
        <is>
          <t>美元/千克</t>
        </is>
      </c>
      <c r="H671" s="5" t="inlineStr">
        <is>
          <t>SMM</t>
        </is>
      </c>
    </row>
    <row r="672">
      <c r="A672" s="2" t="inlineStr">
        <is>
          <t>2026/06/29</t>
        </is>
      </c>
      <c r="B672" s="2" t="inlineStr">
        <is>
          <t>电池级金属锂</t>
        </is>
      </c>
      <c r="C672" s="3" t="n">
        <v>1070000</v>
      </c>
      <c r="D672" s="4" t="n">
        <v>1090000</v>
      </c>
      <c r="E672" s="4" t="n">
        <v>1080000</v>
      </c>
      <c r="F672" s="4" t="n">
        <v>-20000</v>
      </c>
      <c r="G672" s="5" t="inlineStr">
        <is>
          <t>元/吨</t>
        </is>
      </c>
      <c r="H672" s="5" t="inlineStr">
        <is>
          <t>SMM</t>
        </is>
      </c>
    </row>
    <row r="673">
      <c r="A673" s="2" t="inlineStr">
        <is>
          <t>2026/06/29</t>
        </is>
      </c>
      <c r="B673" s="2" t="inlineStr">
        <is>
          <t>电解钴</t>
        </is>
      </c>
      <c r="C673" s="3" t="n">
        <v>374000</v>
      </c>
      <c r="D673" s="4" t="n">
        <v>385000</v>
      </c>
      <c r="E673" s="4" t="n">
        <v>379500</v>
      </c>
      <c r="F673" s="4" t="n">
        <v>0</v>
      </c>
      <c r="G673" s="5" t="inlineStr">
        <is>
          <t>元/吨</t>
        </is>
      </c>
      <c r="H673" s="5" t="inlineStr">
        <is>
          <t>SMM</t>
        </is>
      </c>
    </row>
    <row r="674">
      <c r="A674" s="2" t="inlineStr">
        <is>
          <t>2026/06/29</t>
        </is>
      </c>
      <c r="B674" s="2" t="inlineStr">
        <is>
          <t>电解钴（鹿特丹仓库）</t>
        </is>
      </c>
      <c r="C674" s="7" t="n">
        <v>25</v>
      </c>
      <c r="D674" s="6" t="n">
        <v>27</v>
      </c>
      <c r="E674" s="6" t="n">
        <v>26</v>
      </c>
      <c r="F674" s="4" t="n">
        <v>0</v>
      </c>
      <c r="G674" s="5" t="inlineStr">
        <is>
          <t>美元/磅</t>
        </is>
      </c>
      <c r="H674" s="5" t="inlineStr">
        <is>
          <t>SMM</t>
        </is>
      </c>
    </row>
    <row r="675">
      <c r="A675" s="2" t="inlineStr">
        <is>
          <t>2026/06/29</t>
        </is>
      </c>
      <c r="B675" s="2" t="inlineStr">
        <is>
          <t>电镀级硫酸镍</t>
        </is>
      </c>
      <c r="C675" s="3" t="n">
        <v>32500</v>
      </c>
      <c r="D675" s="4" t="n">
        <v>37000</v>
      </c>
      <c r="E675" s="4" t="n">
        <v>34750</v>
      </c>
      <c r="F675" s="4" t="n">
        <v>0</v>
      </c>
      <c r="G675" s="5" t="inlineStr">
        <is>
          <t>元/吨</t>
        </is>
      </c>
      <c r="H675" s="5" t="inlineStr">
        <is>
          <t>SMM</t>
        </is>
      </c>
    </row>
    <row r="676">
      <c r="A676" s="2" t="inlineStr">
        <is>
          <t>2026/06/29</t>
        </is>
      </c>
      <c r="B676" s="2" t="inlineStr">
        <is>
          <t>硫酸钴</t>
        </is>
      </c>
      <c r="C676" s="3" t="n">
        <v>85000</v>
      </c>
      <c r="D676" s="4" t="n">
        <v>87000</v>
      </c>
      <c r="E676" s="4" t="n">
        <v>86000</v>
      </c>
      <c r="F676" s="4" t="n">
        <v>-150</v>
      </c>
      <c r="G676" s="5" t="inlineStr">
        <is>
          <t>元/吨</t>
        </is>
      </c>
      <c r="H676" s="5" t="inlineStr">
        <is>
          <t>SMM</t>
        </is>
      </c>
    </row>
    <row r="677">
      <c r="A677" s="2" t="inlineStr">
        <is>
          <t>2026/06/29</t>
        </is>
      </c>
      <c r="B677" s="2" t="inlineStr">
        <is>
          <t>碳酸钴</t>
        </is>
      </c>
      <c r="C677" s="3" t="n">
        <v>208000</v>
      </c>
      <c r="D677" s="4" t="n">
        <v>213000</v>
      </c>
      <c r="E677" s="4" t="n">
        <v>210500</v>
      </c>
      <c r="F677" s="4" t="n">
        <v>-1000</v>
      </c>
      <c r="G677" s="5" t="inlineStr">
        <is>
          <t>元/吨</t>
        </is>
      </c>
      <c r="H677" s="5" t="inlineStr">
        <is>
          <t>SMM</t>
        </is>
      </c>
    </row>
    <row r="678">
      <c r="A678" s="2" t="inlineStr">
        <is>
          <t>2026/06/29</t>
        </is>
      </c>
      <c r="B678" s="2" t="inlineStr">
        <is>
          <t>磷酸铁锂</t>
        </is>
      </c>
      <c r="C678" s="3" t="n">
        <v>55480</v>
      </c>
      <c r="D678" s="4" t="n">
        <v>56180</v>
      </c>
      <c r="E678" s="4" t="n">
        <v>55830</v>
      </c>
      <c r="F678" s="4" t="n">
        <v>-180</v>
      </c>
      <c r="G678" s="5" t="inlineStr">
        <is>
          <t>元/吨</t>
        </is>
      </c>
      <c r="H678" s="5" t="inlineStr">
        <is>
          <t>SMM</t>
        </is>
      </c>
    </row>
    <row r="679">
      <c r="A679" s="2" t="inlineStr">
        <is>
          <t>2026/06/29</t>
        </is>
      </c>
      <c r="B679" s="2" t="inlineStr">
        <is>
          <t>磷酸锰铁锂</t>
        </is>
      </c>
      <c r="C679" s="3" t="n">
        <v>61500</v>
      </c>
      <c r="D679" s="4" t="n">
        <v>66500</v>
      </c>
      <c r="E679" s="4" t="n">
        <v>64000</v>
      </c>
      <c r="F679" s="4" t="n">
        <v>0</v>
      </c>
      <c r="G679" s="5" t="inlineStr">
        <is>
          <t>元/吨</t>
        </is>
      </c>
      <c r="H679" s="5" t="inlineStr">
        <is>
          <t>SMM</t>
        </is>
      </c>
    </row>
    <row r="680">
      <c r="A680" s="2" t="inlineStr">
        <is>
          <t>2026/06/29</t>
        </is>
      </c>
      <c r="B680" s="2" t="inlineStr">
        <is>
          <t>金属钴FOB</t>
        </is>
      </c>
      <c r="C680" s="7" t="n">
        <v>24</v>
      </c>
      <c r="D680" s="6" t="n">
        <v>25</v>
      </c>
      <c r="E680" s="6" t="n">
        <v>24.5</v>
      </c>
      <c r="F680" s="4" t="n">
        <v>0</v>
      </c>
      <c r="G680" s="5" t="inlineStr">
        <is>
          <t>美元/磅</t>
        </is>
      </c>
      <c r="H680" s="5" t="inlineStr">
        <is>
          <t>SMM</t>
        </is>
      </c>
    </row>
    <row r="681">
      <c r="A681" s="2" t="inlineStr">
        <is>
          <t>2026/06/29</t>
        </is>
      </c>
      <c r="B681" s="2" t="inlineStr">
        <is>
          <t>钴中间品中钴含量≥30%</t>
        </is>
      </c>
      <c r="C681" s="3" t="n">
        <v>26122</v>
      </c>
      <c r="D681" s="4" t="n">
        <v>26122</v>
      </c>
      <c r="E681" s="4" t="n">
        <v>26122</v>
      </c>
      <c r="F681" s="4" t="n">
        <v>-661</v>
      </c>
      <c r="G681" s="5" t="inlineStr">
        <is>
          <t>元/金属吨</t>
        </is>
      </c>
      <c r="H681" s="5" t="inlineStr">
        <is>
          <t>SMM</t>
        </is>
      </c>
    </row>
    <row r="682">
      <c r="A682" s="2" t="inlineStr">
        <is>
          <t>2026/06/29</t>
        </is>
      </c>
      <c r="B682" s="2" t="inlineStr">
        <is>
          <t>钴中间品原料计价系数（对SMM硫酸钴均价）</t>
        </is>
      </c>
      <c r="C682" s="7" t="n">
        <v>99</v>
      </c>
      <c r="D682" s="4" t="n">
        <v>100</v>
      </c>
      <c r="E682" s="6" t="n">
        <v>99.5</v>
      </c>
      <c r="F682" s="4" t="n">
        <v>0</v>
      </c>
      <c r="G682" s="5" t="inlineStr">
        <is>
          <t>%</t>
        </is>
      </c>
      <c r="H682" s="5" t="inlineStr">
        <is>
          <t>SMM</t>
        </is>
      </c>
    </row>
    <row r="683">
      <c r="A683" s="2" t="inlineStr">
        <is>
          <t>2026/06/29</t>
        </is>
      </c>
      <c r="B683" s="2" t="inlineStr">
        <is>
          <t>钴酸锂</t>
        </is>
      </c>
      <c r="C683" s="3" t="n">
        <v>373000</v>
      </c>
      <c r="D683" s="4" t="n">
        <v>376000</v>
      </c>
      <c r="E683" s="4" t="n">
        <v>374500</v>
      </c>
      <c r="F683" s="4" t="n">
        <v>0</v>
      </c>
      <c r="G683" s="5" t="inlineStr">
        <is>
          <t>元/吨</t>
        </is>
      </c>
      <c r="H683" s="5" t="inlineStr">
        <is>
          <t>SMM</t>
        </is>
      </c>
    </row>
    <row r="684">
      <c r="A684" s="2" t="inlineStr">
        <is>
          <t>2026/06/29</t>
        </is>
      </c>
      <c r="B684" s="2" t="inlineStr">
        <is>
          <t>钴酸锂聚合物软包</t>
        </is>
      </c>
      <c r="C684" s="3" t="n">
        <v>96200</v>
      </c>
      <c r="D684" s="4" t="n">
        <v>98500</v>
      </c>
      <c r="E684" s="4" t="n">
        <v>97350</v>
      </c>
      <c r="F684" s="4" t="n">
        <v>-400</v>
      </c>
      <c r="G684" s="5" t="inlineStr">
        <is>
          <t>元/吨</t>
        </is>
      </c>
      <c r="H684" s="5" t="inlineStr">
        <is>
          <t>SMM</t>
        </is>
      </c>
    </row>
    <row r="685">
      <c r="A685" s="2" t="inlineStr">
        <is>
          <t>2026/06/29</t>
        </is>
      </c>
      <c r="B685" s="2" t="inlineStr">
        <is>
          <t>钴酸锂铝壳</t>
        </is>
      </c>
      <c r="C685" s="3" t="n">
        <v>84000</v>
      </c>
      <c r="D685" s="4" t="n">
        <v>90500</v>
      </c>
      <c r="E685" s="4" t="n">
        <v>87250</v>
      </c>
      <c r="F685" s="4" t="n">
        <v>-250</v>
      </c>
      <c r="G685" s="5" t="inlineStr">
        <is>
          <t>元/吨</t>
        </is>
      </c>
      <c r="H685" s="5" t="inlineStr">
        <is>
          <t>SMM</t>
        </is>
      </c>
    </row>
    <row r="686">
      <c r="A686" s="2" t="inlineStr">
        <is>
          <t>2026/06/29</t>
        </is>
      </c>
      <c r="B686" s="2" t="inlineStr">
        <is>
          <t>锰酸锂圆柱钢壳</t>
        </is>
      </c>
      <c r="C686" s="3" t="n">
        <v>5000</v>
      </c>
      <c r="D686" s="4" t="n">
        <v>7400</v>
      </c>
      <c r="E686" s="4" t="n">
        <v>6200</v>
      </c>
      <c r="F686" s="4" t="n">
        <v>0</v>
      </c>
      <c r="G686" s="5" t="inlineStr">
        <is>
          <t>元/吨</t>
        </is>
      </c>
      <c r="H686" s="5" t="inlineStr">
        <is>
          <t>SMM</t>
        </is>
      </c>
    </row>
    <row r="687">
      <c r="A687" s="2" t="inlineStr">
        <is>
          <t>2026/06/29</t>
        </is>
      </c>
      <c r="B687" s="2" t="inlineStr">
        <is>
          <t>非洲硫酸锂(CIF中国)</t>
        </is>
      </c>
      <c r="C687" s="3" t="n">
        <v>6953</v>
      </c>
      <c r="D687" s="4" t="n">
        <v>7630</v>
      </c>
      <c r="E687" s="4" t="n">
        <v>7291.5</v>
      </c>
      <c r="F687" s="6" t="n">
        <v>-33</v>
      </c>
      <c r="G687" s="5" t="inlineStr">
        <is>
          <t>美元/吨</t>
        </is>
      </c>
      <c r="H687" s="5" t="inlineStr">
        <is>
          <t>SMM</t>
        </is>
      </c>
    </row>
    <row r="688">
      <c r="A688" s="2" t="inlineStr">
        <is>
          <t>2026/06/29</t>
        </is>
      </c>
      <c r="B688" s="2" t="inlineStr">
        <is>
          <t>非洲锂辉石精矿（CIF中国）指数</t>
        </is>
      </c>
      <c r="C688" s="3" t="n">
        <v>2120</v>
      </c>
      <c r="D688" s="4" t="n">
        <v>2120</v>
      </c>
      <c r="E688" s="4" t="n">
        <v>2120</v>
      </c>
      <c r="F688" s="4" t="n">
        <v>-278</v>
      </c>
      <c r="G688" s="5" t="inlineStr">
        <is>
          <t>美元/吨</t>
        </is>
      </c>
      <c r="H688" s="5" t="inlineStr">
        <is>
          <t>SMM</t>
        </is>
      </c>
    </row>
    <row r="689">
      <c r="A689" s="2" t="inlineStr">
        <is>
          <t>2026/06/30</t>
        </is>
      </c>
      <c r="B689" s="2" t="inlineStr">
        <is>
          <t>5系三元前驱体</t>
        </is>
      </c>
      <c r="C689" s="3" t="n">
        <v>98050</v>
      </c>
      <c r="D689" s="4" t="n">
        <v>103050</v>
      </c>
      <c r="E689" s="4" t="n">
        <v>100550</v>
      </c>
      <c r="F689" s="4" t="n">
        <v>-300</v>
      </c>
      <c r="G689" s="5" t="inlineStr">
        <is>
          <t>元/吨</t>
        </is>
      </c>
      <c r="H689" s="5" t="inlineStr">
        <is>
          <t>SMM</t>
        </is>
      </c>
    </row>
    <row r="690">
      <c r="A690" s="2" t="inlineStr">
        <is>
          <t>2026/06/30</t>
        </is>
      </c>
      <c r="B690" s="2" t="inlineStr">
        <is>
          <t>5系三元材料</t>
        </is>
      </c>
      <c r="C690" s="3" t="n">
        <v>181400</v>
      </c>
      <c r="D690" s="4" t="n">
        <v>188100</v>
      </c>
      <c r="E690" s="4" t="n">
        <v>184750</v>
      </c>
      <c r="F690" s="4" t="n">
        <v>1300</v>
      </c>
      <c r="G690" s="5" t="inlineStr">
        <is>
          <t>元/吨</t>
        </is>
      </c>
      <c r="H690" s="5" t="inlineStr">
        <is>
          <t>SMM</t>
        </is>
      </c>
    </row>
    <row r="691">
      <c r="A691" s="2" t="inlineStr">
        <is>
          <t>2026/06/30</t>
        </is>
      </c>
      <c r="B691" s="2" t="inlineStr">
        <is>
          <t>6系三元前驱体（单晶/动力型）</t>
        </is>
      </c>
      <c r="C691" s="3" t="n">
        <v>90950</v>
      </c>
      <c r="D691" s="4" t="n">
        <v>95550</v>
      </c>
      <c r="E691" s="4" t="n">
        <v>93250</v>
      </c>
      <c r="F691" s="4" t="n">
        <v>-300</v>
      </c>
      <c r="G691" s="5" t="inlineStr">
        <is>
          <t>元/吨</t>
        </is>
      </c>
      <c r="H691" s="5" t="inlineStr">
        <is>
          <t>SMM</t>
        </is>
      </c>
    </row>
    <row r="692">
      <c r="A692" s="2" t="inlineStr">
        <is>
          <t>2026/06/30</t>
        </is>
      </c>
      <c r="B692" s="2" t="inlineStr">
        <is>
          <t>6系三元材料（单晶/动力型）</t>
        </is>
      </c>
      <c r="C692" s="3" t="n">
        <v>183900</v>
      </c>
      <c r="D692" s="4" t="n">
        <v>193400</v>
      </c>
      <c r="E692" s="4" t="n">
        <v>188650</v>
      </c>
      <c r="F692" s="4" t="n">
        <v>1000</v>
      </c>
      <c r="G692" s="5" t="inlineStr">
        <is>
          <t>元/吨</t>
        </is>
      </c>
      <c r="H692" s="5" t="inlineStr">
        <is>
          <t>SMM</t>
        </is>
      </c>
    </row>
    <row r="693">
      <c r="A693" s="2" t="inlineStr">
        <is>
          <t>2026/06/30</t>
        </is>
      </c>
      <c r="B693" s="2" t="inlineStr">
        <is>
          <t>8系三元前驱体（多晶/动力型）</t>
        </is>
      </c>
      <c r="C693" s="3" t="n">
        <v>112450</v>
      </c>
      <c r="D693" s="4" t="n">
        <v>118050</v>
      </c>
      <c r="E693" s="4" t="n">
        <v>115250</v>
      </c>
      <c r="F693" s="4" t="n">
        <v>-300</v>
      </c>
      <c r="G693" s="5" t="inlineStr">
        <is>
          <t>元/吨</t>
        </is>
      </c>
      <c r="H693" s="5" t="inlineStr">
        <is>
          <t>SMM</t>
        </is>
      </c>
    </row>
    <row r="694">
      <c r="A694" s="2" t="inlineStr">
        <is>
          <t>2026/06/30</t>
        </is>
      </c>
      <c r="B694" s="2" t="inlineStr">
        <is>
          <t>8系三元材料</t>
        </is>
      </c>
      <c r="C694" s="3" t="n">
        <v>207100</v>
      </c>
      <c r="D694" s="4" t="n">
        <v>216700</v>
      </c>
      <c r="E694" s="4" t="n">
        <v>211900</v>
      </c>
      <c r="F694" s="4" t="n">
        <v>1400</v>
      </c>
      <c r="G694" s="5" t="inlineStr">
        <is>
          <t>元/吨</t>
        </is>
      </c>
      <c r="H694" s="5" t="inlineStr">
        <is>
          <t>SMM</t>
        </is>
      </c>
    </row>
    <row r="695">
      <c r="A695" s="2" t="inlineStr">
        <is>
          <t>2026/06/30</t>
        </is>
      </c>
      <c r="B695" s="2" t="inlineStr">
        <is>
          <t>MHP系数（对SMM电池级硫酸镍指数）</t>
        </is>
      </c>
      <c r="C695" s="7" t="n">
        <v>81.5</v>
      </c>
      <c r="D695" s="6" t="n">
        <v>82.5</v>
      </c>
      <c r="E695" s="6" t="n">
        <v>82</v>
      </c>
      <c r="F695" s="4" t="n">
        <v>0</v>
      </c>
      <c r="G695" s="5" t="inlineStr">
        <is>
          <t>%</t>
        </is>
      </c>
      <c r="H695" s="5" t="inlineStr">
        <is>
          <t>SMM</t>
        </is>
      </c>
    </row>
    <row r="696">
      <c r="A696" s="2" t="inlineStr">
        <is>
          <t>2026/06/30</t>
        </is>
      </c>
      <c r="B696" s="2" t="inlineStr">
        <is>
          <t>MHP钴元素计价系数（对SMM硫酸钴均价）</t>
        </is>
      </c>
      <c r="C696" s="7" t="n">
        <v>92</v>
      </c>
      <c r="D696" s="6" t="n">
        <v>93</v>
      </c>
      <c r="E696" s="6" t="n">
        <v>92.5</v>
      </c>
      <c r="F696" s="4" t="n">
        <v>0</v>
      </c>
      <c r="G696" s="5" t="inlineStr">
        <is>
          <t>%</t>
        </is>
      </c>
      <c r="H696" s="5" t="inlineStr">
        <is>
          <t>SMM</t>
        </is>
      </c>
    </row>
    <row r="697">
      <c r="A697" s="2" t="inlineStr">
        <is>
          <t>2026/06/30</t>
        </is>
      </c>
      <c r="B697" s="2" t="inlineStr">
        <is>
          <t>NCA三元材料</t>
        </is>
      </c>
      <c r="C697" s="3" t="n">
        <v>205700</v>
      </c>
      <c r="D697" s="4" t="n">
        <v>213800</v>
      </c>
      <c r="E697" s="4" t="n">
        <v>209750</v>
      </c>
      <c r="F697" s="4" t="n">
        <v>1300</v>
      </c>
      <c r="G697" s="5" t="inlineStr">
        <is>
          <t>元/吨</t>
        </is>
      </c>
      <c r="H697" s="5" t="inlineStr">
        <is>
          <t>SMM</t>
        </is>
      </c>
    </row>
    <row r="698">
      <c r="A698" s="2" t="inlineStr">
        <is>
          <t>2026/06/30</t>
        </is>
      </c>
      <c r="B698" s="2" t="inlineStr">
        <is>
          <t>SMM三元极片粉钴系数指数</t>
        </is>
      </c>
      <c r="C698" s="7" t="n">
        <v>78.31999999999999</v>
      </c>
      <c r="D698" s="6" t="n">
        <v>78.31999999999999</v>
      </c>
      <c r="E698" s="6" t="n">
        <v>78.31999999999999</v>
      </c>
      <c r="F698" s="4" t="n">
        <v>0</v>
      </c>
      <c r="G698" s="5" t="inlineStr">
        <is>
          <t>%</t>
        </is>
      </c>
      <c r="H698" s="5" t="inlineStr">
        <is>
          <t>SMM</t>
        </is>
      </c>
    </row>
    <row r="699">
      <c r="A699" s="2" t="inlineStr">
        <is>
          <t>2026/06/30</t>
        </is>
      </c>
      <c r="B699" s="2" t="inlineStr">
        <is>
          <t>SMM三元极片粉锂系数指数</t>
        </is>
      </c>
      <c r="C699" s="7" t="n">
        <v>78.31999999999999</v>
      </c>
      <c r="D699" s="6" t="n">
        <v>78.31999999999999</v>
      </c>
      <c r="E699" s="6" t="n">
        <v>78.31999999999999</v>
      </c>
      <c r="F699" s="4" t="n">
        <v>0</v>
      </c>
      <c r="G699" s="5" t="inlineStr">
        <is>
          <t>%</t>
        </is>
      </c>
      <c r="H699" s="5" t="inlineStr">
        <is>
          <t>SMM</t>
        </is>
      </c>
    </row>
    <row r="700">
      <c r="A700" s="2" t="inlineStr">
        <is>
          <t>2026/06/30</t>
        </is>
      </c>
      <c r="B700" s="2" t="inlineStr">
        <is>
          <t>SMM三元极片粉镍系数指数</t>
        </is>
      </c>
      <c r="C700" s="7" t="n">
        <v>78.31999999999999</v>
      </c>
      <c r="D700" s="6" t="n">
        <v>78.31999999999999</v>
      </c>
      <c r="E700" s="6" t="n">
        <v>78.31999999999999</v>
      </c>
      <c r="F700" s="4" t="n">
        <v>0</v>
      </c>
      <c r="G700" s="5" t="inlineStr">
        <is>
          <t>%</t>
        </is>
      </c>
      <c r="H700" s="5" t="inlineStr">
        <is>
          <t>SMM</t>
        </is>
      </c>
    </row>
    <row r="701">
      <c r="A701" s="2" t="inlineStr">
        <is>
          <t>2026/06/30</t>
        </is>
      </c>
      <c r="B701" s="2" t="inlineStr">
        <is>
          <t>SMM三元电池粉钴系数指数</t>
        </is>
      </c>
      <c r="C701" s="7" t="n">
        <v>74.8</v>
      </c>
      <c r="D701" s="6" t="n">
        <v>74.8</v>
      </c>
      <c r="E701" s="6" t="n">
        <v>74.8</v>
      </c>
      <c r="F701" s="4" t="n">
        <v>0</v>
      </c>
      <c r="G701" s="5" t="inlineStr">
        <is>
          <t>%</t>
        </is>
      </c>
      <c r="H701" s="5" t="inlineStr">
        <is>
          <t>SMM</t>
        </is>
      </c>
    </row>
    <row r="702">
      <c r="A702" s="2" t="inlineStr">
        <is>
          <t>2026/06/30</t>
        </is>
      </c>
      <c r="B702" s="2" t="inlineStr">
        <is>
          <t>SMM三元电池粉锂系数指数</t>
        </is>
      </c>
      <c r="C702" s="7" t="n">
        <v>74.8</v>
      </c>
      <c r="D702" s="6" t="n">
        <v>74.8</v>
      </c>
      <c r="E702" s="6" t="n">
        <v>74.8</v>
      </c>
      <c r="F702" s="4" t="n">
        <v>0</v>
      </c>
      <c r="G702" s="5" t="inlineStr">
        <is>
          <t>%</t>
        </is>
      </c>
      <c r="H702" s="5" t="inlineStr">
        <is>
          <t>SMM</t>
        </is>
      </c>
    </row>
    <row r="703">
      <c r="A703" s="2" t="inlineStr">
        <is>
          <t>2026/06/30</t>
        </is>
      </c>
      <c r="B703" s="2" t="inlineStr">
        <is>
          <t>SMM三元电池粉镍系数指数</t>
        </is>
      </c>
      <c r="C703" s="7" t="n">
        <v>74.8</v>
      </c>
      <c r="D703" s="6" t="n">
        <v>74.8</v>
      </c>
      <c r="E703" s="6" t="n">
        <v>74.8</v>
      </c>
      <c r="F703" s="4" t="n">
        <v>0</v>
      </c>
      <c r="G703" s="5" t="inlineStr">
        <is>
          <t>%</t>
        </is>
      </c>
      <c r="H703" s="5" t="inlineStr">
        <is>
          <t>SMM</t>
        </is>
      </c>
    </row>
    <row r="704">
      <c r="A704" s="2" t="inlineStr">
        <is>
          <t>2026/06/30</t>
        </is>
      </c>
      <c r="B704" s="2" t="inlineStr">
        <is>
          <t>SMM六氟磷酸锂指数</t>
        </is>
      </c>
      <c r="C704" s="3" t="n">
        <v>99242</v>
      </c>
      <c r="D704" s="4" t="n">
        <v>103292</v>
      </c>
      <c r="E704" s="4" t="n">
        <v>101267</v>
      </c>
      <c r="F704" s="4" t="n">
        <v>-730</v>
      </c>
      <c r="G704" s="5" t="inlineStr">
        <is>
          <t>元/吨</t>
        </is>
      </c>
      <c r="H704" s="5" t="inlineStr">
        <is>
          <t>SMM</t>
        </is>
      </c>
    </row>
    <row r="705">
      <c r="A705" s="2" t="inlineStr">
        <is>
          <t>2026/06/30</t>
        </is>
      </c>
      <c r="B705" s="2" t="inlineStr">
        <is>
          <t>SMM电池级氢氧化锂指数</t>
        </is>
      </c>
      <c r="C705" s="3" t="n">
        <v>142709</v>
      </c>
      <c r="D705" s="4" t="n">
        <v>142709</v>
      </c>
      <c r="E705" s="4" t="n">
        <v>142709</v>
      </c>
      <c r="F705" s="4" t="n">
        <v>3954</v>
      </c>
      <c r="G705" s="5" t="inlineStr">
        <is>
          <t>元/吨</t>
        </is>
      </c>
      <c r="H705" s="5" t="inlineStr">
        <is>
          <t>SMM</t>
        </is>
      </c>
    </row>
    <row r="706">
      <c r="A706" s="2" t="inlineStr">
        <is>
          <t>2026/06/30</t>
        </is>
      </c>
      <c r="B706" s="2" t="inlineStr">
        <is>
          <t>SMM电池级硫酸锰指数</t>
        </is>
      </c>
      <c r="C706" s="3" t="n">
        <v>7684</v>
      </c>
      <c r="D706" s="4" t="n">
        <v>7684</v>
      </c>
      <c r="E706" s="4" t="n">
        <v>7684</v>
      </c>
      <c r="F706" s="6" t="n">
        <v>5</v>
      </c>
      <c r="G706" s="5" t="inlineStr">
        <is>
          <t>元/吨</t>
        </is>
      </c>
      <c r="H706" s="5" t="inlineStr">
        <is>
          <t>SMM</t>
        </is>
      </c>
    </row>
    <row r="707">
      <c r="A707" s="2" t="inlineStr">
        <is>
          <t>2026/06/30</t>
        </is>
      </c>
      <c r="B707" s="2" t="inlineStr">
        <is>
          <t>SMM电池级硫酸镍指数</t>
        </is>
      </c>
      <c r="C707" s="3" t="n">
        <v>32352</v>
      </c>
      <c r="D707" s="4" t="n">
        <v>32352</v>
      </c>
      <c r="E707" s="4" t="n">
        <v>32352</v>
      </c>
      <c r="F707" s="4" t="n">
        <v>-154</v>
      </c>
      <c r="G707" s="5" t="inlineStr">
        <is>
          <t>元/吨</t>
        </is>
      </c>
      <c r="H707" s="5" t="inlineStr">
        <is>
          <t>SMM</t>
        </is>
      </c>
    </row>
    <row r="708">
      <c r="A708" s="2" t="inlineStr">
        <is>
          <t>2026/06/30</t>
        </is>
      </c>
      <c r="B708" s="2" t="inlineStr">
        <is>
          <t>SMM电池级碳酸锂指数</t>
        </is>
      </c>
      <c r="C708" s="3" t="n">
        <v>156580</v>
      </c>
      <c r="D708" s="4" t="n">
        <v>156580</v>
      </c>
      <c r="E708" s="4" t="n">
        <v>156580</v>
      </c>
      <c r="F708" s="4" t="n">
        <v>6689</v>
      </c>
      <c r="G708" s="5" t="inlineStr">
        <is>
          <t>元/吨</t>
        </is>
      </c>
      <c r="H708" s="5" t="inlineStr">
        <is>
          <t>SMM</t>
        </is>
      </c>
    </row>
    <row r="709">
      <c r="A709" s="2" t="inlineStr">
        <is>
          <t>2026/06/30</t>
        </is>
      </c>
      <c r="B709" s="2" t="inlineStr">
        <is>
          <t>SMM硫酸钴指数</t>
        </is>
      </c>
      <c r="C709" s="3" t="n">
        <v>85772</v>
      </c>
      <c r="D709" s="4" t="n">
        <v>85772</v>
      </c>
      <c r="E709" s="4" t="n">
        <v>85772</v>
      </c>
      <c r="F709" s="4" t="n">
        <v>0</v>
      </c>
      <c r="G709" s="5" t="inlineStr">
        <is>
          <t>元/吨</t>
        </is>
      </c>
      <c r="H709" s="5" t="inlineStr">
        <is>
          <t>SMM</t>
        </is>
      </c>
    </row>
    <row r="710">
      <c r="A710" s="2" t="inlineStr">
        <is>
          <t>2026/06/30</t>
        </is>
      </c>
      <c r="B710" s="2" t="inlineStr">
        <is>
          <t>SMM磷酸铁锂极片粉指数</t>
        </is>
      </c>
      <c r="C710" s="3" t="n">
        <v>6803</v>
      </c>
      <c r="D710" s="4" t="n">
        <v>6803</v>
      </c>
      <c r="E710" s="4" t="n">
        <v>6803</v>
      </c>
      <c r="F710" s="6" t="n">
        <v>1</v>
      </c>
      <c r="G710" s="5" t="inlineStr">
        <is>
          <t>元/锂点</t>
        </is>
      </c>
      <c r="H710" s="5" t="inlineStr">
        <is>
          <t>SMM</t>
        </is>
      </c>
    </row>
    <row r="711">
      <c r="A711" s="2" t="inlineStr">
        <is>
          <t>2026/06/30</t>
        </is>
      </c>
      <c r="B711" s="2" t="inlineStr">
        <is>
          <t>SMM磷酸铁锂电池粉指数</t>
        </is>
      </c>
      <c r="C711" s="3" t="n">
        <v>6461</v>
      </c>
      <c r="D711" s="4" t="n">
        <v>6461</v>
      </c>
      <c r="E711" s="4" t="n">
        <v>6461</v>
      </c>
      <c r="F711" s="6" t="n">
        <v>1</v>
      </c>
      <c r="G711" s="5" t="inlineStr">
        <is>
          <t>元/锂点</t>
        </is>
      </c>
      <c r="H711" s="5" t="inlineStr">
        <is>
          <t>SMM</t>
        </is>
      </c>
    </row>
    <row r="712">
      <c r="A712" s="2" t="inlineStr">
        <is>
          <t>2026/06/30</t>
        </is>
      </c>
      <c r="B712" s="2" t="inlineStr">
        <is>
          <t>SMM钴酸锂极片粉钴系数指数</t>
        </is>
      </c>
      <c r="C712" s="7" t="n">
        <v>79.68000000000001</v>
      </c>
      <c r="D712" s="6" t="n">
        <v>79.68000000000001</v>
      </c>
      <c r="E712" s="6" t="n">
        <v>79.68000000000001</v>
      </c>
      <c r="F712" s="4" t="n">
        <v>0</v>
      </c>
      <c r="G712" s="5" t="inlineStr">
        <is>
          <t>%</t>
        </is>
      </c>
      <c r="H712" s="5" t="inlineStr">
        <is>
          <t>SMM</t>
        </is>
      </c>
    </row>
    <row r="713">
      <c r="A713" s="2" t="inlineStr">
        <is>
          <t>2026/06/30</t>
        </is>
      </c>
      <c r="B713" s="2" t="inlineStr">
        <is>
          <t>SMM钴酸锂极片粉锂系数指数</t>
        </is>
      </c>
      <c r="C713" s="7" t="n">
        <v>76.23</v>
      </c>
      <c r="D713" s="6" t="n">
        <v>76.23</v>
      </c>
      <c r="E713" s="6" t="n">
        <v>76.23</v>
      </c>
      <c r="F713" s="4" t="n">
        <v>0</v>
      </c>
      <c r="G713" s="5" t="inlineStr">
        <is>
          <t>%</t>
        </is>
      </c>
      <c r="H713" s="5" t="inlineStr">
        <is>
          <t>SMM</t>
        </is>
      </c>
    </row>
    <row r="714">
      <c r="A714" s="2" t="inlineStr">
        <is>
          <t>2026/06/30</t>
        </is>
      </c>
      <c r="B714" s="2" t="inlineStr">
        <is>
          <t>SMM钴酸锂电池粉钴系数指数</t>
        </is>
      </c>
      <c r="C714" s="7" t="n">
        <v>76.84</v>
      </c>
      <c r="D714" s="6" t="n">
        <v>76.84</v>
      </c>
      <c r="E714" s="6" t="n">
        <v>76.84</v>
      </c>
      <c r="F714" s="4" t="n">
        <v>0</v>
      </c>
      <c r="G714" s="5" t="inlineStr">
        <is>
          <t>%</t>
        </is>
      </c>
      <c r="H714" s="5" t="inlineStr">
        <is>
          <t>SMM</t>
        </is>
      </c>
    </row>
    <row r="715">
      <c r="A715" s="2" t="inlineStr">
        <is>
          <t>2026/06/30</t>
        </is>
      </c>
      <c r="B715" s="2" t="inlineStr">
        <is>
          <t>SMM钴酸锂电池粉锂系数指数</t>
        </is>
      </c>
      <c r="C715" s="7" t="n">
        <v>75.92</v>
      </c>
      <c r="D715" s="6" t="n">
        <v>75.92</v>
      </c>
      <c r="E715" s="6" t="n">
        <v>75.92</v>
      </c>
      <c r="F715" s="4" t="n">
        <v>0</v>
      </c>
      <c r="G715" s="5" t="inlineStr">
        <is>
          <t>%</t>
        </is>
      </c>
      <c r="H715" s="5" t="inlineStr">
        <is>
          <t>SMM</t>
        </is>
      </c>
    </row>
    <row r="716">
      <c r="A716" s="2" t="inlineStr">
        <is>
          <t>2026/06/30</t>
        </is>
      </c>
      <c r="B716" s="2" t="inlineStr">
        <is>
          <t>三元方壳锂电B品</t>
        </is>
      </c>
      <c r="C716" s="7" t="n">
        <v>0.75</v>
      </c>
      <c r="D716" s="6" t="n">
        <v>0.84</v>
      </c>
      <c r="E716" s="6" t="n">
        <v>0.795</v>
      </c>
      <c r="F716" s="4" t="n">
        <v>0</v>
      </c>
      <c r="G716" s="5" t="inlineStr">
        <is>
          <t>元/Ah</t>
        </is>
      </c>
      <c r="H716" s="5" t="inlineStr">
        <is>
          <t>SMM</t>
        </is>
      </c>
    </row>
    <row r="717">
      <c r="A717" s="2" t="inlineStr">
        <is>
          <t>2026/06/30</t>
        </is>
      </c>
      <c r="B717" s="2" t="inlineStr">
        <is>
          <t>六氟磷酸锂（国产）</t>
        </is>
      </c>
      <c r="C717" s="3" t="n">
        <v>102000</v>
      </c>
      <c r="D717" s="4" t="n">
        <v>105000</v>
      </c>
      <c r="E717" s="4" t="n">
        <v>103500</v>
      </c>
      <c r="F717" s="4" t="n">
        <v>-3000</v>
      </c>
      <c r="G717" s="5" t="inlineStr">
        <is>
          <t>元/吨</t>
        </is>
      </c>
      <c r="H717" s="5" t="inlineStr">
        <is>
          <t>SMM</t>
        </is>
      </c>
    </row>
    <row r="718">
      <c r="A718" s="2" t="inlineStr">
        <is>
          <t>2026/06/30</t>
        </is>
      </c>
      <c r="B718" s="2" t="inlineStr">
        <is>
          <t>四氧化三钴</t>
        </is>
      </c>
      <c r="C718" s="3" t="n">
        <v>329000</v>
      </c>
      <c r="D718" s="4" t="n">
        <v>341000</v>
      </c>
      <c r="E718" s="4" t="n">
        <v>335000</v>
      </c>
      <c r="F718" s="4" t="n">
        <v>0</v>
      </c>
      <c r="G718" s="5" t="inlineStr">
        <is>
          <t>元/吨</t>
        </is>
      </c>
      <c r="H718" s="5" t="inlineStr">
        <is>
          <t>SMM</t>
        </is>
      </c>
    </row>
    <row r="719">
      <c r="A719" s="2" t="inlineStr">
        <is>
          <t>2026/06/30</t>
        </is>
      </c>
      <c r="B719" s="2" t="inlineStr">
        <is>
          <t>四氧化三锰（电池级）</t>
        </is>
      </c>
      <c r="C719" s="3" t="n">
        <v>14000</v>
      </c>
      <c r="D719" s="4" t="n">
        <v>16000</v>
      </c>
      <c r="E719" s="4" t="n">
        <v>15000</v>
      </c>
      <c r="F719" s="4" t="n">
        <v>0</v>
      </c>
      <c r="G719" s="5" t="inlineStr">
        <is>
          <t>元/吨</t>
        </is>
      </c>
      <c r="H719" s="5" t="inlineStr">
        <is>
          <t>SMM</t>
        </is>
      </c>
    </row>
    <row r="720">
      <c r="A720" s="2" t="inlineStr">
        <is>
          <t>2026/06/30</t>
        </is>
      </c>
      <c r="B720" s="2" t="inlineStr">
        <is>
          <t>工业级氢氧化锂</t>
        </is>
      </c>
      <c r="C720" s="3" t="n">
        <v>128000</v>
      </c>
      <c r="D720" s="4" t="n">
        <v>134500</v>
      </c>
      <c r="E720" s="4" t="n">
        <v>131250</v>
      </c>
      <c r="F720" s="4" t="n">
        <v>4750</v>
      </c>
      <c r="G720" s="5" t="inlineStr">
        <is>
          <t>元/吨</t>
        </is>
      </c>
      <c r="H720" s="5" t="inlineStr">
        <is>
          <t>SMM</t>
        </is>
      </c>
    </row>
    <row r="721">
      <c r="A721" s="2" t="inlineStr">
        <is>
          <t>2026/06/30</t>
        </is>
      </c>
      <c r="B721" s="2" t="inlineStr">
        <is>
          <t>工业级碳酸锂</t>
        </is>
      </c>
      <c r="C721" s="3" t="n">
        <v>147000</v>
      </c>
      <c r="D721" s="4" t="n">
        <v>158000</v>
      </c>
      <c r="E721" s="4" t="n">
        <v>152500</v>
      </c>
      <c r="F721" s="4" t="n">
        <v>4750</v>
      </c>
      <c r="G721" s="5" t="inlineStr">
        <is>
          <t>元/吨</t>
        </is>
      </c>
      <c r="H721" s="5" t="inlineStr">
        <is>
          <t>SMM</t>
        </is>
      </c>
    </row>
    <row r="722">
      <c r="A722" s="2" t="inlineStr">
        <is>
          <t>2026/06/30</t>
        </is>
      </c>
      <c r="B722" s="2" t="inlineStr">
        <is>
          <t>工业级金属锂</t>
        </is>
      </c>
      <c r="C722" s="3" t="n">
        <v>1040000</v>
      </c>
      <c r="D722" s="4" t="n">
        <v>1060000</v>
      </c>
      <c r="E722" s="4" t="n">
        <v>1050000</v>
      </c>
      <c r="F722" s="4" t="n">
        <v>0</v>
      </c>
      <c r="G722" s="5" t="inlineStr">
        <is>
          <t>元/吨</t>
        </is>
      </c>
      <c r="H722" s="5" t="inlineStr">
        <is>
          <t>SMM</t>
        </is>
      </c>
    </row>
    <row r="723">
      <c r="A723" s="2" t="inlineStr">
        <is>
          <t>2026/06/30</t>
        </is>
      </c>
      <c r="B723" s="2" t="inlineStr">
        <is>
          <t>巴西锂辉石精矿（CIF中国）现货</t>
        </is>
      </c>
      <c r="C723" s="3" t="n">
        <v>2170</v>
      </c>
      <c r="D723" s="4" t="n">
        <v>2250</v>
      </c>
      <c r="E723" s="4" t="n">
        <v>2210</v>
      </c>
      <c r="F723" s="6" t="n">
        <v>45</v>
      </c>
      <c r="G723" s="5" t="inlineStr">
        <is>
          <t>美元/吨</t>
        </is>
      </c>
      <c r="H723" s="5" t="inlineStr">
        <is>
          <t>SMM</t>
        </is>
      </c>
    </row>
    <row r="724">
      <c r="A724" s="2" t="inlineStr">
        <is>
          <t>2026/06/30</t>
        </is>
      </c>
      <c r="B724" s="2" t="inlineStr">
        <is>
          <t>废旧磷酸铁锂储能正极片</t>
        </is>
      </c>
      <c r="C724" s="3" t="n">
        <v>20500</v>
      </c>
      <c r="D724" s="4" t="n">
        <v>23500</v>
      </c>
      <c r="E724" s="4" t="n">
        <v>22000</v>
      </c>
      <c r="F724" s="4" t="n">
        <v>425</v>
      </c>
      <c r="G724" s="5" t="inlineStr">
        <is>
          <t>元/吨</t>
        </is>
      </c>
      <c r="H724" s="5" t="inlineStr">
        <is>
          <t>SMM</t>
        </is>
      </c>
    </row>
    <row r="725">
      <c r="A725" s="2" t="inlineStr">
        <is>
          <t>2026/06/30</t>
        </is>
      </c>
      <c r="B725" s="2" t="inlineStr">
        <is>
          <t>废旧磷酸铁锂动力正极片</t>
        </is>
      </c>
      <c r="C725" s="3" t="n">
        <v>24300</v>
      </c>
      <c r="D725" s="4" t="n">
        <v>28600</v>
      </c>
      <c r="E725" s="4" t="n">
        <v>26450</v>
      </c>
      <c r="F725" s="4" t="n">
        <v>525</v>
      </c>
      <c r="G725" s="5" t="inlineStr">
        <is>
          <t>元/吨</t>
        </is>
      </c>
      <c r="H725" s="5" t="inlineStr">
        <is>
          <t>SMM</t>
        </is>
      </c>
    </row>
    <row r="726">
      <c r="A726" s="2" t="inlineStr">
        <is>
          <t>2026/06/30</t>
        </is>
      </c>
      <c r="B726" s="2" t="inlineStr">
        <is>
          <t>废旧磷酸铁锂软包电池</t>
        </is>
      </c>
      <c r="C726" s="3" t="n">
        <v>15300</v>
      </c>
      <c r="D726" s="4" t="n">
        <v>16700</v>
      </c>
      <c r="E726" s="4" t="n">
        <v>16000</v>
      </c>
      <c r="F726" s="4" t="n">
        <v>150</v>
      </c>
      <c r="G726" s="5" t="inlineStr">
        <is>
          <t>元/吨</t>
        </is>
      </c>
      <c r="H726" s="5" t="inlineStr">
        <is>
          <t>SMM</t>
        </is>
      </c>
    </row>
    <row r="727">
      <c r="A727" s="2" t="inlineStr">
        <is>
          <t>2026/06/30</t>
        </is>
      </c>
      <c r="B727" s="2" t="inlineStr">
        <is>
          <t>废旧磷酸铁锂钢壳电池</t>
        </is>
      </c>
      <c r="C727" s="3" t="n">
        <v>9800</v>
      </c>
      <c r="D727" s="4" t="n">
        <v>10700</v>
      </c>
      <c r="E727" s="4" t="n">
        <v>10250</v>
      </c>
      <c r="F727" s="4" t="n">
        <v>100</v>
      </c>
      <c r="G727" s="5" t="inlineStr">
        <is>
          <t>元/吨</t>
        </is>
      </c>
      <c r="H727" s="5" t="inlineStr">
        <is>
          <t>SMM</t>
        </is>
      </c>
    </row>
    <row r="728">
      <c r="A728" s="2" t="inlineStr">
        <is>
          <t>2026/06/30</t>
        </is>
      </c>
      <c r="B728" s="2" t="inlineStr">
        <is>
          <t>废旧磷酸铁锂铝壳电池</t>
        </is>
      </c>
      <c r="C728" s="3" t="n">
        <v>16600</v>
      </c>
      <c r="D728" s="4" t="n">
        <v>17700</v>
      </c>
      <c r="E728" s="4" t="n">
        <v>17150</v>
      </c>
      <c r="F728" s="4" t="n">
        <v>100</v>
      </c>
      <c r="G728" s="5" t="inlineStr">
        <is>
          <t>元/吨</t>
        </is>
      </c>
      <c r="H728" s="5" t="inlineStr">
        <is>
          <t>SMM</t>
        </is>
      </c>
    </row>
    <row r="729">
      <c r="A729" s="2" t="inlineStr">
        <is>
          <t>2026/06/30</t>
        </is>
      </c>
      <c r="B729" s="2" t="inlineStr">
        <is>
          <t>方形磷酸铁锂电池B品</t>
        </is>
      </c>
      <c r="C729" s="7" t="n">
        <v>0.68</v>
      </c>
      <c r="D729" s="6" t="n">
        <v>0.8</v>
      </c>
      <c r="E729" s="6" t="n">
        <v>0.74</v>
      </c>
      <c r="F729" s="4" t="n">
        <v>0</v>
      </c>
      <c r="G729" s="5" t="inlineStr">
        <is>
          <t>元/Ah</t>
        </is>
      </c>
      <c r="H729" s="5" t="inlineStr">
        <is>
          <t>SMM</t>
        </is>
      </c>
    </row>
    <row r="730">
      <c r="A730" s="2" t="inlineStr">
        <is>
          <t>2026/06/30</t>
        </is>
      </c>
      <c r="B730" s="2" t="inlineStr">
        <is>
          <t>氧化亚镍</t>
        </is>
      </c>
      <c r="C730" s="3" t="n">
        <v>118000</v>
      </c>
      <c r="D730" s="4" t="n">
        <v>126000</v>
      </c>
      <c r="E730" s="4" t="n">
        <v>122000</v>
      </c>
      <c r="F730" s="4" t="n">
        <v>0</v>
      </c>
      <c r="G730" s="5" t="inlineStr">
        <is>
          <t>元/吨</t>
        </is>
      </c>
      <c r="H730" s="5" t="inlineStr">
        <is>
          <t>SMM</t>
        </is>
      </c>
    </row>
    <row r="731">
      <c r="A731" s="2" t="inlineStr">
        <is>
          <t>2026/06/30</t>
        </is>
      </c>
      <c r="B731" s="2" t="inlineStr">
        <is>
          <t>氧化钴</t>
        </is>
      </c>
      <c r="C731" s="3" t="n">
        <v>302000</v>
      </c>
      <c r="D731" s="4" t="n">
        <v>315000</v>
      </c>
      <c r="E731" s="4" t="n">
        <v>308500</v>
      </c>
      <c r="F731" s="4" t="n">
        <v>0</v>
      </c>
      <c r="G731" s="5" t="inlineStr">
        <is>
          <t>元/吨</t>
        </is>
      </c>
      <c r="H731" s="5" t="inlineStr">
        <is>
          <t>SMM</t>
        </is>
      </c>
    </row>
    <row r="732">
      <c r="A732" s="2" t="inlineStr">
        <is>
          <t>2026/06/30</t>
        </is>
      </c>
      <c r="B732" s="2" t="inlineStr">
        <is>
          <t>氯化钴</t>
        </is>
      </c>
      <c r="C732" s="3" t="n">
        <v>104000</v>
      </c>
      <c r="D732" s="4" t="n">
        <v>106500</v>
      </c>
      <c r="E732" s="4" t="n">
        <v>105250</v>
      </c>
      <c r="F732" s="4" t="n">
        <v>0</v>
      </c>
      <c r="G732" s="5" t="inlineStr">
        <is>
          <t>元/吨</t>
        </is>
      </c>
      <c r="H732" s="5" t="inlineStr">
        <is>
          <t>SMM</t>
        </is>
      </c>
    </row>
    <row r="733">
      <c r="A733" s="2" t="inlineStr">
        <is>
          <t>2026/06/30</t>
        </is>
      </c>
      <c r="B733" s="2" t="inlineStr">
        <is>
          <t>氯化镍NiCl₂·6H₂O</t>
        </is>
      </c>
      <c r="C733" s="3" t="n">
        <v>38500</v>
      </c>
      <c r="D733" s="4" t="n">
        <v>41000</v>
      </c>
      <c r="E733" s="4" t="n">
        <v>39750</v>
      </c>
      <c r="F733" s="4" t="n">
        <v>0</v>
      </c>
      <c r="G733" s="5" t="inlineStr">
        <is>
          <t>元/吨</t>
        </is>
      </c>
      <c r="H733" s="5" t="inlineStr">
        <is>
          <t>SMM</t>
        </is>
      </c>
    </row>
    <row r="734">
      <c r="A734" s="2" t="inlineStr">
        <is>
          <t>2026/06/30</t>
        </is>
      </c>
      <c r="B734" s="2" t="inlineStr">
        <is>
          <t>津巴布韦锂辉石精矿（CIF中国）现货</t>
        </is>
      </c>
      <c r="C734" s="3" t="n">
        <v>2060</v>
      </c>
      <c r="D734" s="4" t="n">
        <v>2200</v>
      </c>
      <c r="E734" s="4" t="n">
        <v>2130</v>
      </c>
      <c r="F734" s="4" t="n">
        <v>-285</v>
      </c>
      <c r="G734" s="5" t="inlineStr">
        <is>
          <t>美元/吨</t>
        </is>
      </c>
      <c r="H734" s="5" t="inlineStr">
        <is>
          <t>SMM</t>
        </is>
      </c>
    </row>
    <row r="735">
      <c r="A735" s="2" t="inlineStr">
        <is>
          <t>2026/06/30</t>
        </is>
      </c>
      <c r="B735" s="2" t="inlineStr">
        <is>
          <t>澳大利亚锂辉石精矿（CIF中国）现货</t>
        </is>
      </c>
      <c r="C735" s="3" t="n">
        <v>2190</v>
      </c>
      <c r="D735" s="4" t="n">
        <v>2260</v>
      </c>
      <c r="E735" s="4" t="n">
        <v>2225</v>
      </c>
      <c r="F735" s="6" t="n">
        <v>45</v>
      </c>
      <c r="G735" s="5" t="inlineStr">
        <is>
          <t>美元/吨</t>
        </is>
      </c>
      <c r="H735" s="5" t="inlineStr">
        <is>
          <t>SMM</t>
        </is>
      </c>
    </row>
    <row r="736">
      <c r="A736" s="2" t="inlineStr">
        <is>
          <t>2026/06/30</t>
        </is>
      </c>
      <c r="B736" s="2" t="inlineStr">
        <is>
          <t>电池级无水氯化锂</t>
        </is>
      </c>
      <c r="C736" s="3" t="n">
        <v>230</v>
      </c>
      <c r="D736" s="4" t="n">
        <v>290</v>
      </c>
      <c r="E736" s="4" t="n">
        <v>260</v>
      </c>
      <c r="F736" s="4" t="n">
        <v>0</v>
      </c>
      <c r="G736" s="5" t="inlineStr">
        <is>
          <t>元/千克</t>
        </is>
      </c>
      <c r="H736" s="5" t="inlineStr">
        <is>
          <t>SMM</t>
        </is>
      </c>
    </row>
    <row r="737">
      <c r="A737" s="2" t="inlineStr">
        <is>
          <t>2026/06/30</t>
        </is>
      </c>
      <c r="B737" s="2" t="inlineStr">
        <is>
          <t>电池级氟化锂</t>
        </is>
      </c>
      <c r="C737" s="3" t="n">
        <v>265000</v>
      </c>
      <c r="D737" s="4" t="n">
        <v>273000</v>
      </c>
      <c r="E737" s="4" t="n">
        <v>269000</v>
      </c>
      <c r="F737" s="4" t="n">
        <v>0</v>
      </c>
      <c r="G737" s="5" t="inlineStr">
        <is>
          <t>元/吨</t>
        </is>
      </c>
      <c r="H737" s="5" t="inlineStr">
        <is>
          <t>SMM</t>
        </is>
      </c>
    </row>
    <row r="738">
      <c r="A738" s="2" t="inlineStr">
        <is>
          <t>2026/06/30</t>
        </is>
      </c>
      <c r="B738" s="2" t="inlineStr">
        <is>
          <t>电池级氢氧化锂(CIF中日韩)</t>
        </is>
      </c>
      <c r="C738" s="7" t="n">
        <v>17</v>
      </c>
      <c r="D738" s="6" t="n">
        <v>19.9</v>
      </c>
      <c r="E738" s="6" t="n">
        <v>18.45</v>
      </c>
      <c r="F738" s="6" t="n">
        <v>0.25</v>
      </c>
      <c r="G738" s="5" t="inlineStr">
        <is>
          <t>美元/千克</t>
        </is>
      </c>
      <c r="H738" s="5" t="inlineStr">
        <is>
          <t>SMM</t>
        </is>
      </c>
    </row>
    <row r="739">
      <c r="A739" s="2" t="inlineStr">
        <is>
          <t>2026/06/30</t>
        </is>
      </c>
      <c r="B739" s="2" t="inlineStr">
        <is>
          <t>电池级氢氧化锂(CIF韩国)</t>
        </is>
      </c>
      <c r="C739" s="7" t="n">
        <v>16.7</v>
      </c>
      <c r="D739" s="6" t="n">
        <v>20</v>
      </c>
      <c r="E739" s="6" t="n">
        <v>18.35</v>
      </c>
      <c r="F739" s="6" t="n">
        <v>0.25</v>
      </c>
      <c r="G739" s="5" t="inlineStr">
        <is>
          <t>美元/千克</t>
        </is>
      </c>
      <c r="H739" s="5" t="inlineStr">
        <is>
          <t>SMM</t>
        </is>
      </c>
    </row>
    <row r="740">
      <c r="A740" s="2" t="inlineStr">
        <is>
          <t>2026/06/30</t>
        </is>
      </c>
      <c r="B740" s="2" t="inlineStr">
        <is>
          <t>电池级氢氧化锂(微粉）</t>
        </is>
      </c>
      <c r="C740" s="3" t="n">
        <v>144500</v>
      </c>
      <c r="D740" s="4" t="n">
        <v>155000</v>
      </c>
      <c r="E740" s="4" t="n">
        <v>149750</v>
      </c>
      <c r="F740" s="4" t="n">
        <v>4750</v>
      </c>
      <c r="G740" s="5" t="inlineStr">
        <is>
          <t>元/吨</t>
        </is>
      </c>
      <c r="H740" s="5" t="inlineStr">
        <is>
          <t>SMM</t>
        </is>
      </c>
    </row>
    <row r="741">
      <c r="A741" s="2" t="inlineStr">
        <is>
          <t>2026/06/30</t>
        </is>
      </c>
      <c r="B741" s="2" t="inlineStr">
        <is>
          <t>电池级氢氧化锂（粗颗粒）</t>
        </is>
      </c>
      <c r="C741" s="3" t="n">
        <v>135500</v>
      </c>
      <c r="D741" s="4" t="n">
        <v>152000</v>
      </c>
      <c r="E741" s="4" t="n">
        <v>143750</v>
      </c>
      <c r="F741" s="4" t="n">
        <v>4750</v>
      </c>
      <c r="G741" s="5" t="inlineStr">
        <is>
          <t>元/吨</t>
        </is>
      </c>
      <c r="H741" s="5" t="inlineStr">
        <is>
          <t>SMM</t>
        </is>
      </c>
    </row>
    <row r="742">
      <c r="A742" s="2" t="inlineStr">
        <is>
          <t>2026/06/30</t>
        </is>
      </c>
      <c r="B742" s="2" t="inlineStr">
        <is>
          <t>电池级硫酸锰（出厂价）</t>
        </is>
      </c>
      <c r="C742" s="3" t="n">
        <v>7580</v>
      </c>
      <c r="D742" s="4" t="n">
        <v>7800</v>
      </c>
      <c r="E742" s="4" t="n">
        <v>7690</v>
      </c>
      <c r="F742" s="4" t="n">
        <v>0</v>
      </c>
      <c r="G742" s="5" t="inlineStr">
        <is>
          <t>元/吨</t>
        </is>
      </c>
      <c r="H742" s="5" t="inlineStr">
        <is>
          <t>SMM</t>
        </is>
      </c>
    </row>
    <row r="743">
      <c r="A743" s="2" t="inlineStr">
        <is>
          <t>2026/06/30</t>
        </is>
      </c>
      <c r="B743" s="2" t="inlineStr">
        <is>
          <t>电池级硫酸镍</t>
        </is>
      </c>
      <c r="C743" s="3" t="n">
        <v>32000</v>
      </c>
      <c r="D743" s="4" t="n">
        <v>32400</v>
      </c>
      <c r="E743" s="4" t="n">
        <v>32200</v>
      </c>
      <c r="F743" s="4" t="n">
        <v>-160</v>
      </c>
      <c r="G743" s="5" t="inlineStr">
        <is>
          <t>元/吨</t>
        </is>
      </c>
      <c r="H743" s="5" t="inlineStr">
        <is>
          <t>SMM</t>
        </is>
      </c>
    </row>
    <row r="744">
      <c r="A744" s="2" t="inlineStr">
        <is>
          <t>2026/06/30</t>
        </is>
      </c>
      <c r="B744" s="2" t="inlineStr">
        <is>
          <t>电池级碳酸锂</t>
        </is>
      </c>
      <c r="C744" s="3" t="n">
        <v>151000</v>
      </c>
      <c r="D744" s="4" t="n">
        <v>162000</v>
      </c>
      <c r="E744" s="4" t="n">
        <v>156500</v>
      </c>
      <c r="F744" s="4" t="n">
        <v>4750</v>
      </c>
      <c r="G744" s="5" t="inlineStr">
        <is>
          <t>元/吨</t>
        </is>
      </c>
      <c r="H744" s="5" t="inlineStr">
        <is>
          <t>SMM</t>
        </is>
      </c>
    </row>
    <row r="745">
      <c r="A745" s="2" t="inlineStr">
        <is>
          <t>2026/06/30</t>
        </is>
      </c>
      <c r="B745" s="2" t="inlineStr">
        <is>
          <t>电池级碳酸锂(CIF韩国)</t>
        </is>
      </c>
      <c r="C745" s="7" t="n">
        <v>18.8</v>
      </c>
      <c r="D745" s="6" t="n">
        <v>21.1</v>
      </c>
      <c r="E745" s="6" t="n">
        <v>19.95</v>
      </c>
      <c r="F745" s="6" t="n">
        <v>0.25</v>
      </c>
      <c r="G745" s="5" t="inlineStr">
        <is>
          <t>美元/千克</t>
        </is>
      </c>
      <c r="H745" s="5" t="inlineStr">
        <is>
          <t>SMM</t>
        </is>
      </c>
    </row>
    <row r="746">
      <c r="A746" s="2" t="inlineStr">
        <is>
          <t>2026/06/30</t>
        </is>
      </c>
      <c r="B746" s="2" t="inlineStr">
        <is>
          <t>电池级碳酸锂（CIF中日韩）</t>
        </is>
      </c>
      <c r="C746" s="7" t="n">
        <v>18.9</v>
      </c>
      <c r="D746" s="6" t="n">
        <v>21.1</v>
      </c>
      <c r="E746" s="6" t="n">
        <v>20</v>
      </c>
      <c r="F746" s="6" t="n">
        <v>0.25</v>
      </c>
      <c r="G746" s="5" t="inlineStr">
        <is>
          <t>美元/千克</t>
        </is>
      </c>
      <c r="H746" s="5" t="inlineStr">
        <is>
          <t>SMM</t>
        </is>
      </c>
    </row>
    <row r="747">
      <c r="A747" s="2" t="inlineStr">
        <is>
          <t>2026/06/30</t>
        </is>
      </c>
      <c r="B747" s="2" t="inlineStr">
        <is>
          <t>电池级金属锂</t>
        </is>
      </c>
      <c r="C747" s="3" t="n">
        <v>1070000</v>
      </c>
      <c r="D747" s="4" t="n">
        <v>1090000</v>
      </c>
      <c r="E747" s="4" t="n">
        <v>1080000</v>
      </c>
      <c r="F747" s="4" t="n">
        <v>0</v>
      </c>
      <c r="G747" s="5" t="inlineStr">
        <is>
          <t>元/吨</t>
        </is>
      </c>
      <c r="H747" s="5" t="inlineStr">
        <is>
          <t>SMM</t>
        </is>
      </c>
    </row>
    <row r="748">
      <c r="A748" s="2" t="inlineStr">
        <is>
          <t>2026/06/30</t>
        </is>
      </c>
      <c r="B748" s="2" t="inlineStr">
        <is>
          <t>电解钴</t>
        </is>
      </c>
      <c r="C748" s="3" t="n">
        <v>374000</v>
      </c>
      <c r="D748" s="4" t="n">
        <v>385000</v>
      </c>
      <c r="E748" s="4" t="n">
        <v>379500</v>
      </c>
      <c r="F748" s="4" t="n">
        <v>0</v>
      </c>
      <c r="G748" s="5" t="inlineStr">
        <is>
          <t>元/吨</t>
        </is>
      </c>
      <c r="H748" s="5" t="inlineStr">
        <is>
          <t>SMM</t>
        </is>
      </c>
    </row>
    <row r="749">
      <c r="A749" s="2" t="inlineStr">
        <is>
          <t>2026/06/30</t>
        </is>
      </c>
      <c r="B749" s="2" t="inlineStr">
        <is>
          <t>电解钴（鹿特丹仓库）</t>
        </is>
      </c>
      <c r="C749" s="7" t="n">
        <v>25</v>
      </c>
      <c r="D749" s="6" t="n">
        <v>27</v>
      </c>
      <c r="E749" s="6" t="n">
        <v>26</v>
      </c>
      <c r="F749" s="4" t="n">
        <v>0</v>
      </c>
      <c r="G749" s="5" t="inlineStr">
        <is>
          <t>美元/磅</t>
        </is>
      </c>
      <c r="H749" s="5" t="inlineStr">
        <is>
          <t>SMM</t>
        </is>
      </c>
    </row>
    <row r="750">
      <c r="A750" s="2" t="inlineStr">
        <is>
          <t>2026/06/30</t>
        </is>
      </c>
      <c r="B750" s="2" t="inlineStr">
        <is>
          <t>电镀级硫酸镍</t>
        </is>
      </c>
      <c r="C750" s="3" t="n">
        <v>32500</v>
      </c>
      <c r="D750" s="4" t="n">
        <v>37000</v>
      </c>
      <c r="E750" s="4" t="n">
        <v>34750</v>
      </c>
      <c r="F750" s="4" t="n">
        <v>0</v>
      </c>
      <c r="G750" s="5" t="inlineStr">
        <is>
          <t>元/吨</t>
        </is>
      </c>
      <c r="H750" s="5" t="inlineStr">
        <is>
          <t>SMM</t>
        </is>
      </c>
    </row>
    <row r="751">
      <c r="A751" s="2" t="inlineStr">
        <is>
          <t>2026/06/30</t>
        </is>
      </c>
      <c r="B751" s="2" t="inlineStr">
        <is>
          <t>硫酸钴</t>
        </is>
      </c>
      <c r="C751" s="3" t="n">
        <v>85000</v>
      </c>
      <c r="D751" s="4" t="n">
        <v>87000</v>
      </c>
      <c r="E751" s="4" t="n">
        <v>86000</v>
      </c>
      <c r="F751" s="4" t="n">
        <v>0</v>
      </c>
      <c r="G751" s="5" t="inlineStr">
        <is>
          <t>元/吨</t>
        </is>
      </c>
      <c r="H751" s="5" t="inlineStr">
        <is>
          <t>SMM</t>
        </is>
      </c>
    </row>
    <row r="752">
      <c r="A752" s="2" t="inlineStr">
        <is>
          <t>2026/06/30</t>
        </is>
      </c>
      <c r="B752" s="2" t="inlineStr">
        <is>
          <t>碳酸钴</t>
        </is>
      </c>
      <c r="C752" s="3" t="n">
        <v>208000</v>
      </c>
      <c r="D752" s="4" t="n">
        <v>213000</v>
      </c>
      <c r="E752" s="4" t="n">
        <v>210500</v>
      </c>
      <c r="F752" s="4" t="n">
        <v>0</v>
      </c>
      <c r="G752" s="5" t="inlineStr">
        <is>
          <t>元/吨</t>
        </is>
      </c>
      <c r="H752" s="5" t="inlineStr">
        <is>
          <t>SMM</t>
        </is>
      </c>
    </row>
    <row r="753">
      <c r="A753" s="2" t="inlineStr">
        <is>
          <t>2026/06/30</t>
        </is>
      </c>
      <c r="B753" s="2" t="inlineStr">
        <is>
          <t>磷酸铁锂</t>
        </is>
      </c>
      <c r="C753" s="3" t="n">
        <v>56640</v>
      </c>
      <c r="D753" s="4" t="n">
        <v>57340</v>
      </c>
      <c r="E753" s="4" t="n">
        <v>56990</v>
      </c>
      <c r="F753" s="4" t="n">
        <v>1160</v>
      </c>
      <c r="G753" s="5" t="inlineStr">
        <is>
          <t>元/吨</t>
        </is>
      </c>
      <c r="H753" s="5" t="inlineStr">
        <is>
          <t>SMM</t>
        </is>
      </c>
    </row>
    <row r="754">
      <c r="A754" s="2" t="inlineStr">
        <is>
          <t>2026/06/30</t>
        </is>
      </c>
      <c r="B754" s="2" t="inlineStr">
        <is>
          <t>磷酸锰铁锂</t>
        </is>
      </c>
      <c r="C754" s="3" t="n">
        <v>62500</v>
      </c>
      <c r="D754" s="4" t="n">
        <v>67500</v>
      </c>
      <c r="E754" s="4" t="n">
        <v>65000</v>
      </c>
      <c r="F754" s="4" t="n">
        <v>1000</v>
      </c>
      <c r="G754" s="5" t="inlineStr">
        <is>
          <t>元/吨</t>
        </is>
      </c>
      <c r="H754" s="5" t="inlineStr">
        <is>
          <t>SMM</t>
        </is>
      </c>
    </row>
    <row r="755">
      <c r="A755" s="2" t="inlineStr">
        <is>
          <t>2026/06/30</t>
        </is>
      </c>
      <c r="B755" s="2" t="inlineStr">
        <is>
          <t>金属钴FOB</t>
        </is>
      </c>
      <c r="C755" s="7" t="n">
        <v>24</v>
      </c>
      <c r="D755" s="6" t="n">
        <v>25</v>
      </c>
      <c r="E755" s="6" t="n">
        <v>24.5</v>
      </c>
      <c r="F755" s="4" t="n">
        <v>0</v>
      </c>
      <c r="G755" s="5" t="inlineStr">
        <is>
          <t>美元/磅</t>
        </is>
      </c>
      <c r="H755" s="5" t="inlineStr">
        <is>
          <t>SMM</t>
        </is>
      </c>
    </row>
    <row r="756">
      <c r="A756" s="2" t="inlineStr">
        <is>
          <t>2026/06/30</t>
        </is>
      </c>
      <c r="B756" s="2" t="inlineStr">
        <is>
          <t>钴中间品中钴含量≥30%</t>
        </is>
      </c>
      <c r="C756" s="3" t="n">
        <v>26122</v>
      </c>
      <c r="D756" s="4" t="n">
        <v>26122</v>
      </c>
      <c r="E756" s="4" t="n">
        <v>26122</v>
      </c>
      <c r="F756" s="4" t="n">
        <v>-661</v>
      </c>
      <c r="G756" s="5" t="inlineStr">
        <is>
          <t>元/金属吨</t>
        </is>
      </c>
      <c r="H756" s="5" t="inlineStr">
        <is>
          <t>SMM</t>
        </is>
      </c>
    </row>
    <row r="757">
      <c r="A757" s="2" t="inlineStr">
        <is>
          <t>2026/06/30</t>
        </is>
      </c>
      <c r="B757" s="2" t="inlineStr">
        <is>
          <t>钴中间品原料计价系数（对SMM硫酸钴均价）</t>
        </is>
      </c>
      <c r="C757" s="7" t="n">
        <v>99</v>
      </c>
      <c r="D757" s="4" t="n">
        <v>100</v>
      </c>
      <c r="E757" s="6" t="n">
        <v>99.5</v>
      </c>
      <c r="F757" s="4" t="n">
        <v>0</v>
      </c>
      <c r="G757" s="5" t="inlineStr">
        <is>
          <t>%</t>
        </is>
      </c>
      <c r="H757" s="5" t="inlineStr">
        <is>
          <t>SMM</t>
        </is>
      </c>
    </row>
    <row r="758">
      <c r="A758" s="2" t="inlineStr">
        <is>
          <t>2026/06/30</t>
        </is>
      </c>
      <c r="B758" s="2" t="inlineStr">
        <is>
          <t>钴酸锂</t>
        </is>
      </c>
      <c r="C758" s="3" t="n">
        <v>373000</v>
      </c>
      <c r="D758" s="4" t="n">
        <v>376000</v>
      </c>
      <c r="E758" s="4" t="n">
        <v>374500</v>
      </c>
      <c r="F758" s="4" t="n">
        <v>0</v>
      </c>
      <c r="G758" s="5" t="inlineStr">
        <is>
          <t>元/吨</t>
        </is>
      </c>
      <c r="H758" s="5" t="inlineStr">
        <is>
          <t>SMM</t>
        </is>
      </c>
    </row>
    <row r="759">
      <c r="A759" s="2" t="inlineStr">
        <is>
          <t>2026/06/30</t>
        </is>
      </c>
      <c r="B759" s="2" t="inlineStr">
        <is>
          <t>钴酸锂聚合物软包</t>
        </is>
      </c>
      <c r="C759" s="3" t="n">
        <v>96200</v>
      </c>
      <c r="D759" s="4" t="n">
        <v>98500</v>
      </c>
      <c r="E759" s="4" t="n">
        <v>97350</v>
      </c>
      <c r="F759" s="4" t="n">
        <v>0</v>
      </c>
      <c r="G759" s="5" t="inlineStr">
        <is>
          <t>元/吨</t>
        </is>
      </c>
      <c r="H759" s="5" t="inlineStr">
        <is>
          <t>SMM</t>
        </is>
      </c>
    </row>
    <row r="760">
      <c r="A760" s="2" t="inlineStr">
        <is>
          <t>2026/06/30</t>
        </is>
      </c>
      <c r="B760" s="2" t="inlineStr">
        <is>
          <t>钴酸锂铝壳</t>
        </is>
      </c>
      <c r="C760" s="3" t="n">
        <v>84000</v>
      </c>
      <c r="D760" s="4" t="n">
        <v>90500</v>
      </c>
      <c r="E760" s="4" t="n">
        <v>87250</v>
      </c>
      <c r="F760" s="4" t="n">
        <v>0</v>
      </c>
      <c r="G760" s="5" t="inlineStr">
        <is>
          <t>元/吨</t>
        </is>
      </c>
      <c r="H760" s="5" t="inlineStr">
        <is>
          <t>SMM</t>
        </is>
      </c>
    </row>
    <row r="761">
      <c r="A761" s="2" t="inlineStr">
        <is>
          <t>2026/06/30</t>
        </is>
      </c>
      <c r="B761" s="2" t="inlineStr">
        <is>
          <t>锰酸锂圆柱钢壳</t>
        </is>
      </c>
      <c r="C761" s="3" t="n">
        <v>5000</v>
      </c>
      <c r="D761" s="4" t="n">
        <v>7400</v>
      </c>
      <c r="E761" s="4" t="n">
        <v>6200</v>
      </c>
      <c r="F761" s="4" t="n">
        <v>0</v>
      </c>
      <c r="G761" s="5" t="inlineStr">
        <is>
          <t>元/吨</t>
        </is>
      </c>
      <c r="H761" s="5" t="inlineStr">
        <is>
          <t>SMM</t>
        </is>
      </c>
    </row>
    <row r="762">
      <c r="A762" s="2" t="inlineStr">
        <is>
          <t>2026/06/30</t>
        </is>
      </c>
      <c r="B762" s="2" t="inlineStr">
        <is>
          <t>非洲硫酸锂(CIF中国)</t>
        </is>
      </c>
      <c r="C762" s="3" t="n">
        <v>7253</v>
      </c>
      <c r="D762" s="4" t="n">
        <v>7848</v>
      </c>
      <c r="E762" s="4" t="n">
        <v>7550.5</v>
      </c>
      <c r="F762" s="4" t="n">
        <v>259</v>
      </c>
      <c r="G762" s="5" t="inlineStr">
        <is>
          <t>美元/吨</t>
        </is>
      </c>
      <c r="H762" s="5" t="inlineStr">
        <is>
          <t>SMM</t>
        </is>
      </c>
    </row>
    <row r="763">
      <c r="A763" s="2" t="inlineStr">
        <is>
          <t>2026/06/30</t>
        </is>
      </c>
      <c r="B763" s="2" t="inlineStr">
        <is>
          <t>非洲锂辉石精矿（CIF中国）指数</t>
        </is>
      </c>
      <c r="C763" s="3" t="n">
        <v>2120</v>
      </c>
      <c r="D763" s="4" t="n">
        <v>2120</v>
      </c>
      <c r="E763" s="4" t="n">
        <v>2120</v>
      </c>
      <c r="F763" s="4" t="n">
        <v>-278</v>
      </c>
      <c r="G763" s="5" t="inlineStr">
        <is>
          <t>美元/吨</t>
        </is>
      </c>
      <c r="H763" s="5" t="inlineStr">
        <is>
          <t>SMM</t>
        </is>
      </c>
    </row>
    <row r="764">
      <c r="A764" s="2" t="inlineStr">
        <is>
          <t>2026/07/01</t>
        </is>
      </c>
      <c r="B764" s="2" t="inlineStr">
        <is>
          <t>5系三元前驱体</t>
        </is>
      </c>
      <c r="C764" s="3" t="n">
        <v>97500</v>
      </c>
      <c r="D764" s="4" t="n">
        <v>102500</v>
      </c>
      <c r="E764" s="4" t="n">
        <v>100000</v>
      </c>
      <c r="F764" s="4" t="n">
        <v>-550</v>
      </c>
      <c r="G764" s="5" t="inlineStr">
        <is>
          <t>元/吨</t>
        </is>
      </c>
      <c r="H764" s="5" t="inlineStr">
        <is>
          <t>SMM</t>
        </is>
      </c>
    </row>
    <row r="765">
      <c r="A765" s="2" t="inlineStr">
        <is>
          <t>2026/07/01</t>
        </is>
      </c>
      <c r="B765" s="2" t="inlineStr">
        <is>
          <t>5系三元材料</t>
        </is>
      </c>
      <c r="C765" s="3" t="n">
        <v>182000</v>
      </c>
      <c r="D765" s="4" t="n">
        <v>189100</v>
      </c>
      <c r="E765" s="4" t="n">
        <v>185550</v>
      </c>
      <c r="F765" s="4" t="n">
        <v>800</v>
      </c>
      <c r="G765" s="5" t="inlineStr">
        <is>
          <t>元/吨</t>
        </is>
      </c>
      <c r="H765" s="5" t="inlineStr">
        <is>
          <t>SMM</t>
        </is>
      </c>
    </row>
    <row r="766">
      <c r="A766" s="2" t="inlineStr">
        <is>
          <t>2026/07/01</t>
        </is>
      </c>
      <c r="B766" s="2" t="inlineStr">
        <is>
          <t>6系三元前驱体（单晶/动力型）</t>
        </is>
      </c>
      <c r="C766" s="3" t="n">
        <v>90450</v>
      </c>
      <c r="D766" s="4" t="n">
        <v>94950</v>
      </c>
      <c r="E766" s="4" t="n">
        <v>92700</v>
      </c>
      <c r="F766" s="4" t="n">
        <v>-550</v>
      </c>
      <c r="G766" s="5" t="inlineStr">
        <is>
          <t>元/吨</t>
        </is>
      </c>
      <c r="H766" s="5" t="inlineStr">
        <is>
          <t>SMM</t>
        </is>
      </c>
    </row>
    <row r="767">
      <c r="A767" s="2" t="inlineStr">
        <is>
          <t>2026/07/01</t>
        </is>
      </c>
      <c r="B767" s="2" t="inlineStr">
        <is>
          <t>6系三元材料（单晶/动力型）</t>
        </is>
      </c>
      <c r="C767" s="3" t="n">
        <v>184700</v>
      </c>
      <c r="D767" s="4" t="n">
        <v>194200</v>
      </c>
      <c r="E767" s="4" t="n">
        <v>189450</v>
      </c>
      <c r="F767" s="4" t="n">
        <v>800</v>
      </c>
      <c r="G767" s="5" t="inlineStr">
        <is>
          <t>元/吨</t>
        </is>
      </c>
      <c r="H767" s="5" t="inlineStr">
        <is>
          <t>SMM</t>
        </is>
      </c>
    </row>
    <row r="768">
      <c r="A768" s="2" t="inlineStr">
        <is>
          <t>2026/07/01</t>
        </is>
      </c>
      <c r="B768" s="2" t="inlineStr">
        <is>
          <t>8系三元前驱体（多晶/动力型）</t>
        </is>
      </c>
      <c r="C768" s="3" t="n">
        <v>111650</v>
      </c>
      <c r="D768" s="4" t="n">
        <v>117250</v>
      </c>
      <c r="E768" s="4" t="n">
        <v>114450</v>
      </c>
      <c r="F768" s="4" t="n">
        <v>-800</v>
      </c>
      <c r="G768" s="5" t="inlineStr">
        <is>
          <t>元/吨</t>
        </is>
      </c>
      <c r="H768" s="5" t="inlineStr">
        <is>
          <t>SMM</t>
        </is>
      </c>
    </row>
    <row r="769">
      <c r="A769" s="2" t="inlineStr">
        <is>
          <t>2026/07/01</t>
        </is>
      </c>
      <c r="B769" s="2" t="inlineStr">
        <is>
          <t>8系三元材料</t>
        </is>
      </c>
      <c r="C769" s="3" t="n">
        <v>207800</v>
      </c>
      <c r="D769" s="4" t="n">
        <v>217400</v>
      </c>
      <c r="E769" s="4" t="n">
        <v>212600</v>
      </c>
      <c r="F769" s="4" t="n">
        <v>700</v>
      </c>
      <c r="G769" s="5" t="inlineStr">
        <is>
          <t>元/吨</t>
        </is>
      </c>
      <c r="H769" s="5" t="inlineStr">
        <is>
          <t>SMM</t>
        </is>
      </c>
    </row>
    <row r="770">
      <c r="A770" s="2" t="inlineStr">
        <is>
          <t>2026/07/01</t>
        </is>
      </c>
      <c r="B770" s="2" t="inlineStr">
        <is>
          <t>MHP系数（对SMM电池级硫酸镍指数）</t>
        </is>
      </c>
      <c r="C770" s="7" t="n">
        <v>81</v>
      </c>
      <c r="D770" s="6" t="n">
        <v>82</v>
      </c>
      <c r="E770" s="6" t="n">
        <v>81.5</v>
      </c>
      <c r="F770" s="6" t="n">
        <v>-0.5</v>
      </c>
      <c r="G770" s="5" t="inlineStr">
        <is>
          <t>%</t>
        </is>
      </c>
      <c r="H770" s="5" t="inlineStr">
        <is>
          <t>SMM</t>
        </is>
      </c>
    </row>
    <row r="771">
      <c r="A771" s="2" t="inlineStr">
        <is>
          <t>2026/07/01</t>
        </is>
      </c>
      <c r="B771" s="2" t="inlineStr">
        <is>
          <t>MHP钴元素计价系数（对SMM硫酸钴均价）</t>
        </is>
      </c>
      <c r="C771" s="7" t="n">
        <v>92</v>
      </c>
      <c r="D771" s="6" t="n">
        <v>93</v>
      </c>
      <c r="E771" s="6" t="n">
        <v>92.5</v>
      </c>
      <c r="F771" s="4" t="n">
        <v>0</v>
      </c>
      <c r="G771" s="5" t="inlineStr">
        <is>
          <t>%</t>
        </is>
      </c>
      <c r="H771" s="5" t="inlineStr">
        <is>
          <t>SMM</t>
        </is>
      </c>
    </row>
    <row r="772">
      <c r="A772" s="2" t="inlineStr">
        <is>
          <t>2026/07/01</t>
        </is>
      </c>
      <c r="B772" s="2" t="inlineStr">
        <is>
          <t>NCA三元材料</t>
        </is>
      </c>
      <c r="C772" s="3" t="n">
        <v>206500</v>
      </c>
      <c r="D772" s="4" t="n">
        <v>214600</v>
      </c>
      <c r="E772" s="4" t="n">
        <v>210550</v>
      </c>
      <c r="F772" s="4" t="n">
        <v>800</v>
      </c>
      <c r="G772" s="5" t="inlineStr">
        <is>
          <t>元/吨</t>
        </is>
      </c>
      <c r="H772" s="5" t="inlineStr">
        <is>
          <t>SMM</t>
        </is>
      </c>
    </row>
    <row r="773">
      <c r="A773" s="2" t="inlineStr">
        <is>
          <t>2026/07/01</t>
        </is>
      </c>
      <c r="B773" s="2" t="inlineStr">
        <is>
          <t>SMM三元极片粉钴系数指数</t>
        </is>
      </c>
      <c r="C773" s="7" t="n">
        <v>78.31999999999999</v>
      </c>
      <c r="D773" s="6" t="n">
        <v>78.31999999999999</v>
      </c>
      <c r="E773" s="6" t="n">
        <v>78.31999999999999</v>
      </c>
      <c r="F773" s="4" t="n">
        <v>0</v>
      </c>
      <c r="G773" s="5" t="inlineStr">
        <is>
          <t>%</t>
        </is>
      </c>
      <c r="H773" s="5" t="inlineStr">
        <is>
          <t>SMM</t>
        </is>
      </c>
    </row>
    <row r="774">
      <c r="A774" s="2" t="inlineStr">
        <is>
          <t>2026/07/01</t>
        </is>
      </c>
      <c r="B774" s="2" t="inlineStr">
        <is>
          <t>SMM三元极片粉锂系数指数</t>
        </is>
      </c>
      <c r="C774" s="7" t="n">
        <v>78.31999999999999</v>
      </c>
      <c r="D774" s="6" t="n">
        <v>78.31999999999999</v>
      </c>
      <c r="E774" s="6" t="n">
        <v>78.31999999999999</v>
      </c>
      <c r="F774" s="4" t="n">
        <v>0</v>
      </c>
      <c r="G774" s="5" t="inlineStr">
        <is>
          <t>%</t>
        </is>
      </c>
      <c r="H774" s="5" t="inlineStr">
        <is>
          <t>SMM</t>
        </is>
      </c>
    </row>
    <row r="775">
      <c r="A775" s="2" t="inlineStr">
        <is>
          <t>2026/07/01</t>
        </is>
      </c>
      <c r="B775" s="2" t="inlineStr">
        <is>
          <t>SMM三元极片粉镍系数指数</t>
        </is>
      </c>
      <c r="C775" s="7" t="n">
        <v>78.31999999999999</v>
      </c>
      <c r="D775" s="6" t="n">
        <v>78.31999999999999</v>
      </c>
      <c r="E775" s="6" t="n">
        <v>78.31999999999999</v>
      </c>
      <c r="F775" s="4" t="n">
        <v>0</v>
      </c>
      <c r="G775" s="5" t="inlineStr">
        <is>
          <t>%</t>
        </is>
      </c>
      <c r="H775" s="5" t="inlineStr">
        <is>
          <t>SMM</t>
        </is>
      </c>
    </row>
    <row r="776">
      <c r="A776" s="2" t="inlineStr">
        <is>
          <t>2026/07/01</t>
        </is>
      </c>
      <c r="B776" s="2" t="inlineStr">
        <is>
          <t>SMM三元电池粉钴系数指数</t>
        </is>
      </c>
      <c r="C776" s="7" t="n">
        <v>74.8</v>
      </c>
      <c r="D776" s="6" t="n">
        <v>74.8</v>
      </c>
      <c r="E776" s="6" t="n">
        <v>74.8</v>
      </c>
      <c r="F776" s="4" t="n">
        <v>0</v>
      </c>
      <c r="G776" s="5" t="inlineStr">
        <is>
          <t>%</t>
        </is>
      </c>
      <c r="H776" s="5" t="inlineStr">
        <is>
          <t>SMM</t>
        </is>
      </c>
    </row>
    <row r="777">
      <c r="A777" s="2" t="inlineStr">
        <is>
          <t>2026/07/01</t>
        </is>
      </c>
      <c r="B777" s="2" t="inlineStr">
        <is>
          <t>SMM三元电池粉锂系数指数</t>
        </is>
      </c>
      <c r="C777" s="7" t="n">
        <v>74.8</v>
      </c>
      <c r="D777" s="6" t="n">
        <v>74.8</v>
      </c>
      <c r="E777" s="6" t="n">
        <v>74.8</v>
      </c>
      <c r="F777" s="4" t="n">
        <v>0</v>
      </c>
      <c r="G777" s="5" t="inlineStr">
        <is>
          <t>%</t>
        </is>
      </c>
      <c r="H777" s="5" t="inlineStr">
        <is>
          <t>SMM</t>
        </is>
      </c>
    </row>
    <row r="778">
      <c r="A778" s="2" t="inlineStr">
        <is>
          <t>2026/07/01</t>
        </is>
      </c>
      <c r="B778" s="2" t="inlineStr">
        <is>
          <t>SMM三元电池粉镍系数指数</t>
        </is>
      </c>
      <c r="C778" s="7" t="n">
        <v>74.8</v>
      </c>
      <c r="D778" s="6" t="n">
        <v>74.8</v>
      </c>
      <c r="E778" s="6" t="n">
        <v>74.8</v>
      </c>
      <c r="F778" s="4" t="n">
        <v>0</v>
      </c>
      <c r="G778" s="5" t="inlineStr">
        <is>
          <t>%</t>
        </is>
      </c>
      <c r="H778" s="5" t="inlineStr">
        <is>
          <t>SMM</t>
        </is>
      </c>
    </row>
    <row r="779">
      <c r="A779" s="2" t="inlineStr">
        <is>
          <t>2026/07/01</t>
        </is>
      </c>
      <c r="B779" s="2" t="inlineStr">
        <is>
          <t>SMM六氟磷酸锂指数</t>
        </is>
      </c>
      <c r="C779" s="3" t="n">
        <v>97149</v>
      </c>
      <c r="D779" s="4" t="n">
        <v>101114</v>
      </c>
      <c r="E779" s="4" t="n">
        <v>99131.5</v>
      </c>
      <c r="F779" s="4" t="n">
        <v>-2135.5</v>
      </c>
      <c r="G779" s="5" t="inlineStr">
        <is>
          <t>元/吨</t>
        </is>
      </c>
      <c r="H779" s="5" t="inlineStr">
        <is>
          <t>SMM</t>
        </is>
      </c>
    </row>
    <row r="780">
      <c r="A780" s="2" t="inlineStr">
        <is>
          <t>2026/07/01</t>
        </is>
      </c>
      <c r="B780" s="2" t="inlineStr">
        <is>
          <t>SMM电池级氢氧化锂指数</t>
        </is>
      </c>
      <c r="C780" s="3" t="n">
        <v>147108</v>
      </c>
      <c r="D780" s="4" t="n">
        <v>147108</v>
      </c>
      <c r="E780" s="4" t="n">
        <v>147108</v>
      </c>
      <c r="F780" s="4" t="n">
        <v>4399</v>
      </c>
      <c r="G780" s="5" t="inlineStr">
        <is>
          <t>元/吨</t>
        </is>
      </c>
      <c r="H780" s="5" t="inlineStr">
        <is>
          <t>SMM</t>
        </is>
      </c>
    </row>
    <row r="781">
      <c r="A781" s="2" t="inlineStr">
        <is>
          <t>2026/07/01</t>
        </is>
      </c>
      <c r="B781" s="2" t="inlineStr">
        <is>
          <t>SMM电池级硫酸锰指数</t>
        </is>
      </c>
      <c r="C781" s="3" t="n">
        <v>7687</v>
      </c>
      <c r="D781" s="4" t="n">
        <v>7687</v>
      </c>
      <c r="E781" s="4" t="n">
        <v>7687</v>
      </c>
      <c r="F781" s="6" t="n">
        <v>3</v>
      </c>
      <c r="G781" s="5" t="inlineStr">
        <is>
          <t>元/吨</t>
        </is>
      </c>
      <c r="H781" s="5" t="inlineStr">
        <is>
          <t>SMM</t>
        </is>
      </c>
    </row>
    <row r="782">
      <c r="A782" s="2" t="inlineStr">
        <is>
          <t>2026/07/01</t>
        </is>
      </c>
      <c r="B782" s="2" t="inlineStr">
        <is>
          <t>SMM电池级硫酸镍指数</t>
        </is>
      </c>
      <c r="C782" s="3" t="n">
        <v>31994</v>
      </c>
      <c r="D782" s="4" t="n">
        <v>31994</v>
      </c>
      <c r="E782" s="4" t="n">
        <v>31994</v>
      </c>
      <c r="F782" s="4" t="n">
        <v>-358</v>
      </c>
      <c r="G782" s="5" t="inlineStr">
        <is>
          <t>元/吨</t>
        </is>
      </c>
      <c r="H782" s="5" t="inlineStr">
        <is>
          <t>SMM</t>
        </is>
      </c>
    </row>
    <row r="783">
      <c r="A783" s="2" t="inlineStr">
        <is>
          <t>2026/07/01</t>
        </is>
      </c>
      <c r="B783" s="2" t="inlineStr">
        <is>
          <t>SMM电池级碳酸锂指数</t>
        </is>
      </c>
      <c r="C783" s="3" t="n">
        <v>160218</v>
      </c>
      <c r="D783" s="4" t="n">
        <v>160218</v>
      </c>
      <c r="E783" s="4" t="n">
        <v>160218</v>
      </c>
      <c r="F783" s="4" t="n">
        <v>3638</v>
      </c>
      <c r="G783" s="5" t="inlineStr">
        <is>
          <t>元/吨</t>
        </is>
      </c>
      <c r="H783" s="5" t="inlineStr">
        <is>
          <t>SMM</t>
        </is>
      </c>
    </row>
    <row r="784">
      <c r="A784" s="2" t="inlineStr">
        <is>
          <t>2026/07/01</t>
        </is>
      </c>
      <c r="B784" s="2" t="inlineStr">
        <is>
          <t>SMM硫酸钴指数</t>
        </is>
      </c>
      <c r="C784" s="3" t="n">
        <v>85741</v>
      </c>
      <c r="D784" s="4" t="n">
        <v>85741</v>
      </c>
      <c r="E784" s="4" t="n">
        <v>85741</v>
      </c>
      <c r="F784" s="6" t="n">
        <v>-31</v>
      </c>
      <c r="G784" s="5" t="inlineStr">
        <is>
          <t>元/吨</t>
        </is>
      </c>
      <c r="H784" s="5" t="inlineStr">
        <is>
          <t>SMM</t>
        </is>
      </c>
    </row>
    <row r="785">
      <c r="A785" s="2" t="inlineStr">
        <is>
          <t>2026/07/01</t>
        </is>
      </c>
      <c r="B785" s="2" t="inlineStr">
        <is>
          <t>SMM磷酸铁锂极片粉指数</t>
        </is>
      </c>
      <c r="C785" s="3" t="n">
        <v>6839</v>
      </c>
      <c r="D785" s="4" t="n">
        <v>6839</v>
      </c>
      <c r="E785" s="4" t="n">
        <v>6839</v>
      </c>
      <c r="F785" s="6" t="n">
        <v>36</v>
      </c>
      <c r="G785" s="5" t="inlineStr">
        <is>
          <t>元/锂点</t>
        </is>
      </c>
      <c r="H785" s="5" t="inlineStr">
        <is>
          <t>SMM</t>
        </is>
      </c>
    </row>
    <row r="786">
      <c r="A786" s="2" t="inlineStr">
        <is>
          <t>2026/07/01</t>
        </is>
      </c>
      <c r="B786" s="2" t="inlineStr">
        <is>
          <t>SMM磷酸铁锂电池粉指数</t>
        </is>
      </c>
      <c r="C786" s="3" t="n">
        <v>6471</v>
      </c>
      <c r="D786" s="4" t="n">
        <v>6471</v>
      </c>
      <c r="E786" s="4" t="n">
        <v>6471</v>
      </c>
      <c r="F786" s="6" t="n">
        <v>10</v>
      </c>
      <c r="G786" s="5" t="inlineStr">
        <is>
          <t>元/锂点</t>
        </is>
      </c>
      <c r="H786" s="5" t="inlineStr">
        <is>
          <t>SMM</t>
        </is>
      </c>
    </row>
    <row r="787">
      <c r="A787" s="2" t="inlineStr">
        <is>
          <t>2026/07/01</t>
        </is>
      </c>
      <c r="B787" s="2" t="inlineStr">
        <is>
          <t>SMM钴酸锂极片粉钴系数指数</t>
        </is>
      </c>
      <c r="C787" s="7" t="n">
        <v>79.68000000000001</v>
      </c>
      <c r="D787" s="6" t="n">
        <v>79.68000000000001</v>
      </c>
      <c r="E787" s="6" t="n">
        <v>79.68000000000001</v>
      </c>
      <c r="F787" s="4" t="n">
        <v>0</v>
      </c>
      <c r="G787" s="5" t="inlineStr">
        <is>
          <t>%</t>
        </is>
      </c>
      <c r="H787" s="5" t="inlineStr">
        <is>
          <t>SMM</t>
        </is>
      </c>
    </row>
    <row r="788">
      <c r="A788" s="2" t="inlineStr">
        <is>
          <t>2026/07/01</t>
        </is>
      </c>
      <c r="B788" s="2" t="inlineStr">
        <is>
          <t>SMM钴酸锂极片粉锂系数指数</t>
        </is>
      </c>
      <c r="C788" s="7" t="n">
        <v>76.23</v>
      </c>
      <c r="D788" s="6" t="n">
        <v>76.23</v>
      </c>
      <c r="E788" s="6" t="n">
        <v>76.23</v>
      </c>
      <c r="F788" s="4" t="n">
        <v>0</v>
      </c>
      <c r="G788" s="5" t="inlineStr">
        <is>
          <t>%</t>
        </is>
      </c>
      <c r="H788" s="5" t="inlineStr">
        <is>
          <t>SMM</t>
        </is>
      </c>
    </row>
    <row r="789">
      <c r="A789" s="2" t="inlineStr">
        <is>
          <t>2026/07/01</t>
        </is>
      </c>
      <c r="B789" s="2" t="inlineStr">
        <is>
          <t>SMM钴酸锂电池粉钴系数指数</t>
        </is>
      </c>
      <c r="C789" s="7" t="n">
        <v>76.84</v>
      </c>
      <c r="D789" s="6" t="n">
        <v>76.84</v>
      </c>
      <c r="E789" s="6" t="n">
        <v>76.84</v>
      </c>
      <c r="F789" s="4" t="n">
        <v>0</v>
      </c>
      <c r="G789" s="5" t="inlineStr">
        <is>
          <t>%</t>
        </is>
      </c>
      <c r="H789" s="5" t="inlineStr">
        <is>
          <t>SMM</t>
        </is>
      </c>
    </row>
    <row r="790">
      <c r="A790" s="2" t="inlineStr">
        <is>
          <t>2026/07/01</t>
        </is>
      </c>
      <c r="B790" s="2" t="inlineStr">
        <is>
          <t>SMM钴酸锂电池粉锂系数指数</t>
        </is>
      </c>
      <c r="C790" s="7" t="n">
        <v>75.92</v>
      </c>
      <c r="D790" s="6" t="n">
        <v>75.92</v>
      </c>
      <c r="E790" s="6" t="n">
        <v>75.92</v>
      </c>
      <c r="F790" s="4" t="n">
        <v>0</v>
      </c>
      <c r="G790" s="5" t="inlineStr">
        <is>
          <t>%</t>
        </is>
      </c>
      <c r="H790" s="5" t="inlineStr">
        <is>
          <t>SMM</t>
        </is>
      </c>
    </row>
    <row r="791">
      <c r="A791" s="2" t="inlineStr">
        <is>
          <t>2026/07/01</t>
        </is>
      </c>
      <c r="B791" s="2" t="inlineStr">
        <is>
          <t>三元方壳锂电B品</t>
        </is>
      </c>
      <c r="C791" s="7" t="n">
        <v>0.75</v>
      </c>
      <c r="D791" s="6" t="n">
        <v>0.84</v>
      </c>
      <c r="E791" s="6" t="n">
        <v>0.795</v>
      </c>
      <c r="F791" s="4" t="n">
        <v>0</v>
      </c>
      <c r="G791" s="5" t="inlineStr">
        <is>
          <t>元/Ah</t>
        </is>
      </c>
      <c r="H791" s="5" t="inlineStr">
        <is>
          <t>SMM</t>
        </is>
      </c>
    </row>
    <row r="792">
      <c r="A792" s="2" t="inlineStr">
        <is>
          <t>2026/07/01</t>
        </is>
      </c>
      <c r="B792" s="2" t="inlineStr">
        <is>
          <t>六氟磷酸锂（国产）</t>
        </is>
      </c>
      <c r="C792" s="3" t="n">
        <v>102000</v>
      </c>
      <c r="D792" s="4" t="n">
        <v>105000</v>
      </c>
      <c r="E792" s="4" t="n">
        <v>103500</v>
      </c>
      <c r="F792" s="4" t="n">
        <v>0</v>
      </c>
      <c r="G792" s="5" t="inlineStr">
        <is>
          <t>元/吨</t>
        </is>
      </c>
      <c r="H792" s="5" t="inlineStr">
        <is>
          <t>SMM</t>
        </is>
      </c>
    </row>
    <row r="793">
      <c r="A793" s="2" t="inlineStr">
        <is>
          <t>2026/07/01</t>
        </is>
      </c>
      <c r="B793" s="2" t="inlineStr">
        <is>
          <t>四氧化三钴</t>
        </is>
      </c>
      <c r="C793" s="3" t="n">
        <v>325000</v>
      </c>
      <c r="D793" s="4" t="n">
        <v>338000</v>
      </c>
      <c r="E793" s="4" t="n">
        <v>331500</v>
      </c>
      <c r="F793" s="4" t="n">
        <v>-3500</v>
      </c>
      <c r="G793" s="5" t="inlineStr">
        <is>
          <t>元/吨</t>
        </is>
      </c>
      <c r="H793" s="5" t="inlineStr">
        <is>
          <t>SMM</t>
        </is>
      </c>
    </row>
    <row r="794">
      <c r="A794" s="2" t="inlineStr">
        <is>
          <t>2026/07/01</t>
        </is>
      </c>
      <c r="B794" s="2" t="inlineStr">
        <is>
          <t>四氧化三锰（电池级）</t>
        </is>
      </c>
      <c r="C794" s="3" t="n">
        <v>14000</v>
      </c>
      <c r="D794" s="4" t="n">
        <v>16000</v>
      </c>
      <c r="E794" s="4" t="n">
        <v>15000</v>
      </c>
      <c r="F794" s="4" t="n">
        <v>0</v>
      </c>
      <c r="G794" s="5" t="inlineStr">
        <is>
          <t>元/吨</t>
        </is>
      </c>
      <c r="H794" s="5" t="inlineStr">
        <is>
          <t>SMM</t>
        </is>
      </c>
    </row>
    <row r="795">
      <c r="A795" s="2" t="inlineStr">
        <is>
          <t>2026/07/01</t>
        </is>
      </c>
      <c r="B795" s="2" t="inlineStr">
        <is>
          <t>工业级氢氧化锂</t>
        </is>
      </c>
      <c r="C795" s="3" t="n">
        <v>132500</v>
      </c>
      <c r="D795" s="4" t="n">
        <v>137500</v>
      </c>
      <c r="E795" s="4" t="n">
        <v>135000</v>
      </c>
      <c r="F795" s="4" t="n">
        <v>3750</v>
      </c>
      <c r="G795" s="5" t="inlineStr">
        <is>
          <t>元/吨</t>
        </is>
      </c>
      <c r="H795" s="5" t="inlineStr">
        <is>
          <t>SMM</t>
        </is>
      </c>
    </row>
    <row r="796">
      <c r="A796" s="2" t="inlineStr">
        <is>
          <t>2026/07/01</t>
        </is>
      </c>
      <c r="B796" s="2" t="inlineStr">
        <is>
          <t>工业级碳酸锂</t>
        </is>
      </c>
      <c r="C796" s="3" t="n">
        <v>151000</v>
      </c>
      <c r="D796" s="4" t="n">
        <v>161000</v>
      </c>
      <c r="E796" s="4" t="n">
        <v>156000</v>
      </c>
      <c r="F796" s="4" t="n">
        <v>3500</v>
      </c>
      <c r="G796" s="5" t="inlineStr">
        <is>
          <t>元/吨</t>
        </is>
      </c>
      <c r="H796" s="5" t="inlineStr">
        <is>
          <t>SMM</t>
        </is>
      </c>
    </row>
    <row r="797">
      <c r="A797" s="2" t="inlineStr">
        <is>
          <t>2026/07/01</t>
        </is>
      </c>
      <c r="B797" s="2" t="inlineStr">
        <is>
          <t>工业级金属锂</t>
        </is>
      </c>
      <c r="C797" s="3" t="n">
        <v>1040000</v>
      </c>
      <c r="D797" s="4" t="n">
        <v>1060000</v>
      </c>
      <c r="E797" s="4" t="n">
        <v>1050000</v>
      </c>
      <c r="F797" s="4" t="n">
        <v>0</v>
      </c>
      <c r="G797" s="5" t="inlineStr">
        <is>
          <t>元/吨</t>
        </is>
      </c>
      <c r="H797" s="5" t="inlineStr">
        <is>
          <t>SMM</t>
        </is>
      </c>
    </row>
    <row r="798">
      <c r="A798" s="2" t="inlineStr">
        <is>
          <t>2026/07/01</t>
        </is>
      </c>
      <c r="B798" s="2" t="inlineStr">
        <is>
          <t>巴西锂辉石精矿（CIF中国）现货</t>
        </is>
      </c>
      <c r="C798" s="3" t="n">
        <v>2210</v>
      </c>
      <c r="D798" s="4" t="n">
        <v>2310</v>
      </c>
      <c r="E798" s="4" t="n">
        <v>2260</v>
      </c>
      <c r="F798" s="6" t="n">
        <v>50</v>
      </c>
      <c r="G798" s="5" t="inlineStr">
        <is>
          <t>美元/吨</t>
        </is>
      </c>
      <c r="H798" s="5" t="inlineStr">
        <is>
          <t>SMM</t>
        </is>
      </c>
    </row>
    <row r="799">
      <c r="A799" s="2" t="inlineStr">
        <is>
          <t>2026/07/01</t>
        </is>
      </c>
      <c r="B799" s="2" t="inlineStr">
        <is>
          <t>废旧磷酸铁锂储能正极片</t>
        </is>
      </c>
      <c r="C799" s="3" t="n">
        <v>21250</v>
      </c>
      <c r="D799" s="4" t="n">
        <v>24500</v>
      </c>
      <c r="E799" s="4" t="n">
        <v>22875</v>
      </c>
      <c r="F799" s="4" t="n">
        <v>875</v>
      </c>
      <c r="G799" s="5" t="inlineStr">
        <is>
          <t>元/吨</t>
        </is>
      </c>
      <c r="H799" s="5" t="inlineStr">
        <is>
          <t>SMM</t>
        </is>
      </c>
    </row>
    <row r="800">
      <c r="A800" s="2" t="inlineStr">
        <is>
          <t>2026/07/01</t>
        </is>
      </c>
      <c r="B800" s="2" t="inlineStr">
        <is>
          <t>废旧磷酸铁锂动力正极片</t>
        </is>
      </c>
      <c r="C800" s="3" t="n">
        <v>25450</v>
      </c>
      <c r="D800" s="4" t="n">
        <v>29400</v>
      </c>
      <c r="E800" s="4" t="n">
        <v>27425</v>
      </c>
      <c r="F800" s="4" t="n">
        <v>975</v>
      </c>
      <c r="G800" s="5" t="inlineStr">
        <is>
          <t>元/吨</t>
        </is>
      </c>
      <c r="H800" s="5" t="inlineStr">
        <is>
          <t>SMM</t>
        </is>
      </c>
    </row>
    <row r="801">
      <c r="A801" s="2" t="inlineStr">
        <is>
          <t>2026/07/01</t>
        </is>
      </c>
      <c r="B801" s="2" t="inlineStr">
        <is>
          <t>废旧磷酸铁锂软包电池</t>
        </is>
      </c>
      <c r="C801" s="3" t="n">
        <v>15400</v>
      </c>
      <c r="D801" s="4" t="n">
        <v>17000</v>
      </c>
      <c r="E801" s="4" t="n">
        <v>16200</v>
      </c>
      <c r="F801" s="4" t="n">
        <v>200</v>
      </c>
      <c r="G801" s="5" t="inlineStr">
        <is>
          <t>元/吨</t>
        </is>
      </c>
      <c r="H801" s="5" t="inlineStr">
        <is>
          <t>SMM</t>
        </is>
      </c>
    </row>
    <row r="802">
      <c r="A802" s="2" t="inlineStr">
        <is>
          <t>2026/07/01</t>
        </is>
      </c>
      <c r="B802" s="2" t="inlineStr">
        <is>
          <t>废旧磷酸铁锂钢壳电池</t>
        </is>
      </c>
      <c r="C802" s="3" t="n">
        <v>9800</v>
      </c>
      <c r="D802" s="4" t="n">
        <v>11100</v>
      </c>
      <c r="E802" s="4" t="n">
        <v>10450</v>
      </c>
      <c r="F802" s="4" t="n">
        <v>200</v>
      </c>
      <c r="G802" s="5" t="inlineStr">
        <is>
          <t>元/吨</t>
        </is>
      </c>
      <c r="H802" s="5" t="inlineStr">
        <is>
          <t>SMM</t>
        </is>
      </c>
    </row>
    <row r="803">
      <c r="A803" s="2" t="inlineStr">
        <is>
          <t>2026/07/01</t>
        </is>
      </c>
      <c r="B803" s="2" t="inlineStr">
        <is>
          <t>废旧磷酸铁锂铝壳电池</t>
        </is>
      </c>
      <c r="C803" s="3" t="n">
        <v>16700</v>
      </c>
      <c r="D803" s="4" t="n">
        <v>18000</v>
      </c>
      <c r="E803" s="4" t="n">
        <v>17350</v>
      </c>
      <c r="F803" s="4" t="n">
        <v>200</v>
      </c>
      <c r="G803" s="5" t="inlineStr">
        <is>
          <t>元/吨</t>
        </is>
      </c>
      <c r="H803" s="5" t="inlineStr">
        <is>
          <t>SMM</t>
        </is>
      </c>
    </row>
    <row r="804">
      <c r="A804" s="2" t="inlineStr">
        <is>
          <t>2026/07/01</t>
        </is>
      </c>
      <c r="B804" s="2" t="inlineStr">
        <is>
          <t>方形磷酸铁锂电池B品</t>
        </is>
      </c>
      <c r="C804" s="7" t="n">
        <v>0.68</v>
      </c>
      <c r="D804" s="6" t="n">
        <v>0.8</v>
      </c>
      <c r="E804" s="6" t="n">
        <v>0.74</v>
      </c>
      <c r="F804" s="4" t="n">
        <v>0</v>
      </c>
      <c r="G804" s="5" t="inlineStr">
        <is>
          <t>元/Ah</t>
        </is>
      </c>
      <c r="H804" s="5" t="inlineStr">
        <is>
          <t>SMM</t>
        </is>
      </c>
    </row>
    <row r="805">
      <c r="A805" s="2" t="inlineStr">
        <is>
          <t>2026/07/01</t>
        </is>
      </c>
      <c r="B805" s="2" t="inlineStr">
        <is>
          <t>氧化亚镍</t>
        </is>
      </c>
      <c r="C805" s="3" t="n">
        <v>118000</v>
      </c>
      <c r="D805" s="4" t="n">
        <v>126000</v>
      </c>
      <c r="E805" s="4" t="n">
        <v>122000</v>
      </c>
      <c r="F805" s="4" t="n">
        <v>0</v>
      </c>
      <c r="G805" s="5" t="inlineStr">
        <is>
          <t>元/吨</t>
        </is>
      </c>
      <c r="H805" s="5" t="inlineStr">
        <is>
          <t>SMM</t>
        </is>
      </c>
    </row>
    <row r="806">
      <c r="A806" s="2" t="inlineStr">
        <is>
          <t>2026/07/01</t>
        </is>
      </c>
      <c r="B806" s="2" t="inlineStr">
        <is>
          <t>氧化钴</t>
        </is>
      </c>
      <c r="C806" s="3" t="n">
        <v>302000</v>
      </c>
      <c r="D806" s="4" t="n">
        <v>313000</v>
      </c>
      <c r="E806" s="4" t="n">
        <v>307500</v>
      </c>
      <c r="F806" s="4" t="n">
        <v>-1000</v>
      </c>
      <c r="G806" s="5" t="inlineStr">
        <is>
          <t>元/吨</t>
        </is>
      </c>
      <c r="H806" s="5" t="inlineStr">
        <is>
          <t>SMM</t>
        </is>
      </c>
    </row>
    <row r="807">
      <c r="A807" s="2" t="inlineStr">
        <is>
          <t>2026/07/01</t>
        </is>
      </c>
      <c r="B807" s="2" t="inlineStr">
        <is>
          <t>氯化钴</t>
        </is>
      </c>
      <c r="C807" s="3" t="n">
        <v>103500</v>
      </c>
      <c r="D807" s="4" t="n">
        <v>105500</v>
      </c>
      <c r="E807" s="4" t="n">
        <v>104500</v>
      </c>
      <c r="F807" s="4" t="n">
        <v>-750</v>
      </c>
      <c r="G807" s="5" t="inlineStr">
        <is>
          <t>元/吨</t>
        </is>
      </c>
      <c r="H807" s="5" t="inlineStr">
        <is>
          <t>SMM</t>
        </is>
      </c>
    </row>
    <row r="808">
      <c r="A808" s="2" t="inlineStr">
        <is>
          <t>2026/07/01</t>
        </is>
      </c>
      <c r="B808" s="2" t="inlineStr">
        <is>
          <t>氯化镍NiCl₂·6H₂O</t>
        </is>
      </c>
      <c r="C808" s="3" t="n">
        <v>38500</v>
      </c>
      <c r="D808" s="4" t="n">
        <v>41000</v>
      </c>
      <c r="E808" s="4" t="n">
        <v>39750</v>
      </c>
      <c r="F808" s="4" t="n">
        <v>0</v>
      </c>
      <c r="G808" s="5" t="inlineStr">
        <is>
          <t>元/吨</t>
        </is>
      </c>
      <c r="H808" s="5" t="inlineStr">
        <is>
          <t>SMM</t>
        </is>
      </c>
    </row>
    <row r="809">
      <c r="A809" s="2" t="inlineStr">
        <is>
          <t>2026/07/01</t>
        </is>
      </c>
      <c r="B809" s="2" t="inlineStr">
        <is>
          <t>津巴布韦锂辉石精矿（CIF中国）现货</t>
        </is>
      </c>
      <c r="C809" s="3" t="n">
        <v>2060</v>
      </c>
      <c r="D809" s="4" t="n">
        <v>2200</v>
      </c>
      <c r="E809" s="4" t="n">
        <v>2130</v>
      </c>
      <c r="F809" s="4" t="n">
        <v>-285</v>
      </c>
      <c r="G809" s="5" t="inlineStr">
        <is>
          <t>美元/吨</t>
        </is>
      </c>
      <c r="H809" s="5" t="inlineStr">
        <is>
          <t>SMM</t>
        </is>
      </c>
    </row>
    <row r="810">
      <c r="A810" s="2" t="inlineStr">
        <is>
          <t>2026/07/01</t>
        </is>
      </c>
      <c r="B810" s="2" t="inlineStr">
        <is>
          <t>澳大利亚锂辉石精矿（CIF中国）现货</t>
        </is>
      </c>
      <c r="C810" s="3" t="n">
        <v>2230</v>
      </c>
      <c r="D810" s="4" t="n">
        <v>2330</v>
      </c>
      <c r="E810" s="4" t="n">
        <v>2280</v>
      </c>
      <c r="F810" s="6" t="n">
        <v>55</v>
      </c>
      <c r="G810" s="5" t="inlineStr">
        <is>
          <t>美元/吨</t>
        </is>
      </c>
      <c r="H810" s="5" t="inlineStr">
        <is>
          <t>SMM</t>
        </is>
      </c>
    </row>
    <row r="811">
      <c r="A811" s="2" t="inlineStr">
        <is>
          <t>2026/07/01</t>
        </is>
      </c>
      <c r="B811" s="2" t="inlineStr">
        <is>
          <t>电池级无水氯化锂</t>
        </is>
      </c>
      <c r="C811" s="3" t="n">
        <v>230</v>
      </c>
      <c r="D811" s="4" t="n">
        <v>290</v>
      </c>
      <c r="E811" s="4" t="n">
        <v>260</v>
      </c>
      <c r="F811" s="4" t="n">
        <v>0</v>
      </c>
      <c r="G811" s="5" t="inlineStr">
        <is>
          <t>元/千克</t>
        </is>
      </c>
      <c r="H811" s="5" t="inlineStr">
        <is>
          <t>SMM</t>
        </is>
      </c>
    </row>
    <row r="812">
      <c r="A812" s="2" t="inlineStr">
        <is>
          <t>2026/07/01</t>
        </is>
      </c>
      <c r="B812" s="2" t="inlineStr">
        <is>
          <t>电池级氟化锂</t>
        </is>
      </c>
      <c r="C812" s="3" t="n">
        <v>265000</v>
      </c>
      <c r="D812" s="4" t="n">
        <v>273000</v>
      </c>
      <c r="E812" s="4" t="n">
        <v>269000</v>
      </c>
      <c r="F812" s="4" t="n">
        <v>0</v>
      </c>
      <c r="G812" s="5" t="inlineStr">
        <is>
          <t>元/吨</t>
        </is>
      </c>
      <c r="H812" s="5" t="inlineStr">
        <is>
          <t>SMM</t>
        </is>
      </c>
    </row>
    <row r="813">
      <c r="A813" s="2" t="inlineStr">
        <is>
          <t>2026/07/01</t>
        </is>
      </c>
      <c r="B813" s="2" t="inlineStr">
        <is>
          <t>电池级氢氧化锂(CIF中日韩)</t>
        </is>
      </c>
      <c r="C813" s="7" t="n">
        <v>17.45</v>
      </c>
      <c r="D813" s="6" t="n">
        <v>20.1</v>
      </c>
      <c r="E813" s="6" t="n">
        <v>18.775</v>
      </c>
      <c r="F813" s="6" t="n">
        <v>0.325</v>
      </c>
      <c r="G813" s="5" t="inlineStr">
        <is>
          <t>美元/千克</t>
        </is>
      </c>
      <c r="H813" s="5" t="inlineStr">
        <is>
          <t>SMM</t>
        </is>
      </c>
    </row>
    <row r="814">
      <c r="A814" s="2" t="inlineStr">
        <is>
          <t>2026/07/01</t>
        </is>
      </c>
      <c r="B814" s="2" t="inlineStr">
        <is>
          <t>电池级氢氧化锂(CIF韩国)</t>
        </is>
      </c>
      <c r="C814" s="7" t="n">
        <v>17.15</v>
      </c>
      <c r="D814" s="6" t="n">
        <v>20.2</v>
      </c>
      <c r="E814" s="6" t="n">
        <v>18.68</v>
      </c>
      <c r="F814" s="6" t="n">
        <v>0.33</v>
      </c>
      <c r="G814" s="5" t="inlineStr">
        <is>
          <t>美元/千克</t>
        </is>
      </c>
      <c r="H814" s="5" t="inlineStr">
        <is>
          <t>SMM</t>
        </is>
      </c>
    </row>
    <row r="815">
      <c r="A815" s="2" t="inlineStr">
        <is>
          <t>2026/07/01</t>
        </is>
      </c>
      <c r="B815" s="2" t="inlineStr">
        <is>
          <t>电池级氢氧化锂(微粉）</t>
        </is>
      </c>
      <c r="C815" s="3" t="n">
        <v>149000</v>
      </c>
      <c r="D815" s="4" t="n">
        <v>158000</v>
      </c>
      <c r="E815" s="4" t="n">
        <v>153500</v>
      </c>
      <c r="F815" s="4" t="n">
        <v>3750</v>
      </c>
      <c r="G815" s="5" t="inlineStr">
        <is>
          <t>元/吨</t>
        </is>
      </c>
      <c r="H815" s="5" t="inlineStr">
        <is>
          <t>SMM</t>
        </is>
      </c>
    </row>
    <row r="816">
      <c r="A816" s="2" t="inlineStr">
        <is>
          <t>2026/07/01</t>
        </is>
      </c>
      <c r="B816" s="2" t="inlineStr">
        <is>
          <t>电池级氢氧化锂（粗颗粒）</t>
        </is>
      </c>
      <c r="C816" s="3" t="n">
        <v>140000</v>
      </c>
      <c r="D816" s="4" t="n">
        <v>155000</v>
      </c>
      <c r="E816" s="4" t="n">
        <v>147500</v>
      </c>
      <c r="F816" s="4" t="n">
        <v>3750</v>
      </c>
      <c r="G816" s="5" t="inlineStr">
        <is>
          <t>元/吨</t>
        </is>
      </c>
      <c r="H816" s="5" t="inlineStr">
        <is>
          <t>SMM</t>
        </is>
      </c>
    </row>
    <row r="817">
      <c r="A817" s="2" t="inlineStr">
        <is>
          <t>2026/07/01</t>
        </is>
      </c>
      <c r="B817" s="2" t="inlineStr">
        <is>
          <t>电池级硫酸锰（出厂价）</t>
        </is>
      </c>
      <c r="C817" s="3" t="n">
        <v>7580</v>
      </c>
      <c r="D817" s="4" t="n">
        <v>7800</v>
      </c>
      <c r="E817" s="4" t="n">
        <v>7690</v>
      </c>
      <c r="F817" s="4" t="n">
        <v>0</v>
      </c>
      <c r="G817" s="5" t="inlineStr">
        <is>
          <t>元/吨</t>
        </is>
      </c>
      <c r="H817" s="5" t="inlineStr">
        <is>
          <t>SMM</t>
        </is>
      </c>
    </row>
    <row r="818">
      <c r="A818" s="2" t="inlineStr">
        <is>
          <t>2026/07/01</t>
        </is>
      </c>
      <c r="B818" s="2" t="inlineStr">
        <is>
          <t>电池级硫酸镍</t>
        </is>
      </c>
      <c r="C818" s="3" t="n">
        <v>31650</v>
      </c>
      <c r="D818" s="4" t="n">
        <v>32050</v>
      </c>
      <c r="E818" s="4" t="n">
        <v>31850</v>
      </c>
      <c r="F818" s="4" t="n">
        <v>-350</v>
      </c>
      <c r="G818" s="5" t="inlineStr">
        <is>
          <t>元/吨</t>
        </is>
      </c>
      <c r="H818" s="5" t="inlineStr">
        <is>
          <t>SMM</t>
        </is>
      </c>
    </row>
    <row r="819">
      <c r="A819" s="2" t="inlineStr">
        <is>
          <t>2026/07/01</t>
        </is>
      </c>
      <c r="B819" s="2" t="inlineStr">
        <is>
          <t>电池级碳酸锂</t>
        </is>
      </c>
      <c r="C819" s="3" t="n">
        <v>155000</v>
      </c>
      <c r="D819" s="4" t="n">
        <v>165000</v>
      </c>
      <c r="E819" s="4" t="n">
        <v>160000</v>
      </c>
      <c r="F819" s="4" t="n">
        <v>3500</v>
      </c>
      <c r="G819" s="5" t="inlineStr">
        <is>
          <t>元/吨</t>
        </is>
      </c>
      <c r="H819" s="5" t="inlineStr">
        <is>
          <t>SMM</t>
        </is>
      </c>
    </row>
    <row r="820">
      <c r="A820" s="2" t="inlineStr">
        <is>
          <t>2026/07/01</t>
        </is>
      </c>
      <c r="B820" s="2" t="inlineStr">
        <is>
          <t>电池级碳酸锂(CIF韩国)</t>
        </is>
      </c>
      <c r="C820" s="7" t="n">
        <v>19.2</v>
      </c>
      <c r="D820" s="6" t="n">
        <v>21.3</v>
      </c>
      <c r="E820" s="6" t="n">
        <v>20.25</v>
      </c>
      <c r="F820" s="6" t="n">
        <v>0.3</v>
      </c>
      <c r="G820" s="5" t="inlineStr">
        <is>
          <t>美元/千克</t>
        </is>
      </c>
      <c r="H820" s="5" t="inlineStr">
        <is>
          <t>SMM</t>
        </is>
      </c>
    </row>
    <row r="821">
      <c r="A821" s="2" t="inlineStr">
        <is>
          <t>2026/07/01</t>
        </is>
      </c>
      <c r="B821" s="2" t="inlineStr">
        <is>
          <t>电池级碳酸锂（CIF中日韩）</t>
        </is>
      </c>
      <c r="C821" s="7" t="n">
        <v>19.3</v>
      </c>
      <c r="D821" s="6" t="n">
        <v>21.3</v>
      </c>
      <c r="E821" s="6" t="n">
        <v>20.3</v>
      </c>
      <c r="F821" s="6" t="n">
        <v>0.3</v>
      </c>
      <c r="G821" s="5" t="inlineStr">
        <is>
          <t>美元/千克</t>
        </is>
      </c>
      <c r="H821" s="5" t="inlineStr">
        <is>
          <t>SMM</t>
        </is>
      </c>
    </row>
    <row r="822">
      <c r="A822" s="2" t="inlineStr">
        <is>
          <t>2026/07/01</t>
        </is>
      </c>
      <c r="B822" s="2" t="inlineStr">
        <is>
          <t>电池级金属锂</t>
        </is>
      </c>
      <c r="C822" s="3" t="n">
        <v>1070000</v>
      </c>
      <c r="D822" s="4" t="n">
        <v>1090000</v>
      </c>
      <c r="E822" s="4" t="n">
        <v>1080000</v>
      </c>
      <c r="F822" s="4" t="n">
        <v>0</v>
      </c>
      <c r="G822" s="5" t="inlineStr">
        <is>
          <t>元/吨</t>
        </is>
      </c>
      <c r="H822" s="5" t="inlineStr">
        <is>
          <t>SMM</t>
        </is>
      </c>
    </row>
    <row r="823">
      <c r="A823" s="2" t="inlineStr">
        <is>
          <t>2026/07/01</t>
        </is>
      </c>
      <c r="B823" s="2" t="inlineStr">
        <is>
          <t>电解钴</t>
        </is>
      </c>
      <c r="C823" s="3" t="n">
        <v>378000</v>
      </c>
      <c r="D823" s="4" t="n">
        <v>387000</v>
      </c>
      <c r="E823" s="4" t="n">
        <v>382500</v>
      </c>
      <c r="F823" s="4" t="n">
        <v>3000</v>
      </c>
      <c r="G823" s="5" t="inlineStr">
        <is>
          <t>元/吨</t>
        </is>
      </c>
      <c r="H823" s="5" t="inlineStr">
        <is>
          <t>SMM</t>
        </is>
      </c>
    </row>
    <row r="824">
      <c r="A824" s="2" t="inlineStr">
        <is>
          <t>2026/07/01</t>
        </is>
      </c>
      <c r="B824" s="2" t="inlineStr">
        <is>
          <t>电解钴（鹿特丹仓库）</t>
        </is>
      </c>
      <c r="C824" s="7" t="n">
        <v>25</v>
      </c>
      <c r="D824" s="6" t="n">
        <v>27.1</v>
      </c>
      <c r="E824" s="6" t="n">
        <v>26.05</v>
      </c>
      <c r="F824" s="6" t="n">
        <v>0.05</v>
      </c>
      <c r="G824" s="5" t="inlineStr">
        <is>
          <t>美元/磅</t>
        </is>
      </c>
      <c r="H824" s="5" t="inlineStr">
        <is>
          <t>SMM</t>
        </is>
      </c>
    </row>
    <row r="825">
      <c r="A825" s="2" t="inlineStr">
        <is>
          <t>2026/07/01</t>
        </is>
      </c>
      <c r="B825" s="2" t="inlineStr">
        <is>
          <t>电镀级硫酸镍</t>
        </is>
      </c>
      <c r="C825" s="3" t="n">
        <v>32500</v>
      </c>
      <c r="D825" s="4" t="n">
        <v>37000</v>
      </c>
      <c r="E825" s="4" t="n">
        <v>34750</v>
      </c>
      <c r="F825" s="4" t="n">
        <v>0</v>
      </c>
      <c r="G825" s="5" t="inlineStr">
        <is>
          <t>元/吨</t>
        </is>
      </c>
      <c r="H825" s="5" t="inlineStr">
        <is>
          <t>SMM</t>
        </is>
      </c>
    </row>
    <row r="826">
      <c r="A826" s="2" t="inlineStr">
        <is>
          <t>2026/07/01</t>
        </is>
      </c>
      <c r="B826" s="2" t="inlineStr">
        <is>
          <t>硫酸钴</t>
        </is>
      </c>
      <c r="C826" s="3" t="n">
        <v>85000</v>
      </c>
      <c r="D826" s="4" t="n">
        <v>87000</v>
      </c>
      <c r="E826" s="4" t="n">
        <v>86000</v>
      </c>
      <c r="F826" s="4" t="n">
        <v>0</v>
      </c>
      <c r="G826" s="5" t="inlineStr">
        <is>
          <t>元/吨</t>
        </is>
      </c>
      <c r="H826" s="5" t="inlineStr">
        <is>
          <t>SMM</t>
        </is>
      </c>
    </row>
    <row r="827">
      <c r="A827" s="2" t="inlineStr">
        <is>
          <t>2026/07/01</t>
        </is>
      </c>
      <c r="B827" s="2" t="inlineStr">
        <is>
          <t>碳酸钴</t>
        </is>
      </c>
      <c r="C827" s="3" t="n">
        <v>205000</v>
      </c>
      <c r="D827" s="4" t="n">
        <v>213000</v>
      </c>
      <c r="E827" s="4" t="n">
        <v>209000</v>
      </c>
      <c r="F827" s="4" t="n">
        <v>-1500</v>
      </c>
      <c r="G827" s="5" t="inlineStr">
        <is>
          <t>元/吨</t>
        </is>
      </c>
      <c r="H827" s="5" t="inlineStr">
        <is>
          <t>SMM</t>
        </is>
      </c>
    </row>
    <row r="828">
      <c r="A828" s="2" t="inlineStr">
        <is>
          <t>2026/07/01</t>
        </is>
      </c>
      <c r="B828" s="2" t="inlineStr">
        <is>
          <t>磷酸铁锂</t>
        </is>
      </c>
      <c r="C828" s="3" t="n">
        <v>57500</v>
      </c>
      <c r="D828" s="4" t="n">
        <v>58200</v>
      </c>
      <c r="E828" s="4" t="n">
        <v>57850</v>
      </c>
      <c r="F828" s="4" t="n">
        <v>860</v>
      </c>
      <c r="G828" s="5" t="inlineStr">
        <is>
          <t>元/吨</t>
        </is>
      </c>
      <c r="H828" s="5" t="inlineStr">
        <is>
          <t>SMM</t>
        </is>
      </c>
    </row>
    <row r="829">
      <c r="A829" s="2" t="inlineStr">
        <is>
          <t>2026/07/01</t>
        </is>
      </c>
      <c r="B829" s="2" t="inlineStr">
        <is>
          <t>磷酸锰铁锂</t>
        </is>
      </c>
      <c r="C829" s="3" t="n">
        <v>63500</v>
      </c>
      <c r="D829" s="4" t="n">
        <v>68500</v>
      </c>
      <c r="E829" s="4" t="n">
        <v>66000</v>
      </c>
      <c r="F829" s="4" t="n">
        <v>1000</v>
      </c>
      <c r="G829" s="5" t="inlineStr">
        <is>
          <t>元/吨</t>
        </is>
      </c>
      <c r="H829" s="5" t="inlineStr">
        <is>
          <t>SMM</t>
        </is>
      </c>
    </row>
    <row r="830">
      <c r="A830" s="2" t="inlineStr">
        <is>
          <t>2026/07/01</t>
        </is>
      </c>
      <c r="B830" s="2" t="inlineStr">
        <is>
          <t>金属钴FOB</t>
        </is>
      </c>
      <c r="C830" s="7" t="n">
        <v>24</v>
      </c>
      <c r="D830" s="6" t="n">
        <v>25.2</v>
      </c>
      <c r="E830" s="6" t="n">
        <v>24.6</v>
      </c>
      <c r="F830" s="6" t="n">
        <v>0.1</v>
      </c>
      <c r="G830" s="5" t="inlineStr">
        <is>
          <t>美元/磅</t>
        </is>
      </c>
      <c r="H830" s="5" t="inlineStr">
        <is>
          <t>SMM</t>
        </is>
      </c>
    </row>
    <row r="831">
      <c r="A831" s="2" t="inlineStr">
        <is>
          <t>2026/07/01</t>
        </is>
      </c>
      <c r="B831" s="2" t="inlineStr">
        <is>
          <t>钴中间品中钴含量≥30%</t>
        </is>
      </c>
      <c r="C831" s="3" t="n">
        <v>24983</v>
      </c>
      <c r="D831" s="4" t="n">
        <v>24983</v>
      </c>
      <c r="E831" s="4" t="n">
        <v>24983</v>
      </c>
      <c r="F831" s="4" t="n">
        <v>-1139</v>
      </c>
      <c r="G831" s="5" t="inlineStr">
        <is>
          <t>元/金属吨</t>
        </is>
      </c>
      <c r="H831" s="5" t="inlineStr">
        <is>
          <t>SMM</t>
        </is>
      </c>
    </row>
    <row r="832">
      <c r="A832" s="2" t="inlineStr">
        <is>
          <t>2026/07/01</t>
        </is>
      </c>
      <c r="B832" s="2" t="inlineStr">
        <is>
          <t>钴中间品原料计价系数（对SMM硫酸钴均价）</t>
        </is>
      </c>
      <c r="C832" s="7" t="n">
        <v>99</v>
      </c>
      <c r="D832" s="4" t="n">
        <v>100</v>
      </c>
      <c r="E832" s="6" t="n">
        <v>99.5</v>
      </c>
      <c r="F832" s="4" t="n">
        <v>0</v>
      </c>
      <c r="G832" s="5" t="inlineStr">
        <is>
          <t>%</t>
        </is>
      </c>
      <c r="H832" s="5" t="inlineStr">
        <is>
          <t>SMM</t>
        </is>
      </c>
    </row>
    <row r="833">
      <c r="A833" s="2" t="inlineStr">
        <is>
          <t>2026/07/01</t>
        </is>
      </c>
      <c r="B833" s="2" t="inlineStr">
        <is>
          <t>钴酸锂</t>
        </is>
      </c>
      <c r="C833" s="3" t="n">
        <v>373000</v>
      </c>
      <c r="D833" s="4" t="n">
        <v>376000</v>
      </c>
      <c r="E833" s="4" t="n">
        <v>374500</v>
      </c>
      <c r="F833" s="4" t="n">
        <v>0</v>
      </c>
      <c r="G833" s="5" t="inlineStr">
        <is>
          <t>元/吨</t>
        </is>
      </c>
      <c r="H833" s="5" t="inlineStr">
        <is>
          <t>SMM</t>
        </is>
      </c>
    </row>
    <row r="834">
      <c r="A834" s="2" t="inlineStr">
        <is>
          <t>2026/07/01</t>
        </is>
      </c>
      <c r="B834" s="2" t="inlineStr">
        <is>
          <t>钴酸锂聚合物软包</t>
        </is>
      </c>
      <c r="C834" s="3" t="n">
        <v>96200</v>
      </c>
      <c r="D834" s="4" t="n">
        <v>98500</v>
      </c>
      <c r="E834" s="4" t="n">
        <v>97350</v>
      </c>
      <c r="F834" s="4" t="n">
        <v>0</v>
      </c>
      <c r="G834" s="5" t="inlineStr">
        <is>
          <t>元/吨</t>
        </is>
      </c>
      <c r="H834" s="5" t="inlineStr">
        <is>
          <t>SMM</t>
        </is>
      </c>
    </row>
    <row r="835">
      <c r="A835" s="2" t="inlineStr">
        <is>
          <t>2026/07/01</t>
        </is>
      </c>
      <c r="B835" s="2" t="inlineStr">
        <is>
          <t>钴酸锂铝壳</t>
        </is>
      </c>
      <c r="C835" s="3" t="n">
        <v>84000</v>
      </c>
      <c r="D835" s="4" t="n">
        <v>90500</v>
      </c>
      <c r="E835" s="4" t="n">
        <v>87250</v>
      </c>
      <c r="F835" s="4" t="n">
        <v>0</v>
      </c>
      <c r="G835" s="5" t="inlineStr">
        <is>
          <t>元/吨</t>
        </is>
      </c>
      <c r="H835" s="5" t="inlineStr">
        <is>
          <t>SMM</t>
        </is>
      </c>
    </row>
    <row r="836">
      <c r="A836" s="2" t="inlineStr">
        <is>
          <t>2026/07/01</t>
        </is>
      </c>
      <c r="B836" s="2" t="inlineStr">
        <is>
          <t>锰酸锂圆柱钢壳</t>
        </is>
      </c>
      <c r="C836" s="3" t="n">
        <v>5000</v>
      </c>
      <c r="D836" s="4" t="n">
        <v>7400</v>
      </c>
      <c r="E836" s="4" t="n">
        <v>6200</v>
      </c>
      <c r="F836" s="4" t="n">
        <v>0</v>
      </c>
      <c r="G836" s="5" t="inlineStr">
        <is>
          <t>元/吨</t>
        </is>
      </c>
      <c r="H836" s="5" t="inlineStr">
        <is>
          <t>SMM</t>
        </is>
      </c>
    </row>
    <row r="837">
      <c r="A837" s="2" t="inlineStr">
        <is>
          <t>2026/07/01</t>
        </is>
      </c>
      <c r="B837" s="2" t="inlineStr">
        <is>
          <t>非洲硫酸锂(CIF中国)</t>
        </is>
      </c>
      <c r="C837" s="3" t="n">
        <v>7472</v>
      </c>
      <c r="D837" s="4" t="n">
        <v>8014</v>
      </c>
      <c r="E837" s="4" t="n">
        <v>7743</v>
      </c>
      <c r="F837" s="4" t="n">
        <v>192.5</v>
      </c>
      <c r="G837" s="5" t="inlineStr">
        <is>
          <t>美元/吨</t>
        </is>
      </c>
      <c r="H837" s="5" t="inlineStr">
        <is>
          <t>SMM</t>
        </is>
      </c>
    </row>
    <row r="838">
      <c r="A838" s="2" t="inlineStr">
        <is>
          <t>2026/07/01</t>
        </is>
      </c>
      <c r="B838" s="2" t="inlineStr">
        <is>
          <t>非洲锂辉石精矿（CIF中国）指数</t>
        </is>
      </c>
      <c r="C838" s="3" t="n">
        <v>2120</v>
      </c>
      <c r="D838" s="4" t="n">
        <v>2120</v>
      </c>
      <c r="E838" s="4" t="n">
        <v>2120</v>
      </c>
      <c r="F838" s="4" t="n">
        <v>-278</v>
      </c>
      <c r="G838" s="5" t="inlineStr">
        <is>
          <t>美元/吨</t>
        </is>
      </c>
      <c r="H838" s="5" t="inlineStr">
        <is>
          <t>SMM</t>
        </is>
      </c>
    </row>
    <row r="840">
      <c r="A840" s="8" t="inlineStr">
        <is>
          <t>当月均价</t>
        </is>
      </c>
      <c r="B840" s="9" t="n"/>
      <c r="C840" s="9" t="n"/>
      <c r="D840" s="9" t="n"/>
      <c r="E840" s="9" t="n"/>
      <c r="F840" s="9" t="n"/>
      <c r="G840" s="9" t="n"/>
      <c r="H840" s="9" t="n"/>
    </row>
    <row r="841">
      <c r="B841" s="2" t="inlineStr">
        <is>
          <t>5系三元前驱体</t>
        </is>
      </c>
      <c r="C841" s="10">
        <f>IFERROR(AVERAGEIFS(C$2:C$838,A$2:A$838,"&gt;="&amp;DATE(YEAR(TODAY()),MONTH(TODAY()),1),A$2:A$838,"&lt;"&amp;DATE(YEAR(TODAY()),MONTH(TODAY())+1,1),B$2:B$838,$B$841),"")</f>
        <v/>
      </c>
      <c r="D841" s="10">
        <f>IFERROR(AVERAGEIFS(D$2:D$838,A$2:A$838,"&gt;="&amp;DATE(YEAR(TODAY()),MONTH(TODAY()),1),A$2:A$838,"&lt;"&amp;DATE(YEAR(TODAY()),MONTH(TODAY())+1,1),B$2:B$838,$B$841),"")</f>
        <v/>
      </c>
      <c r="E841" s="10">
        <f>IFERROR(AVERAGEIFS(E$2:E$838,A$2:A$838,"&gt;="&amp;DATE(YEAR(TODAY()),MONTH(TODAY()),1),A$2:A$838,"&lt;"&amp;DATE(YEAR(TODAY()),MONTH(TODAY())+1,1),B$2:B$838,$B$841),"")</f>
        <v/>
      </c>
      <c r="F841" s="11">
        <f>IFERROR(SUMPRODUCT((YEAR(A$2:A$838)=YEAR(TODAY()))*(MONTH(A$2:A$838)=MONTH(TODAY()))*(B$2:B$838=$B$841)*(F$2:F$838),"")</f>
        <v/>
      </c>
    </row>
    <row r="842">
      <c r="B842" s="2" t="inlineStr">
        <is>
          <t>5系三元材料</t>
        </is>
      </c>
      <c r="C842" s="10">
        <f>IFERROR(AVERAGEIFS(C$2:C$838,A$2:A$838,"&gt;="&amp;DATE(YEAR(TODAY()),MONTH(TODAY()),1),A$2:A$838,"&lt;"&amp;DATE(YEAR(TODAY()),MONTH(TODAY())+1,1),B$2:B$838,$B$842),"")</f>
        <v/>
      </c>
      <c r="D842" s="10">
        <f>IFERROR(AVERAGEIFS(D$2:D$838,A$2:A$838,"&gt;="&amp;DATE(YEAR(TODAY()),MONTH(TODAY()),1),A$2:A$838,"&lt;"&amp;DATE(YEAR(TODAY()),MONTH(TODAY())+1,1),B$2:B$838,$B$842),"")</f>
        <v/>
      </c>
      <c r="E842" s="10">
        <f>IFERROR(AVERAGEIFS(E$2:E$838,A$2:A$838,"&gt;="&amp;DATE(YEAR(TODAY()),MONTH(TODAY()),1),A$2:A$838,"&lt;"&amp;DATE(YEAR(TODAY()),MONTH(TODAY())+1,1),B$2:B$838,$B$842),"")</f>
        <v/>
      </c>
      <c r="F842" s="11">
        <f>IFERROR(SUMPRODUCT((YEAR(A$2:A$838)=YEAR(TODAY()))*(MONTH(A$2:A$838)=MONTH(TODAY()))*(B$2:B$838=$B$842)*(F$2:F$838),"")</f>
        <v/>
      </c>
    </row>
    <row r="843">
      <c r="B843" s="2" t="inlineStr">
        <is>
          <t>6系三元前驱体（单晶/动力型）</t>
        </is>
      </c>
      <c r="C843" s="10">
        <f>IFERROR(AVERAGEIFS(C$2:C$838,A$2:A$838,"&gt;="&amp;DATE(YEAR(TODAY()),MONTH(TODAY()),1),A$2:A$838,"&lt;"&amp;DATE(YEAR(TODAY()),MONTH(TODAY())+1,1),B$2:B$838,$B$843),"")</f>
        <v/>
      </c>
      <c r="D843" s="10">
        <f>IFERROR(AVERAGEIFS(D$2:D$838,A$2:A$838,"&gt;="&amp;DATE(YEAR(TODAY()),MONTH(TODAY()),1),A$2:A$838,"&lt;"&amp;DATE(YEAR(TODAY()),MONTH(TODAY())+1,1),B$2:B$838,$B$843),"")</f>
        <v/>
      </c>
      <c r="E843" s="10">
        <f>IFERROR(AVERAGEIFS(E$2:E$838,A$2:A$838,"&gt;="&amp;DATE(YEAR(TODAY()),MONTH(TODAY()),1),A$2:A$838,"&lt;"&amp;DATE(YEAR(TODAY()),MONTH(TODAY())+1,1),B$2:B$838,$B$843),"")</f>
        <v/>
      </c>
      <c r="F843" s="11">
        <f>IFERROR(SUMPRODUCT((YEAR(A$2:A$838)=YEAR(TODAY()))*(MONTH(A$2:A$838)=MONTH(TODAY()))*(B$2:B$838=$B$843)*(F$2:F$838),"")</f>
        <v/>
      </c>
    </row>
    <row r="844">
      <c r="B844" s="2" t="inlineStr">
        <is>
          <t>6系三元材料（单晶/动力型）</t>
        </is>
      </c>
      <c r="C844" s="10">
        <f>IFERROR(AVERAGEIFS(C$2:C$838,A$2:A$838,"&gt;="&amp;DATE(YEAR(TODAY()),MONTH(TODAY()),1),A$2:A$838,"&lt;"&amp;DATE(YEAR(TODAY()),MONTH(TODAY())+1,1),B$2:B$838,$B$844),"")</f>
        <v/>
      </c>
      <c r="D844" s="10">
        <f>IFERROR(AVERAGEIFS(D$2:D$838,A$2:A$838,"&gt;="&amp;DATE(YEAR(TODAY()),MONTH(TODAY()),1),A$2:A$838,"&lt;"&amp;DATE(YEAR(TODAY()),MONTH(TODAY())+1,1),B$2:B$838,$B$844),"")</f>
        <v/>
      </c>
      <c r="E844" s="10">
        <f>IFERROR(AVERAGEIFS(E$2:E$838,A$2:A$838,"&gt;="&amp;DATE(YEAR(TODAY()),MONTH(TODAY()),1),A$2:A$838,"&lt;"&amp;DATE(YEAR(TODAY()),MONTH(TODAY())+1,1),B$2:B$838,$B$844),"")</f>
        <v/>
      </c>
      <c r="F844" s="11">
        <f>IFERROR(SUMPRODUCT((YEAR(A$2:A$838)=YEAR(TODAY()))*(MONTH(A$2:A$838)=MONTH(TODAY()))*(B$2:B$838=$B$844)*(F$2:F$838),"")</f>
        <v/>
      </c>
    </row>
    <row r="845">
      <c r="B845" s="2" t="inlineStr">
        <is>
          <t>8系三元前驱体（多晶/动力型）</t>
        </is>
      </c>
      <c r="C845" s="10">
        <f>IFERROR(AVERAGEIFS(C$2:C$838,A$2:A$838,"&gt;="&amp;DATE(YEAR(TODAY()),MONTH(TODAY()),1),A$2:A$838,"&lt;"&amp;DATE(YEAR(TODAY()),MONTH(TODAY())+1,1),B$2:B$838,$B$845),"")</f>
        <v/>
      </c>
      <c r="D845" s="10">
        <f>IFERROR(AVERAGEIFS(D$2:D$838,A$2:A$838,"&gt;="&amp;DATE(YEAR(TODAY()),MONTH(TODAY()),1),A$2:A$838,"&lt;"&amp;DATE(YEAR(TODAY()),MONTH(TODAY())+1,1),B$2:B$838,$B$845),"")</f>
        <v/>
      </c>
      <c r="E845" s="10">
        <f>IFERROR(AVERAGEIFS(E$2:E$838,A$2:A$838,"&gt;="&amp;DATE(YEAR(TODAY()),MONTH(TODAY()),1),A$2:A$838,"&lt;"&amp;DATE(YEAR(TODAY()),MONTH(TODAY())+1,1),B$2:B$838,$B$845),"")</f>
        <v/>
      </c>
      <c r="F845" s="11">
        <f>IFERROR(SUMPRODUCT((YEAR(A$2:A$838)=YEAR(TODAY()))*(MONTH(A$2:A$838)=MONTH(TODAY()))*(B$2:B$838=$B$845)*(F$2:F$838),"")</f>
        <v/>
      </c>
    </row>
    <row r="846">
      <c r="B846" s="2" t="inlineStr">
        <is>
          <t>8系三元材料</t>
        </is>
      </c>
      <c r="C846" s="10">
        <f>IFERROR(AVERAGEIFS(C$2:C$838,A$2:A$838,"&gt;="&amp;DATE(YEAR(TODAY()),MONTH(TODAY()),1),A$2:A$838,"&lt;"&amp;DATE(YEAR(TODAY()),MONTH(TODAY())+1,1),B$2:B$838,$B$846),"")</f>
        <v/>
      </c>
      <c r="D846" s="10">
        <f>IFERROR(AVERAGEIFS(D$2:D$838,A$2:A$838,"&gt;="&amp;DATE(YEAR(TODAY()),MONTH(TODAY()),1),A$2:A$838,"&lt;"&amp;DATE(YEAR(TODAY()),MONTH(TODAY())+1,1),B$2:B$838,$B$846),"")</f>
        <v/>
      </c>
      <c r="E846" s="10">
        <f>IFERROR(AVERAGEIFS(E$2:E$838,A$2:A$838,"&gt;="&amp;DATE(YEAR(TODAY()),MONTH(TODAY()),1),A$2:A$838,"&lt;"&amp;DATE(YEAR(TODAY()),MONTH(TODAY())+1,1),B$2:B$838,$B$846),"")</f>
        <v/>
      </c>
      <c r="F846" s="11">
        <f>IFERROR(SUMPRODUCT((YEAR(A$2:A$838)=YEAR(TODAY()))*(MONTH(A$2:A$838)=MONTH(TODAY()))*(B$2:B$838=$B$846)*(F$2:F$838),"")</f>
        <v/>
      </c>
    </row>
    <row r="847">
      <c r="B847" s="2" t="inlineStr">
        <is>
          <t>MHP系数（对SMM电池级硫酸镍指数）</t>
        </is>
      </c>
      <c r="C847" s="10">
        <f>IFERROR(AVERAGEIFS(C$2:C$838,A$2:A$838,"&gt;="&amp;DATE(YEAR(TODAY()),MONTH(TODAY()),1),A$2:A$838,"&lt;"&amp;DATE(YEAR(TODAY()),MONTH(TODAY())+1,1),B$2:B$838,$B$847),"")</f>
        <v/>
      </c>
      <c r="D847" s="10">
        <f>IFERROR(AVERAGEIFS(D$2:D$838,A$2:A$838,"&gt;="&amp;DATE(YEAR(TODAY()),MONTH(TODAY()),1),A$2:A$838,"&lt;"&amp;DATE(YEAR(TODAY()),MONTH(TODAY())+1,1),B$2:B$838,$B$847),"")</f>
        <v/>
      </c>
      <c r="E847" s="10">
        <f>IFERROR(AVERAGEIFS(E$2:E$838,A$2:A$838,"&gt;="&amp;DATE(YEAR(TODAY()),MONTH(TODAY()),1),A$2:A$838,"&lt;"&amp;DATE(YEAR(TODAY()),MONTH(TODAY())+1,1),B$2:B$838,$B$847),"")</f>
        <v/>
      </c>
      <c r="F847" s="11">
        <f>IFERROR(SUMPRODUCT((YEAR(A$2:A$838)=YEAR(TODAY()))*(MONTH(A$2:A$838)=MONTH(TODAY()))*(B$2:B$838=$B$847)*(F$2:F$838),"")</f>
        <v/>
      </c>
    </row>
    <row r="848">
      <c r="B848" s="2" t="inlineStr">
        <is>
          <t>MHP钴元素计价系数（对SMM硫酸钴均价）</t>
        </is>
      </c>
      <c r="C848" s="10">
        <f>IFERROR(AVERAGEIFS(C$2:C$838,A$2:A$838,"&gt;="&amp;DATE(YEAR(TODAY()),MONTH(TODAY()),1),A$2:A$838,"&lt;"&amp;DATE(YEAR(TODAY()),MONTH(TODAY())+1,1),B$2:B$838,$B$848),"")</f>
        <v/>
      </c>
      <c r="D848" s="10">
        <f>IFERROR(AVERAGEIFS(D$2:D$838,A$2:A$838,"&gt;="&amp;DATE(YEAR(TODAY()),MONTH(TODAY()),1),A$2:A$838,"&lt;"&amp;DATE(YEAR(TODAY()),MONTH(TODAY())+1,1),B$2:B$838,$B$848),"")</f>
        <v/>
      </c>
      <c r="E848" s="10">
        <f>IFERROR(AVERAGEIFS(E$2:E$838,A$2:A$838,"&gt;="&amp;DATE(YEAR(TODAY()),MONTH(TODAY()),1),A$2:A$838,"&lt;"&amp;DATE(YEAR(TODAY()),MONTH(TODAY())+1,1),B$2:B$838,$B$848),"")</f>
        <v/>
      </c>
      <c r="F848" s="11">
        <f>IFERROR(SUMPRODUCT((YEAR(A$2:A$838)=YEAR(TODAY()))*(MONTH(A$2:A$838)=MONTH(TODAY()))*(B$2:B$838=$B$848)*(F$2:F$838),"")</f>
        <v/>
      </c>
    </row>
    <row r="849">
      <c r="B849" s="2" t="inlineStr">
        <is>
          <t>NCA三元材料</t>
        </is>
      </c>
      <c r="C849" s="10">
        <f>IFERROR(AVERAGEIFS(C$2:C$838,A$2:A$838,"&gt;="&amp;DATE(YEAR(TODAY()),MONTH(TODAY()),1),A$2:A$838,"&lt;"&amp;DATE(YEAR(TODAY()),MONTH(TODAY())+1,1),B$2:B$838,$B$849),"")</f>
        <v/>
      </c>
      <c r="D849" s="10">
        <f>IFERROR(AVERAGEIFS(D$2:D$838,A$2:A$838,"&gt;="&amp;DATE(YEAR(TODAY()),MONTH(TODAY()),1),A$2:A$838,"&lt;"&amp;DATE(YEAR(TODAY()),MONTH(TODAY())+1,1),B$2:B$838,$B$849),"")</f>
        <v/>
      </c>
      <c r="E849" s="10">
        <f>IFERROR(AVERAGEIFS(E$2:E$838,A$2:A$838,"&gt;="&amp;DATE(YEAR(TODAY()),MONTH(TODAY()),1),A$2:A$838,"&lt;"&amp;DATE(YEAR(TODAY()),MONTH(TODAY())+1,1),B$2:B$838,$B$849),"")</f>
        <v/>
      </c>
      <c r="F849" s="11">
        <f>IFERROR(SUMPRODUCT((YEAR(A$2:A$838)=YEAR(TODAY()))*(MONTH(A$2:A$838)=MONTH(TODAY()))*(B$2:B$838=$B$849)*(F$2:F$838),"")</f>
        <v/>
      </c>
    </row>
    <row r="850">
      <c r="B850" s="2" t="inlineStr">
        <is>
          <t>SMM三元极片粉钴系数指数</t>
        </is>
      </c>
      <c r="C850" s="10">
        <f>IFERROR(AVERAGEIFS(C$2:C$838,A$2:A$838,"&gt;="&amp;DATE(YEAR(TODAY()),MONTH(TODAY()),1),A$2:A$838,"&lt;"&amp;DATE(YEAR(TODAY()),MONTH(TODAY())+1,1),B$2:B$838,$B$850),"")</f>
        <v/>
      </c>
      <c r="D850" s="10">
        <f>IFERROR(AVERAGEIFS(D$2:D$838,A$2:A$838,"&gt;="&amp;DATE(YEAR(TODAY()),MONTH(TODAY()),1),A$2:A$838,"&lt;"&amp;DATE(YEAR(TODAY()),MONTH(TODAY())+1,1),B$2:B$838,$B$850),"")</f>
        <v/>
      </c>
      <c r="E850" s="10">
        <f>IFERROR(AVERAGEIFS(E$2:E$838,A$2:A$838,"&gt;="&amp;DATE(YEAR(TODAY()),MONTH(TODAY()),1),A$2:A$838,"&lt;"&amp;DATE(YEAR(TODAY()),MONTH(TODAY())+1,1),B$2:B$838,$B$850),"")</f>
        <v/>
      </c>
      <c r="F850" s="11">
        <f>IFERROR(SUMPRODUCT((YEAR(A$2:A$838)=YEAR(TODAY()))*(MONTH(A$2:A$838)=MONTH(TODAY()))*(B$2:B$838=$B$850)*(F$2:F$838),"")</f>
        <v/>
      </c>
    </row>
    <row r="851">
      <c r="B851" s="2" t="inlineStr">
        <is>
          <t>SMM三元极片粉锂系数指数</t>
        </is>
      </c>
      <c r="C851" s="10">
        <f>IFERROR(AVERAGEIFS(C$2:C$838,A$2:A$838,"&gt;="&amp;DATE(YEAR(TODAY()),MONTH(TODAY()),1),A$2:A$838,"&lt;"&amp;DATE(YEAR(TODAY()),MONTH(TODAY())+1,1),B$2:B$838,$B$851),"")</f>
        <v/>
      </c>
      <c r="D851" s="10">
        <f>IFERROR(AVERAGEIFS(D$2:D$838,A$2:A$838,"&gt;="&amp;DATE(YEAR(TODAY()),MONTH(TODAY()),1),A$2:A$838,"&lt;"&amp;DATE(YEAR(TODAY()),MONTH(TODAY())+1,1),B$2:B$838,$B$851),"")</f>
        <v/>
      </c>
      <c r="E851" s="10">
        <f>IFERROR(AVERAGEIFS(E$2:E$838,A$2:A$838,"&gt;="&amp;DATE(YEAR(TODAY()),MONTH(TODAY()),1),A$2:A$838,"&lt;"&amp;DATE(YEAR(TODAY()),MONTH(TODAY())+1,1),B$2:B$838,$B$851),"")</f>
        <v/>
      </c>
      <c r="F851" s="11">
        <f>IFERROR(SUMPRODUCT((YEAR(A$2:A$838)=YEAR(TODAY()))*(MONTH(A$2:A$838)=MONTH(TODAY()))*(B$2:B$838=$B$851)*(F$2:F$838),"")</f>
        <v/>
      </c>
    </row>
    <row r="852">
      <c r="B852" s="2" t="inlineStr">
        <is>
          <t>SMM三元极片粉镍系数指数</t>
        </is>
      </c>
      <c r="C852" s="10">
        <f>IFERROR(AVERAGEIFS(C$2:C$838,A$2:A$838,"&gt;="&amp;DATE(YEAR(TODAY()),MONTH(TODAY()),1),A$2:A$838,"&lt;"&amp;DATE(YEAR(TODAY()),MONTH(TODAY())+1,1),B$2:B$838,$B$852),"")</f>
        <v/>
      </c>
      <c r="D852" s="10">
        <f>IFERROR(AVERAGEIFS(D$2:D$838,A$2:A$838,"&gt;="&amp;DATE(YEAR(TODAY()),MONTH(TODAY()),1),A$2:A$838,"&lt;"&amp;DATE(YEAR(TODAY()),MONTH(TODAY())+1,1),B$2:B$838,$B$852),"")</f>
        <v/>
      </c>
      <c r="E852" s="10">
        <f>IFERROR(AVERAGEIFS(E$2:E$838,A$2:A$838,"&gt;="&amp;DATE(YEAR(TODAY()),MONTH(TODAY()),1),A$2:A$838,"&lt;"&amp;DATE(YEAR(TODAY()),MONTH(TODAY())+1,1),B$2:B$838,$B$852),"")</f>
        <v/>
      </c>
      <c r="F852" s="11">
        <f>IFERROR(SUMPRODUCT((YEAR(A$2:A$838)=YEAR(TODAY()))*(MONTH(A$2:A$838)=MONTH(TODAY()))*(B$2:B$838=$B$852)*(F$2:F$838),"")</f>
        <v/>
      </c>
    </row>
    <row r="853">
      <c r="B853" s="2" t="inlineStr">
        <is>
          <t>SMM三元电池粉钴系数指数</t>
        </is>
      </c>
      <c r="C853" s="10">
        <f>IFERROR(AVERAGEIFS(C$2:C$838,A$2:A$838,"&gt;="&amp;DATE(YEAR(TODAY()),MONTH(TODAY()),1),A$2:A$838,"&lt;"&amp;DATE(YEAR(TODAY()),MONTH(TODAY())+1,1),B$2:B$838,$B$853),"")</f>
        <v/>
      </c>
      <c r="D853" s="10">
        <f>IFERROR(AVERAGEIFS(D$2:D$838,A$2:A$838,"&gt;="&amp;DATE(YEAR(TODAY()),MONTH(TODAY()),1),A$2:A$838,"&lt;"&amp;DATE(YEAR(TODAY()),MONTH(TODAY())+1,1),B$2:B$838,$B$853),"")</f>
        <v/>
      </c>
      <c r="E853" s="10">
        <f>IFERROR(AVERAGEIFS(E$2:E$838,A$2:A$838,"&gt;="&amp;DATE(YEAR(TODAY()),MONTH(TODAY()),1),A$2:A$838,"&lt;"&amp;DATE(YEAR(TODAY()),MONTH(TODAY())+1,1),B$2:B$838,$B$853),"")</f>
        <v/>
      </c>
      <c r="F853" s="11">
        <f>IFERROR(SUMPRODUCT((YEAR(A$2:A$838)=YEAR(TODAY()))*(MONTH(A$2:A$838)=MONTH(TODAY()))*(B$2:B$838=$B$853)*(F$2:F$838),"")</f>
        <v/>
      </c>
    </row>
    <row r="854">
      <c r="B854" s="2" t="inlineStr">
        <is>
          <t>SMM三元电池粉锂系数指数</t>
        </is>
      </c>
      <c r="C854" s="10">
        <f>IFERROR(AVERAGEIFS(C$2:C$838,A$2:A$838,"&gt;="&amp;DATE(YEAR(TODAY()),MONTH(TODAY()),1),A$2:A$838,"&lt;"&amp;DATE(YEAR(TODAY()),MONTH(TODAY())+1,1),B$2:B$838,$B$854),"")</f>
        <v/>
      </c>
      <c r="D854" s="10">
        <f>IFERROR(AVERAGEIFS(D$2:D$838,A$2:A$838,"&gt;="&amp;DATE(YEAR(TODAY()),MONTH(TODAY()),1),A$2:A$838,"&lt;"&amp;DATE(YEAR(TODAY()),MONTH(TODAY())+1,1),B$2:B$838,$B$854),"")</f>
        <v/>
      </c>
      <c r="E854" s="10">
        <f>IFERROR(AVERAGEIFS(E$2:E$838,A$2:A$838,"&gt;="&amp;DATE(YEAR(TODAY()),MONTH(TODAY()),1),A$2:A$838,"&lt;"&amp;DATE(YEAR(TODAY()),MONTH(TODAY())+1,1),B$2:B$838,$B$854),"")</f>
        <v/>
      </c>
      <c r="F854" s="11">
        <f>IFERROR(SUMPRODUCT((YEAR(A$2:A$838)=YEAR(TODAY()))*(MONTH(A$2:A$838)=MONTH(TODAY()))*(B$2:B$838=$B$854)*(F$2:F$838),"")</f>
        <v/>
      </c>
    </row>
    <row r="855">
      <c r="B855" s="2" t="inlineStr">
        <is>
          <t>SMM三元电池粉镍系数指数</t>
        </is>
      </c>
      <c r="C855" s="10">
        <f>IFERROR(AVERAGEIFS(C$2:C$838,A$2:A$838,"&gt;="&amp;DATE(YEAR(TODAY()),MONTH(TODAY()),1),A$2:A$838,"&lt;"&amp;DATE(YEAR(TODAY()),MONTH(TODAY())+1,1),B$2:B$838,$B$855),"")</f>
        <v/>
      </c>
      <c r="D855" s="10">
        <f>IFERROR(AVERAGEIFS(D$2:D$838,A$2:A$838,"&gt;="&amp;DATE(YEAR(TODAY()),MONTH(TODAY()),1),A$2:A$838,"&lt;"&amp;DATE(YEAR(TODAY()),MONTH(TODAY())+1,1),B$2:B$838,$B$855),"")</f>
        <v/>
      </c>
      <c r="E855" s="10">
        <f>IFERROR(AVERAGEIFS(E$2:E$838,A$2:A$838,"&gt;="&amp;DATE(YEAR(TODAY()),MONTH(TODAY()),1),A$2:A$838,"&lt;"&amp;DATE(YEAR(TODAY()),MONTH(TODAY())+1,1),B$2:B$838,$B$855),"")</f>
        <v/>
      </c>
      <c r="F855" s="11">
        <f>IFERROR(SUMPRODUCT((YEAR(A$2:A$838)=YEAR(TODAY()))*(MONTH(A$2:A$838)=MONTH(TODAY()))*(B$2:B$838=$B$855)*(F$2:F$838),"")</f>
        <v/>
      </c>
    </row>
    <row r="856">
      <c r="B856" s="2" t="inlineStr">
        <is>
          <t>SMM六氟磷酸锂指数</t>
        </is>
      </c>
      <c r="C856" s="10">
        <f>IFERROR(AVERAGEIFS(C$2:C$838,A$2:A$838,"&gt;="&amp;DATE(YEAR(TODAY()),MONTH(TODAY()),1),A$2:A$838,"&lt;"&amp;DATE(YEAR(TODAY()),MONTH(TODAY())+1,1),B$2:B$838,$B$856),"")</f>
        <v/>
      </c>
      <c r="D856" s="10">
        <f>IFERROR(AVERAGEIFS(D$2:D$838,A$2:A$838,"&gt;="&amp;DATE(YEAR(TODAY()),MONTH(TODAY()),1),A$2:A$838,"&lt;"&amp;DATE(YEAR(TODAY()),MONTH(TODAY())+1,1),B$2:B$838,$B$856),"")</f>
        <v/>
      </c>
      <c r="E856" s="10">
        <f>IFERROR(AVERAGEIFS(E$2:E$838,A$2:A$838,"&gt;="&amp;DATE(YEAR(TODAY()),MONTH(TODAY()),1),A$2:A$838,"&lt;"&amp;DATE(YEAR(TODAY()),MONTH(TODAY())+1,1),B$2:B$838,$B$856),"")</f>
        <v/>
      </c>
      <c r="F856" s="11">
        <f>IFERROR(SUMPRODUCT((YEAR(A$2:A$838)=YEAR(TODAY()))*(MONTH(A$2:A$838)=MONTH(TODAY()))*(B$2:B$838=$B$856)*(F$2:F$838),"")</f>
        <v/>
      </c>
    </row>
    <row r="857">
      <c r="B857" s="2" t="inlineStr">
        <is>
          <t>SMM电池级氢氧化锂指数</t>
        </is>
      </c>
      <c r="C857" s="10">
        <f>IFERROR(AVERAGEIFS(C$2:C$838,A$2:A$838,"&gt;="&amp;DATE(YEAR(TODAY()),MONTH(TODAY()),1),A$2:A$838,"&lt;"&amp;DATE(YEAR(TODAY()),MONTH(TODAY())+1,1),B$2:B$838,$B$857),"")</f>
        <v/>
      </c>
      <c r="D857" s="10">
        <f>IFERROR(AVERAGEIFS(D$2:D$838,A$2:A$838,"&gt;="&amp;DATE(YEAR(TODAY()),MONTH(TODAY()),1),A$2:A$838,"&lt;"&amp;DATE(YEAR(TODAY()),MONTH(TODAY())+1,1),B$2:B$838,$B$857),"")</f>
        <v/>
      </c>
      <c r="E857" s="10">
        <f>IFERROR(AVERAGEIFS(E$2:E$838,A$2:A$838,"&gt;="&amp;DATE(YEAR(TODAY()),MONTH(TODAY()),1),A$2:A$838,"&lt;"&amp;DATE(YEAR(TODAY()),MONTH(TODAY())+1,1),B$2:B$838,$B$857),"")</f>
        <v/>
      </c>
      <c r="F857" s="11">
        <f>IFERROR(SUMPRODUCT((YEAR(A$2:A$838)=YEAR(TODAY()))*(MONTH(A$2:A$838)=MONTH(TODAY()))*(B$2:B$838=$B$857)*(F$2:F$838),"")</f>
        <v/>
      </c>
    </row>
    <row r="858">
      <c r="B858" s="2" t="inlineStr">
        <is>
          <t>SMM电池级硫酸锰指数</t>
        </is>
      </c>
      <c r="C858" s="10">
        <f>IFERROR(AVERAGEIFS(C$2:C$838,A$2:A$838,"&gt;="&amp;DATE(YEAR(TODAY()),MONTH(TODAY()),1),A$2:A$838,"&lt;"&amp;DATE(YEAR(TODAY()),MONTH(TODAY())+1,1),B$2:B$838,$B$858),"")</f>
        <v/>
      </c>
      <c r="D858" s="10">
        <f>IFERROR(AVERAGEIFS(D$2:D$838,A$2:A$838,"&gt;="&amp;DATE(YEAR(TODAY()),MONTH(TODAY()),1),A$2:A$838,"&lt;"&amp;DATE(YEAR(TODAY()),MONTH(TODAY())+1,1),B$2:B$838,$B$858),"")</f>
        <v/>
      </c>
      <c r="E858" s="10">
        <f>IFERROR(AVERAGEIFS(E$2:E$838,A$2:A$838,"&gt;="&amp;DATE(YEAR(TODAY()),MONTH(TODAY()),1),A$2:A$838,"&lt;"&amp;DATE(YEAR(TODAY()),MONTH(TODAY())+1,1),B$2:B$838,$B$858),"")</f>
        <v/>
      </c>
      <c r="F858" s="11">
        <f>IFERROR(SUMPRODUCT((YEAR(A$2:A$838)=YEAR(TODAY()))*(MONTH(A$2:A$838)=MONTH(TODAY()))*(B$2:B$838=$B$858)*(F$2:F$838),"")</f>
        <v/>
      </c>
    </row>
    <row r="859">
      <c r="B859" s="2" t="inlineStr">
        <is>
          <t>SMM电池级硫酸镍指数</t>
        </is>
      </c>
      <c r="C859" s="10">
        <f>IFERROR(AVERAGEIFS(C$2:C$838,A$2:A$838,"&gt;="&amp;DATE(YEAR(TODAY()),MONTH(TODAY()),1),A$2:A$838,"&lt;"&amp;DATE(YEAR(TODAY()),MONTH(TODAY())+1,1),B$2:B$838,$B$859),"")</f>
        <v/>
      </c>
      <c r="D859" s="10">
        <f>IFERROR(AVERAGEIFS(D$2:D$838,A$2:A$838,"&gt;="&amp;DATE(YEAR(TODAY()),MONTH(TODAY()),1),A$2:A$838,"&lt;"&amp;DATE(YEAR(TODAY()),MONTH(TODAY())+1,1),B$2:B$838,$B$859),"")</f>
        <v/>
      </c>
      <c r="E859" s="10">
        <f>IFERROR(AVERAGEIFS(E$2:E$838,A$2:A$838,"&gt;="&amp;DATE(YEAR(TODAY()),MONTH(TODAY()),1),A$2:A$838,"&lt;"&amp;DATE(YEAR(TODAY()),MONTH(TODAY())+1,1),B$2:B$838,$B$859),"")</f>
        <v/>
      </c>
      <c r="F859" s="11">
        <f>IFERROR(SUMPRODUCT((YEAR(A$2:A$838)=YEAR(TODAY()))*(MONTH(A$2:A$838)=MONTH(TODAY()))*(B$2:B$838=$B$859)*(F$2:F$838),"")</f>
        <v/>
      </c>
    </row>
    <row r="860">
      <c r="B860" s="2" t="inlineStr">
        <is>
          <t>SMM电池级碳酸锂指数</t>
        </is>
      </c>
      <c r="C860" s="10">
        <f>IFERROR(AVERAGEIFS(C$2:C$838,A$2:A$838,"&gt;="&amp;DATE(YEAR(TODAY()),MONTH(TODAY()),1),A$2:A$838,"&lt;"&amp;DATE(YEAR(TODAY()),MONTH(TODAY())+1,1),B$2:B$838,$B$860),"")</f>
        <v/>
      </c>
      <c r="D860" s="10">
        <f>IFERROR(AVERAGEIFS(D$2:D$838,A$2:A$838,"&gt;="&amp;DATE(YEAR(TODAY()),MONTH(TODAY()),1),A$2:A$838,"&lt;"&amp;DATE(YEAR(TODAY()),MONTH(TODAY())+1,1),B$2:B$838,$B$860),"")</f>
        <v/>
      </c>
      <c r="E860" s="10">
        <f>IFERROR(AVERAGEIFS(E$2:E$838,A$2:A$838,"&gt;="&amp;DATE(YEAR(TODAY()),MONTH(TODAY()),1),A$2:A$838,"&lt;"&amp;DATE(YEAR(TODAY()),MONTH(TODAY())+1,1),B$2:B$838,$B$860),"")</f>
        <v/>
      </c>
      <c r="F860" s="11">
        <f>IFERROR(SUMPRODUCT((YEAR(A$2:A$838)=YEAR(TODAY()))*(MONTH(A$2:A$838)=MONTH(TODAY()))*(B$2:B$838=$B$860)*(F$2:F$838),"")</f>
        <v/>
      </c>
    </row>
    <row r="861">
      <c r="B861" s="2" t="inlineStr">
        <is>
          <t>SMM硫酸钴指数</t>
        </is>
      </c>
      <c r="C861" s="10">
        <f>IFERROR(AVERAGEIFS(C$2:C$838,A$2:A$838,"&gt;="&amp;DATE(YEAR(TODAY()),MONTH(TODAY()),1),A$2:A$838,"&lt;"&amp;DATE(YEAR(TODAY()),MONTH(TODAY())+1,1),B$2:B$838,$B$861),"")</f>
        <v/>
      </c>
      <c r="D861" s="10">
        <f>IFERROR(AVERAGEIFS(D$2:D$838,A$2:A$838,"&gt;="&amp;DATE(YEAR(TODAY()),MONTH(TODAY()),1),A$2:A$838,"&lt;"&amp;DATE(YEAR(TODAY()),MONTH(TODAY())+1,1),B$2:B$838,$B$861),"")</f>
        <v/>
      </c>
      <c r="E861" s="10">
        <f>IFERROR(AVERAGEIFS(E$2:E$838,A$2:A$838,"&gt;="&amp;DATE(YEAR(TODAY()),MONTH(TODAY()),1),A$2:A$838,"&lt;"&amp;DATE(YEAR(TODAY()),MONTH(TODAY())+1,1),B$2:B$838,$B$861),"")</f>
        <v/>
      </c>
      <c r="F861" s="11">
        <f>IFERROR(SUMPRODUCT((YEAR(A$2:A$838)=YEAR(TODAY()))*(MONTH(A$2:A$838)=MONTH(TODAY()))*(B$2:B$838=$B$861)*(F$2:F$838),"")</f>
        <v/>
      </c>
    </row>
    <row r="862">
      <c r="B862" s="2" t="inlineStr">
        <is>
          <t>SMM磷酸铁锂极片粉指数</t>
        </is>
      </c>
      <c r="C862" s="10">
        <f>IFERROR(AVERAGEIFS(C$2:C$838,A$2:A$838,"&gt;="&amp;DATE(YEAR(TODAY()),MONTH(TODAY()),1),A$2:A$838,"&lt;"&amp;DATE(YEAR(TODAY()),MONTH(TODAY())+1,1),B$2:B$838,$B$862),"")</f>
        <v/>
      </c>
      <c r="D862" s="10">
        <f>IFERROR(AVERAGEIFS(D$2:D$838,A$2:A$838,"&gt;="&amp;DATE(YEAR(TODAY()),MONTH(TODAY()),1),A$2:A$838,"&lt;"&amp;DATE(YEAR(TODAY()),MONTH(TODAY())+1,1),B$2:B$838,$B$862),"")</f>
        <v/>
      </c>
      <c r="E862" s="10">
        <f>IFERROR(AVERAGEIFS(E$2:E$838,A$2:A$838,"&gt;="&amp;DATE(YEAR(TODAY()),MONTH(TODAY()),1),A$2:A$838,"&lt;"&amp;DATE(YEAR(TODAY()),MONTH(TODAY())+1,1),B$2:B$838,$B$862),"")</f>
        <v/>
      </c>
      <c r="F862" s="11">
        <f>IFERROR(SUMPRODUCT((YEAR(A$2:A$838)=YEAR(TODAY()))*(MONTH(A$2:A$838)=MONTH(TODAY()))*(B$2:B$838=$B$862)*(F$2:F$838),"")</f>
        <v/>
      </c>
    </row>
    <row r="863">
      <c r="B863" s="2" t="inlineStr">
        <is>
          <t>SMM磷酸铁锂电池粉指数</t>
        </is>
      </c>
      <c r="C863" s="10">
        <f>IFERROR(AVERAGEIFS(C$2:C$838,A$2:A$838,"&gt;="&amp;DATE(YEAR(TODAY()),MONTH(TODAY()),1),A$2:A$838,"&lt;"&amp;DATE(YEAR(TODAY()),MONTH(TODAY())+1,1),B$2:B$838,$B$863),"")</f>
        <v/>
      </c>
      <c r="D863" s="10">
        <f>IFERROR(AVERAGEIFS(D$2:D$838,A$2:A$838,"&gt;="&amp;DATE(YEAR(TODAY()),MONTH(TODAY()),1),A$2:A$838,"&lt;"&amp;DATE(YEAR(TODAY()),MONTH(TODAY())+1,1),B$2:B$838,$B$863),"")</f>
        <v/>
      </c>
      <c r="E863" s="10">
        <f>IFERROR(AVERAGEIFS(E$2:E$838,A$2:A$838,"&gt;="&amp;DATE(YEAR(TODAY()),MONTH(TODAY()),1),A$2:A$838,"&lt;"&amp;DATE(YEAR(TODAY()),MONTH(TODAY())+1,1),B$2:B$838,$B$863),"")</f>
        <v/>
      </c>
      <c r="F863" s="11">
        <f>IFERROR(SUMPRODUCT((YEAR(A$2:A$838)=YEAR(TODAY()))*(MONTH(A$2:A$838)=MONTH(TODAY()))*(B$2:B$838=$B$863)*(F$2:F$838),"")</f>
        <v/>
      </c>
    </row>
    <row r="864">
      <c r="B864" s="2" t="inlineStr">
        <is>
          <t>SMM钴酸锂极片粉钴系数指数</t>
        </is>
      </c>
      <c r="C864" s="10">
        <f>IFERROR(AVERAGEIFS(C$2:C$838,A$2:A$838,"&gt;="&amp;DATE(YEAR(TODAY()),MONTH(TODAY()),1),A$2:A$838,"&lt;"&amp;DATE(YEAR(TODAY()),MONTH(TODAY())+1,1),B$2:B$838,$B$864),"")</f>
        <v/>
      </c>
      <c r="D864" s="10">
        <f>IFERROR(AVERAGEIFS(D$2:D$838,A$2:A$838,"&gt;="&amp;DATE(YEAR(TODAY()),MONTH(TODAY()),1),A$2:A$838,"&lt;"&amp;DATE(YEAR(TODAY()),MONTH(TODAY())+1,1),B$2:B$838,$B$864),"")</f>
        <v/>
      </c>
      <c r="E864" s="10">
        <f>IFERROR(AVERAGEIFS(E$2:E$838,A$2:A$838,"&gt;="&amp;DATE(YEAR(TODAY()),MONTH(TODAY()),1),A$2:A$838,"&lt;"&amp;DATE(YEAR(TODAY()),MONTH(TODAY())+1,1),B$2:B$838,$B$864),"")</f>
        <v/>
      </c>
      <c r="F864" s="11">
        <f>IFERROR(SUMPRODUCT((YEAR(A$2:A$838)=YEAR(TODAY()))*(MONTH(A$2:A$838)=MONTH(TODAY()))*(B$2:B$838=$B$864)*(F$2:F$838),"")</f>
        <v/>
      </c>
    </row>
    <row r="865">
      <c r="B865" s="2" t="inlineStr">
        <is>
          <t>SMM钴酸锂极片粉锂系数指数</t>
        </is>
      </c>
      <c r="C865" s="10">
        <f>IFERROR(AVERAGEIFS(C$2:C$838,A$2:A$838,"&gt;="&amp;DATE(YEAR(TODAY()),MONTH(TODAY()),1),A$2:A$838,"&lt;"&amp;DATE(YEAR(TODAY()),MONTH(TODAY())+1,1),B$2:B$838,$B$865),"")</f>
        <v/>
      </c>
      <c r="D865" s="10">
        <f>IFERROR(AVERAGEIFS(D$2:D$838,A$2:A$838,"&gt;="&amp;DATE(YEAR(TODAY()),MONTH(TODAY()),1),A$2:A$838,"&lt;"&amp;DATE(YEAR(TODAY()),MONTH(TODAY())+1,1),B$2:B$838,$B$865),"")</f>
        <v/>
      </c>
      <c r="E865" s="10">
        <f>IFERROR(AVERAGEIFS(E$2:E$838,A$2:A$838,"&gt;="&amp;DATE(YEAR(TODAY()),MONTH(TODAY()),1),A$2:A$838,"&lt;"&amp;DATE(YEAR(TODAY()),MONTH(TODAY())+1,1),B$2:B$838,$B$865),"")</f>
        <v/>
      </c>
      <c r="F865" s="11">
        <f>IFERROR(SUMPRODUCT((YEAR(A$2:A$838)=YEAR(TODAY()))*(MONTH(A$2:A$838)=MONTH(TODAY()))*(B$2:B$838=$B$865)*(F$2:F$838),"")</f>
        <v/>
      </c>
    </row>
    <row r="866">
      <c r="B866" s="2" t="inlineStr">
        <is>
          <t>SMM钴酸锂电池粉钴系数指数</t>
        </is>
      </c>
      <c r="C866" s="10">
        <f>IFERROR(AVERAGEIFS(C$2:C$838,A$2:A$838,"&gt;="&amp;DATE(YEAR(TODAY()),MONTH(TODAY()),1),A$2:A$838,"&lt;"&amp;DATE(YEAR(TODAY()),MONTH(TODAY())+1,1),B$2:B$838,$B$866),"")</f>
        <v/>
      </c>
      <c r="D866" s="10">
        <f>IFERROR(AVERAGEIFS(D$2:D$838,A$2:A$838,"&gt;="&amp;DATE(YEAR(TODAY()),MONTH(TODAY()),1),A$2:A$838,"&lt;"&amp;DATE(YEAR(TODAY()),MONTH(TODAY())+1,1),B$2:B$838,$B$866),"")</f>
        <v/>
      </c>
      <c r="E866" s="10">
        <f>IFERROR(AVERAGEIFS(E$2:E$838,A$2:A$838,"&gt;="&amp;DATE(YEAR(TODAY()),MONTH(TODAY()),1),A$2:A$838,"&lt;"&amp;DATE(YEAR(TODAY()),MONTH(TODAY())+1,1),B$2:B$838,$B$866),"")</f>
        <v/>
      </c>
      <c r="F866" s="11">
        <f>IFERROR(SUMPRODUCT((YEAR(A$2:A$838)=YEAR(TODAY()))*(MONTH(A$2:A$838)=MONTH(TODAY()))*(B$2:B$838=$B$866)*(F$2:F$838),"")</f>
        <v/>
      </c>
    </row>
    <row r="867">
      <c r="B867" s="2" t="inlineStr">
        <is>
          <t>SMM钴酸锂电池粉锂系数指数</t>
        </is>
      </c>
      <c r="C867" s="10">
        <f>IFERROR(AVERAGEIFS(C$2:C$838,A$2:A$838,"&gt;="&amp;DATE(YEAR(TODAY()),MONTH(TODAY()),1),A$2:A$838,"&lt;"&amp;DATE(YEAR(TODAY()),MONTH(TODAY())+1,1),B$2:B$838,$B$867),"")</f>
        <v/>
      </c>
      <c r="D867" s="10">
        <f>IFERROR(AVERAGEIFS(D$2:D$838,A$2:A$838,"&gt;="&amp;DATE(YEAR(TODAY()),MONTH(TODAY()),1),A$2:A$838,"&lt;"&amp;DATE(YEAR(TODAY()),MONTH(TODAY())+1,1),B$2:B$838,$B$867),"")</f>
        <v/>
      </c>
      <c r="E867" s="10">
        <f>IFERROR(AVERAGEIFS(E$2:E$838,A$2:A$838,"&gt;="&amp;DATE(YEAR(TODAY()),MONTH(TODAY()),1),A$2:A$838,"&lt;"&amp;DATE(YEAR(TODAY()),MONTH(TODAY())+1,1),B$2:B$838,$B$867),"")</f>
        <v/>
      </c>
      <c r="F867" s="11">
        <f>IFERROR(SUMPRODUCT((YEAR(A$2:A$838)=YEAR(TODAY()))*(MONTH(A$2:A$838)=MONTH(TODAY()))*(B$2:B$838=$B$867)*(F$2:F$838),"")</f>
        <v/>
      </c>
    </row>
    <row r="868">
      <c r="B868" s="2" t="inlineStr">
        <is>
          <t>三元方壳锂电B品</t>
        </is>
      </c>
      <c r="C868" s="10">
        <f>IFERROR(AVERAGEIFS(C$2:C$838,A$2:A$838,"&gt;="&amp;DATE(YEAR(TODAY()),MONTH(TODAY()),1),A$2:A$838,"&lt;"&amp;DATE(YEAR(TODAY()),MONTH(TODAY())+1,1),B$2:B$838,$B$868),"")</f>
        <v/>
      </c>
      <c r="D868" s="10">
        <f>IFERROR(AVERAGEIFS(D$2:D$838,A$2:A$838,"&gt;="&amp;DATE(YEAR(TODAY()),MONTH(TODAY()),1),A$2:A$838,"&lt;"&amp;DATE(YEAR(TODAY()),MONTH(TODAY())+1,1),B$2:B$838,$B$868),"")</f>
        <v/>
      </c>
      <c r="E868" s="10">
        <f>IFERROR(AVERAGEIFS(E$2:E$838,A$2:A$838,"&gt;="&amp;DATE(YEAR(TODAY()),MONTH(TODAY()),1),A$2:A$838,"&lt;"&amp;DATE(YEAR(TODAY()),MONTH(TODAY())+1,1),B$2:B$838,$B$868),"")</f>
        <v/>
      </c>
      <c r="F868" s="11">
        <f>IFERROR(SUMPRODUCT((YEAR(A$2:A$838)=YEAR(TODAY()))*(MONTH(A$2:A$838)=MONTH(TODAY()))*(B$2:B$838=$B$868)*(F$2:F$838),"")</f>
        <v/>
      </c>
    </row>
    <row r="869">
      <c r="B869" s="2" t="inlineStr">
        <is>
          <t>六氟磷酸锂（国产）</t>
        </is>
      </c>
      <c r="C869" s="10">
        <f>IFERROR(AVERAGEIFS(C$2:C$838,A$2:A$838,"&gt;="&amp;DATE(YEAR(TODAY()),MONTH(TODAY()),1),A$2:A$838,"&lt;"&amp;DATE(YEAR(TODAY()),MONTH(TODAY())+1,1),B$2:B$838,$B$869),"")</f>
        <v/>
      </c>
      <c r="D869" s="10">
        <f>IFERROR(AVERAGEIFS(D$2:D$838,A$2:A$838,"&gt;="&amp;DATE(YEAR(TODAY()),MONTH(TODAY()),1),A$2:A$838,"&lt;"&amp;DATE(YEAR(TODAY()),MONTH(TODAY())+1,1),B$2:B$838,$B$869),"")</f>
        <v/>
      </c>
      <c r="E869" s="10">
        <f>IFERROR(AVERAGEIFS(E$2:E$838,A$2:A$838,"&gt;="&amp;DATE(YEAR(TODAY()),MONTH(TODAY()),1),A$2:A$838,"&lt;"&amp;DATE(YEAR(TODAY()),MONTH(TODAY())+1,1),B$2:B$838,$B$869),"")</f>
        <v/>
      </c>
      <c r="F869" s="11">
        <f>IFERROR(SUMPRODUCT((YEAR(A$2:A$838)=YEAR(TODAY()))*(MONTH(A$2:A$838)=MONTH(TODAY()))*(B$2:B$838=$B$869)*(F$2:F$838),"")</f>
        <v/>
      </c>
    </row>
    <row r="870">
      <c r="B870" s="2" t="inlineStr">
        <is>
          <t>四氧化三钴</t>
        </is>
      </c>
      <c r="C870" s="10">
        <f>IFERROR(AVERAGEIFS(C$2:C$838,A$2:A$838,"&gt;="&amp;DATE(YEAR(TODAY()),MONTH(TODAY()),1),A$2:A$838,"&lt;"&amp;DATE(YEAR(TODAY()),MONTH(TODAY())+1,1),B$2:B$838,$B$870),"")</f>
        <v/>
      </c>
      <c r="D870" s="10">
        <f>IFERROR(AVERAGEIFS(D$2:D$838,A$2:A$838,"&gt;="&amp;DATE(YEAR(TODAY()),MONTH(TODAY()),1),A$2:A$838,"&lt;"&amp;DATE(YEAR(TODAY()),MONTH(TODAY())+1,1),B$2:B$838,$B$870),"")</f>
        <v/>
      </c>
      <c r="E870" s="10">
        <f>IFERROR(AVERAGEIFS(E$2:E$838,A$2:A$838,"&gt;="&amp;DATE(YEAR(TODAY()),MONTH(TODAY()),1),A$2:A$838,"&lt;"&amp;DATE(YEAR(TODAY()),MONTH(TODAY())+1,1),B$2:B$838,$B$870),"")</f>
        <v/>
      </c>
      <c r="F870" s="11">
        <f>IFERROR(SUMPRODUCT((YEAR(A$2:A$838)=YEAR(TODAY()))*(MONTH(A$2:A$838)=MONTH(TODAY()))*(B$2:B$838=$B$870)*(F$2:F$838),"")</f>
        <v/>
      </c>
    </row>
    <row r="871">
      <c r="B871" s="2" t="inlineStr">
        <is>
          <t>四氧化三锰（电池级）</t>
        </is>
      </c>
      <c r="C871" s="10">
        <f>IFERROR(AVERAGEIFS(C$2:C$838,A$2:A$838,"&gt;="&amp;DATE(YEAR(TODAY()),MONTH(TODAY()),1),A$2:A$838,"&lt;"&amp;DATE(YEAR(TODAY()),MONTH(TODAY())+1,1),B$2:B$838,$B$871),"")</f>
        <v/>
      </c>
      <c r="D871" s="10">
        <f>IFERROR(AVERAGEIFS(D$2:D$838,A$2:A$838,"&gt;="&amp;DATE(YEAR(TODAY()),MONTH(TODAY()),1),A$2:A$838,"&lt;"&amp;DATE(YEAR(TODAY()),MONTH(TODAY())+1,1),B$2:B$838,$B$871),"")</f>
        <v/>
      </c>
      <c r="E871" s="10">
        <f>IFERROR(AVERAGEIFS(E$2:E$838,A$2:A$838,"&gt;="&amp;DATE(YEAR(TODAY()),MONTH(TODAY()),1),A$2:A$838,"&lt;"&amp;DATE(YEAR(TODAY()),MONTH(TODAY())+1,1),B$2:B$838,$B$871),"")</f>
        <v/>
      </c>
      <c r="F871" s="11">
        <f>IFERROR(SUMPRODUCT((YEAR(A$2:A$838)=YEAR(TODAY()))*(MONTH(A$2:A$838)=MONTH(TODAY()))*(B$2:B$838=$B$871)*(F$2:F$838),"")</f>
        <v/>
      </c>
    </row>
    <row r="872">
      <c r="B872" s="2" t="inlineStr">
        <is>
          <t>工业级氢氧化锂</t>
        </is>
      </c>
      <c r="C872" s="10">
        <f>IFERROR(AVERAGEIFS(C$2:C$838,A$2:A$838,"&gt;="&amp;DATE(YEAR(TODAY()),MONTH(TODAY()),1),A$2:A$838,"&lt;"&amp;DATE(YEAR(TODAY()),MONTH(TODAY())+1,1),B$2:B$838,$B$872),"")</f>
        <v/>
      </c>
      <c r="D872" s="10">
        <f>IFERROR(AVERAGEIFS(D$2:D$838,A$2:A$838,"&gt;="&amp;DATE(YEAR(TODAY()),MONTH(TODAY()),1),A$2:A$838,"&lt;"&amp;DATE(YEAR(TODAY()),MONTH(TODAY())+1,1),B$2:B$838,$B$872),"")</f>
        <v/>
      </c>
      <c r="E872" s="10">
        <f>IFERROR(AVERAGEIFS(E$2:E$838,A$2:A$838,"&gt;="&amp;DATE(YEAR(TODAY()),MONTH(TODAY()),1),A$2:A$838,"&lt;"&amp;DATE(YEAR(TODAY()),MONTH(TODAY())+1,1),B$2:B$838,$B$872),"")</f>
        <v/>
      </c>
      <c r="F872" s="11">
        <f>IFERROR(SUMPRODUCT((YEAR(A$2:A$838)=YEAR(TODAY()))*(MONTH(A$2:A$838)=MONTH(TODAY()))*(B$2:B$838=$B$872)*(F$2:F$838),"")</f>
        <v/>
      </c>
    </row>
    <row r="873">
      <c r="B873" s="2" t="inlineStr">
        <is>
          <t>工业级碳酸锂</t>
        </is>
      </c>
      <c r="C873" s="10">
        <f>IFERROR(AVERAGEIFS(C$2:C$838,A$2:A$838,"&gt;="&amp;DATE(YEAR(TODAY()),MONTH(TODAY()),1),A$2:A$838,"&lt;"&amp;DATE(YEAR(TODAY()),MONTH(TODAY())+1,1),B$2:B$838,$B$873),"")</f>
        <v/>
      </c>
      <c r="D873" s="10">
        <f>IFERROR(AVERAGEIFS(D$2:D$838,A$2:A$838,"&gt;="&amp;DATE(YEAR(TODAY()),MONTH(TODAY()),1),A$2:A$838,"&lt;"&amp;DATE(YEAR(TODAY()),MONTH(TODAY())+1,1),B$2:B$838,$B$873),"")</f>
        <v/>
      </c>
      <c r="E873" s="10">
        <f>IFERROR(AVERAGEIFS(E$2:E$838,A$2:A$838,"&gt;="&amp;DATE(YEAR(TODAY()),MONTH(TODAY()),1),A$2:A$838,"&lt;"&amp;DATE(YEAR(TODAY()),MONTH(TODAY())+1,1),B$2:B$838,$B$873),"")</f>
        <v/>
      </c>
      <c r="F873" s="11">
        <f>IFERROR(SUMPRODUCT((YEAR(A$2:A$838)=YEAR(TODAY()))*(MONTH(A$2:A$838)=MONTH(TODAY()))*(B$2:B$838=$B$873)*(F$2:F$838),"")</f>
        <v/>
      </c>
    </row>
    <row r="874">
      <c r="B874" s="2" t="inlineStr">
        <is>
          <t>工业级金属锂</t>
        </is>
      </c>
      <c r="C874" s="10">
        <f>IFERROR(AVERAGEIFS(C$2:C$838,A$2:A$838,"&gt;="&amp;DATE(YEAR(TODAY()),MONTH(TODAY()),1),A$2:A$838,"&lt;"&amp;DATE(YEAR(TODAY()),MONTH(TODAY())+1,1),B$2:B$838,$B$874),"")</f>
        <v/>
      </c>
      <c r="D874" s="10">
        <f>IFERROR(AVERAGEIFS(D$2:D$838,A$2:A$838,"&gt;="&amp;DATE(YEAR(TODAY()),MONTH(TODAY()),1),A$2:A$838,"&lt;"&amp;DATE(YEAR(TODAY()),MONTH(TODAY())+1,1),B$2:B$838,$B$874),"")</f>
        <v/>
      </c>
      <c r="E874" s="10">
        <f>IFERROR(AVERAGEIFS(E$2:E$838,A$2:A$838,"&gt;="&amp;DATE(YEAR(TODAY()),MONTH(TODAY()),1),A$2:A$838,"&lt;"&amp;DATE(YEAR(TODAY()),MONTH(TODAY())+1,1),B$2:B$838,$B$874),"")</f>
        <v/>
      </c>
      <c r="F874" s="11">
        <f>IFERROR(SUMPRODUCT((YEAR(A$2:A$838)=YEAR(TODAY()))*(MONTH(A$2:A$838)=MONTH(TODAY()))*(B$2:B$838=$B$874)*(F$2:F$838),"")</f>
        <v/>
      </c>
    </row>
    <row r="875">
      <c r="B875" s="2" t="inlineStr">
        <is>
          <t>巴西锂辉石精矿（CIF中国）现货</t>
        </is>
      </c>
      <c r="C875" s="10">
        <f>IFERROR(AVERAGEIFS(C$2:C$838,A$2:A$838,"&gt;="&amp;DATE(YEAR(TODAY()),MONTH(TODAY()),1),A$2:A$838,"&lt;"&amp;DATE(YEAR(TODAY()),MONTH(TODAY())+1,1),B$2:B$838,$B$875),"")</f>
        <v/>
      </c>
      <c r="D875" s="10">
        <f>IFERROR(AVERAGEIFS(D$2:D$838,A$2:A$838,"&gt;="&amp;DATE(YEAR(TODAY()),MONTH(TODAY()),1),A$2:A$838,"&lt;"&amp;DATE(YEAR(TODAY()),MONTH(TODAY())+1,1),B$2:B$838,$B$875),"")</f>
        <v/>
      </c>
      <c r="E875" s="10">
        <f>IFERROR(AVERAGEIFS(E$2:E$838,A$2:A$838,"&gt;="&amp;DATE(YEAR(TODAY()),MONTH(TODAY()),1),A$2:A$838,"&lt;"&amp;DATE(YEAR(TODAY()),MONTH(TODAY())+1,1),B$2:B$838,$B$875),"")</f>
        <v/>
      </c>
      <c r="F875" s="11">
        <f>IFERROR(SUMPRODUCT((YEAR(A$2:A$838)=YEAR(TODAY()))*(MONTH(A$2:A$838)=MONTH(TODAY()))*(B$2:B$838=$B$875)*(F$2:F$838),"")</f>
        <v/>
      </c>
    </row>
    <row r="876">
      <c r="B876" s="2" t="inlineStr">
        <is>
          <t>废旧磷酸铁锂储能正极片</t>
        </is>
      </c>
      <c r="C876" s="10">
        <f>IFERROR(AVERAGEIFS(C$2:C$838,A$2:A$838,"&gt;="&amp;DATE(YEAR(TODAY()),MONTH(TODAY()),1),A$2:A$838,"&lt;"&amp;DATE(YEAR(TODAY()),MONTH(TODAY())+1,1),B$2:B$838,$B$876),"")</f>
        <v/>
      </c>
      <c r="D876" s="10">
        <f>IFERROR(AVERAGEIFS(D$2:D$838,A$2:A$838,"&gt;="&amp;DATE(YEAR(TODAY()),MONTH(TODAY()),1),A$2:A$838,"&lt;"&amp;DATE(YEAR(TODAY()),MONTH(TODAY())+1,1),B$2:B$838,$B$876),"")</f>
        <v/>
      </c>
      <c r="E876" s="10">
        <f>IFERROR(AVERAGEIFS(E$2:E$838,A$2:A$838,"&gt;="&amp;DATE(YEAR(TODAY()),MONTH(TODAY()),1),A$2:A$838,"&lt;"&amp;DATE(YEAR(TODAY()),MONTH(TODAY())+1,1),B$2:B$838,$B$876),"")</f>
        <v/>
      </c>
      <c r="F876" s="11">
        <f>IFERROR(SUMPRODUCT((YEAR(A$2:A$838)=YEAR(TODAY()))*(MONTH(A$2:A$838)=MONTH(TODAY()))*(B$2:B$838=$B$876)*(F$2:F$838),"")</f>
        <v/>
      </c>
    </row>
    <row r="877">
      <c r="B877" s="2" t="inlineStr">
        <is>
          <t>废旧磷酸铁锂动力正极片</t>
        </is>
      </c>
      <c r="C877" s="10">
        <f>IFERROR(AVERAGEIFS(C$2:C$838,A$2:A$838,"&gt;="&amp;DATE(YEAR(TODAY()),MONTH(TODAY()),1),A$2:A$838,"&lt;"&amp;DATE(YEAR(TODAY()),MONTH(TODAY())+1,1),B$2:B$838,$B$877),"")</f>
        <v/>
      </c>
      <c r="D877" s="10">
        <f>IFERROR(AVERAGEIFS(D$2:D$838,A$2:A$838,"&gt;="&amp;DATE(YEAR(TODAY()),MONTH(TODAY()),1),A$2:A$838,"&lt;"&amp;DATE(YEAR(TODAY()),MONTH(TODAY())+1,1),B$2:B$838,$B$877),"")</f>
        <v/>
      </c>
      <c r="E877" s="10">
        <f>IFERROR(AVERAGEIFS(E$2:E$838,A$2:A$838,"&gt;="&amp;DATE(YEAR(TODAY()),MONTH(TODAY()),1),A$2:A$838,"&lt;"&amp;DATE(YEAR(TODAY()),MONTH(TODAY())+1,1),B$2:B$838,$B$877),"")</f>
        <v/>
      </c>
      <c r="F877" s="11">
        <f>IFERROR(SUMPRODUCT((YEAR(A$2:A$838)=YEAR(TODAY()))*(MONTH(A$2:A$838)=MONTH(TODAY()))*(B$2:B$838=$B$877)*(F$2:F$838),"")</f>
        <v/>
      </c>
    </row>
    <row r="878">
      <c r="B878" s="2" t="inlineStr">
        <is>
          <t>废旧磷酸铁锂软包电池</t>
        </is>
      </c>
      <c r="C878" s="10">
        <f>IFERROR(AVERAGEIFS(C$2:C$838,A$2:A$838,"&gt;="&amp;DATE(YEAR(TODAY()),MONTH(TODAY()),1),A$2:A$838,"&lt;"&amp;DATE(YEAR(TODAY()),MONTH(TODAY())+1,1),B$2:B$838,$B$878),"")</f>
        <v/>
      </c>
      <c r="D878" s="10">
        <f>IFERROR(AVERAGEIFS(D$2:D$838,A$2:A$838,"&gt;="&amp;DATE(YEAR(TODAY()),MONTH(TODAY()),1),A$2:A$838,"&lt;"&amp;DATE(YEAR(TODAY()),MONTH(TODAY())+1,1),B$2:B$838,$B$878),"")</f>
        <v/>
      </c>
      <c r="E878" s="10">
        <f>IFERROR(AVERAGEIFS(E$2:E$838,A$2:A$838,"&gt;="&amp;DATE(YEAR(TODAY()),MONTH(TODAY()),1),A$2:A$838,"&lt;"&amp;DATE(YEAR(TODAY()),MONTH(TODAY())+1,1),B$2:B$838,$B$878),"")</f>
        <v/>
      </c>
      <c r="F878" s="11">
        <f>IFERROR(SUMPRODUCT((YEAR(A$2:A$838)=YEAR(TODAY()))*(MONTH(A$2:A$838)=MONTH(TODAY()))*(B$2:B$838=$B$878)*(F$2:F$838),"")</f>
        <v/>
      </c>
    </row>
    <row r="879">
      <c r="B879" s="2" t="inlineStr">
        <is>
          <t>废旧磷酸铁锂钢壳电池</t>
        </is>
      </c>
      <c r="C879" s="10">
        <f>IFERROR(AVERAGEIFS(C$2:C$838,A$2:A$838,"&gt;="&amp;DATE(YEAR(TODAY()),MONTH(TODAY()),1),A$2:A$838,"&lt;"&amp;DATE(YEAR(TODAY()),MONTH(TODAY())+1,1),B$2:B$838,$B$879),"")</f>
        <v/>
      </c>
      <c r="D879" s="10">
        <f>IFERROR(AVERAGEIFS(D$2:D$838,A$2:A$838,"&gt;="&amp;DATE(YEAR(TODAY()),MONTH(TODAY()),1),A$2:A$838,"&lt;"&amp;DATE(YEAR(TODAY()),MONTH(TODAY())+1,1),B$2:B$838,$B$879),"")</f>
        <v/>
      </c>
      <c r="E879" s="10">
        <f>IFERROR(AVERAGEIFS(E$2:E$838,A$2:A$838,"&gt;="&amp;DATE(YEAR(TODAY()),MONTH(TODAY()),1),A$2:A$838,"&lt;"&amp;DATE(YEAR(TODAY()),MONTH(TODAY())+1,1),B$2:B$838,$B$879),"")</f>
        <v/>
      </c>
      <c r="F879" s="11">
        <f>IFERROR(SUMPRODUCT((YEAR(A$2:A$838)=YEAR(TODAY()))*(MONTH(A$2:A$838)=MONTH(TODAY()))*(B$2:B$838=$B$879)*(F$2:F$838),"")</f>
        <v/>
      </c>
    </row>
    <row r="880">
      <c r="B880" s="2" t="inlineStr">
        <is>
          <t>废旧磷酸铁锂铝壳电池</t>
        </is>
      </c>
      <c r="C880" s="10">
        <f>IFERROR(AVERAGEIFS(C$2:C$838,A$2:A$838,"&gt;="&amp;DATE(YEAR(TODAY()),MONTH(TODAY()),1),A$2:A$838,"&lt;"&amp;DATE(YEAR(TODAY()),MONTH(TODAY())+1,1),B$2:B$838,$B$880),"")</f>
        <v/>
      </c>
      <c r="D880" s="10">
        <f>IFERROR(AVERAGEIFS(D$2:D$838,A$2:A$838,"&gt;="&amp;DATE(YEAR(TODAY()),MONTH(TODAY()),1),A$2:A$838,"&lt;"&amp;DATE(YEAR(TODAY()),MONTH(TODAY())+1,1),B$2:B$838,$B$880),"")</f>
        <v/>
      </c>
      <c r="E880" s="10">
        <f>IFERROR(AVERAGEIFS(E$2:E$838,A$2:A$838,"&gt;="&amp;DATE(YEAR(TODAY()),MONTH(TODAY()),1),A$2:A$838,"&lt;"&amp;DATE(YEAR(TODAY()),MONTH(TODAY())+1,1),B$2:B$838,$B$880),"")</f>
        <v/>
      </c>
      <c r="F880" s="11">
        <f>IFERROR(SUMPRODUCT((YEAR(A$2:A$838)=YEAR(TODAY()))*(MONTH(A$2:A$838)=MONTH(TODAY()))*(B$2:B$838=$B$880)*(F$2:F$838),"")</f>
        <v/>
      </c>
    </row>
    <row r="881">
      <c r="B881" s="2" t="inlineStr">
        <is>
          <t>方形磷酸铁锂电池B品</t>
        </is>
      </c>
      <c r="C881" s="10">
        <f>IFERROR(AVERAGEIFS(C$2:C$838,A$2:A$838,"&gt;="&amp;DATE(YEAR(TODAY()),MONTH(TODAY()),1),A$2:A$838,"&lt;"&amp;DATE(YEAR(TODAY()),MONTH(TODAY())+1,1),B$2:B$838,$B$881),"")</f>
        <v/>
      </c>
      <c r="D881" s="10">
        <f>IFERROR(AVERAGEIFS(D$2:D$838,A$2:A$838,"&gt;="&amp;DATE(YEAR(TODAY()),MONTH(TODAY()),1),A$2:A$838,"&lt;"&amp;DATE(YEAR(TODAY()),MONTH(TODAY())+1,1),B$2:B$838,$B$881),"")</f>
        <v/>
      </c>
      <c r="E881" s="10">
        <f>IFERROR(AVERAGEIFS(E$2:E$838,A$2:A$838,"&gt;="&amp;DATE(YEAR(TODAY()),MONTH(TODAY()),1),A$2:A$838,"&lt;"&amp;DATE(YEAR(TODAY()),MONTH(TODAY())+1,1),B$2:B$838,$B$881),"")</f>
        <v/>
      </c>
      <c r="F881" s="11">
        <f>IFERROR(SUMPRODUCT((YEAR(A$2:A$838)=YEAR(TODAY()))*(MONTH(A$2:A$838)=MONTH(TODAY()))*(B$2:B$838=$B$881)*(F$2:F$838),"")</f>
        <v/>
      </c>
    </row>
    <row r="882">
      <c r="B882" s="2" t="inlineStr">
        <is>
          <t>氧化亚镍</t>
        </is>
      </c>
      <c r="C882" s="10">
        <f>IFERROR(AVERAGEIFS(C$2:C$838,A$2:A$838,"&gt;="&amp;DATE(YEAR(TODAY()),MONTH(TODAY()),1),A$2:A$838,"&lt;"&amp;DATE(YEAR(TODAY()),MONTH(TODAY())+1,1),B$2:B$838,$B$882),"")</f>
        <v/>
      </c>
      <c r="D882" s="10">
        <f>IFERROR(AVERAGEIFS(D$2:D$838,A$2:A$838,"&gt;="&amp;DATE(YEAR(TODAY()),MONTH(TODAY()),1),A$2:A$838,"&lt;"&amp;DATE(YEAR(TODAY()),MONTH(TODAY())+1,1),B$2:B$838,$B$882),"")</f>
        <v/>
      </c>
      <c r="E882" s="10">
        <f>IFERROR(AVERAGEIFS(E$2:E$838,A$2:A$838,"&gt;="&amp;DATE(YEAR(TODAY()),MONTH(TODAY()),1),A$2:A$838,"&lt;"&amp;DATE(YEAR(TODAY()),MONTH(TODAY())+1,1),B$2:B$838,$B$882),"")</f>
        <v/>
      </c>
      <c r="F882" s="11">
        <f>IFERROR(SUMPRODUCT((YEAR(A$2:A$838)=YEAR(TODAY()))*(MONTH(A$2:A$838)=MONTH(TODAY()))*(B$2:B$838=$B$882)*(F$2:F$838),"")</f>
        <v/>
      </c>
    </row>
    <row r="883">
      <c r="B883" s="2" t="inlineStr">
        <is>
          <t>氧化钴</t>
        </is>
      </c>
      <c r="C883" s="10">
        <f>IFERROR(AVERAGEIFS(C$2:C$838,A$2:A$838,"&gt;="&amp;DATE(YEAR(TODAY()),MONTH(TODAY()),1),A$2:A$838,"&lt;"&amp;DATE(YEAR(TODAY()),MONTH(TODAY())+1,1),B$2:B$838,$B$883),"")</f>
        <v/>
      </c>
      <c r="D883" s="10">
        <f>IFERROR(AVERAGEIFS(D$2:D$838,A$2:A$838,"&gt;="&amp;DATE(YEAR(TODAY()),MONTH(TODAY()),1),A$2:A$838,"&lt;"&amp;DATE(YEAR(TODAY()),MONTH(TODAY())+1,1),B$2:B$838,$B$883),"")</f>
        <v/>
      </c>
      <c r="E883" s="10">
        <f>IFERROR(AVERAGEIFS(E$2:E$838,A$2:A$838,"&gt;="&amp;DATE(YEAR(TODAY()),MONTH(TODAY()),1),A$2:A$838,"&lt;"&amp;DATE(YEAR(TODAY()),MONTH(TODAY())+1,1),B$2:B$838,$B$883),"")</f>
        <v/>
      </c>
      <c r="F883" s="11">
        <f>IFERROR(SUMPRODUCT((YEAR(A$2:A$838)=YEAR(TODAY()))*(MONTH(A$2:A$838)=MONTH(TODAY()))*(B$2:B$838=$B$883)*(F$2:F$838),"")</f>
        <v/>
      </c>
    </row>
    <row r="884">
      <c r="B884" s="2" t="inlineStr">
        <is>
          <t>氯化钴</t>
        </is>
      </c>
      <c r="C884" s="10">
        <f>IFERROR(AVERAGEIFS(C$2:C$838,A$2:A$838,"&gt;="&amp;DATE(YEAR(TODAY()),MONTH(TODAY()),1),A$2:A$838,"&lt;"&amp;DATE(YEAR(TODAY()),MONTH(TODAY())+1,1),B$2:B$838,$B$884),"")</f>
        <v/>
      </c>
      <c r="D884" s="10">
        <f>IFERROR(AVERAGEIFS(D$2:D$838,A$2:A$838,"&gt;="&amp;DATE(YEAR(TODAY()),MONTH(TODAY()),1),A$2:A$838,"&lt;"&amp;DATE(YEAR(TODAY()),MONTH(TODAY())+1,1),B$2:B$838,$B$884),"")</f>
        <v/>
      </c>
      <c r="E884" s="10">
        <f>IFERROR(AVERAGEIFS(E$2:E$838,A$2:A$838,"&gt;="&amp;DATE(YEAR(TODAY()),MONTH(TODAY()),1),A$2:A$838,"&lt;"&amp;DATE(YEAR(TODAY()),MONTH(TODAY())+1,1),B$2:B$838,$B$884),"")</f>
        <v/>
      </c>
      <c r="F884" s="11">
        <f>IFERROR(SUMPRODUCT((YEAR(A$2:A$838)=YEAR(TODAY()))*(MONTH(A$2:A$838)=MONTH(TODAY()))*(B$2:B$838=$B$884)*(F$2:F$838),"")</f>
        <v/>
      </c>
    </row>
    <row r="885">
      <c r="B885" s="2" t="inlineStr">
        <is>
          <t>氯化镍NiCl₂·6H₂O</t>
        </is>
      </c>
      <c r="C885" s="10">
        <f>IFERROR(AVERAGEIFS(C$2:C$838,A$2:A$838,"&gt;="&amp;DATE(YEAR(TODAY()),MONTH(TODAY()),1),A$2:A$838,"&lt;"&amp;DATE(YEAR(TODAY()),MONTH(TODAY())+1,1),B$2:B$838,$B$885),"")</f>
        <v/>
      </c>
      <c r="D885" s="10">
        <f>IFERROR(AVERAGEIFS(D$2:D$838,A$2:A$838,"&gt;="&amp;DATE(YEAR(TODAY()),MONTH(TODAY()),1),A$2:A$838,"&lt;"&amp;DATE(YEAR(TODAY()),MONTH(TODAY())+1,1),B$2:B$838,$B$885),"")</f>
        <v/>
      </c>
      <c r="E885" s="10">
        <f>IFERROR(AVERAGEIFS(E$2:E$838,A$2:A$838,"&gt;="&amp;DATE(YEAR(TODAY()),MONTH(TODAY()),1),A$2:A$838,"&lt;"&amp;DATE(YEAR(TODAY()),MONTH(TODAY())+1,1),B$2:B$838,$B$885),"")</f>
        <v/>
      </c>
      <c r="F885" s="11">
        <f>IFERROR(SUMPRODUCT((YEAR(A$2:A$838)=YEAR(TODAY()))*(MONTH(A$2:A$838)=MONTH(TODAY()))*(B$2:B$838=$B$885)*(F$2:F$838),"")</f>
        <v/>
      </c>
    </row>
    <row r="886">
      <c r="B886" s="2" t="inlineStr">
        <is>
          <t>津巴布韦锂辉石精矿（CIF中国）现货</t>
        </is>
      </c>
      <c r="C886" s="10">
        <f>IFERROR(AVERAGEIFS(C$2:C$838,A$2:A$838,"&gt;="&amp;DATE(YEAR(TODAY()),MONTH(TODAY()),1),A$2:A$838,"&lt;"&amp;DATE(YEAR(TODAY()),MONTH(TODAY())+1,1),B$2:B$838,$B$886),"")</f>
        <v/>
      </c>
      <c r="D886" s="10">
        <f>IFERROR(AVERAGEIFS(D$2:D$838,A$2:A$838,"&gt;="&amp;DATE(YEAR(TODAY()),MONTH(TODAY()),1),A$2:A$838,"&lt;"&amp;DATE(YEAR(TODAY()),MONTH(TODAY())+1,1),B$2:B$838,$B$886),"")</f>
        <v/>
      </c>
      <c r="E886" s="10">
        <f>IFERROR(AVERAGEIFS(E$2:E$838,A$2:A$838,"&gt;="&amp;DATE(YEAR(TODAY()),MONTH(TODAY()),1),A$2:A$838,"&lt;"&amp;DATE(YEAR(TODAY()),MONTH(TODAY())+1,1),B$2:B$838,$B$886),"")</f>
        <v/>
      </c>
      <c r="F886" s="11">
        <f>IFERROR(SUMPRODUCT((YEAR(A$2:A$838)=YEAR(TODAY()))*(MONTH(A$2:A$838)=MONTH(TODAY()))*(B$2:B$838=$B$886)*(F$2:F$838),"")</f>
        <v/>
      </c>
    </row>
    <row r="887">
      <c r="B887" s="2" t="inlineStr">
        <is>
          <t>澳大利亚锂辉石精矿（CIF中国）现货</t>
        </is>
      </c>
      <c r="C887" s="10">
        <f>IFERROR(AVERAGEIFS(C$2:C$838,A$2:A$838,"&gt;="&amp;DATE(YEAR(TODAY()),MONTH(TODAY()),1),A$2:A$838,"&lt;"&amp;DATE(YEAR(TODAY()),MONTH(TODAY())+1,1),B$2:B$838,$B$887),"")</f>
        <v/>
      </c>
      <c r="D887" s="10">
        <f>IFERROR(AVERAGEIFS(D$2:D$838,A$2:A$838,"&gt;="&amp;DATE(YEAR(TODAY()),MONTH(TODAY()),1),A$2:A$838,"&lt;"&amp;DATE(YEAR(TODAY()),MONTH(TODAY())+1,1),B$2:B$838,$B$887),"")</f>
        <v/>
      </c>
      <c r="E887" s="10">
        <f>IFERROR(AVERAGEIFS(E$2:E$838,A$2:A$838,"&gt;="&amp;DATE(YEAR(TODAY()),MONTH(TODAY()),1),A$2:A$838,"&lt;"&amp;DATE(YEAR(TODAY()),MONTH(TODAY())+1,1),B$2:B$838,$B$887),"")</f>
        <v/>
      </c>
      <c r="F887" s="11">
        <f>IFERROR(SUMPRODUCT((YEAR(A$2:A$838)=YEAR(TODAY()))*(MONTH(A$2:A$838)=MONTH(TODAY()))*(B$2:B$838=$B$887)*(F$2:F$838),"")</f>
        <v/>
      </c>
    </row>
    <row r="888">
      <c r="B888" s="2" t="inlineStr">
        <is>
          <t>电池级无水氯化锂</t>
        </is>
      </c>
      <c r="C888" s="10">
        <f>IFERROR(AVERAGEIFS(C$2:C$838,A$2:A$838,"&gt;="&amp;DATE(YEAR(TODAY()),MONTH(TODAY()),1),A$2:A$838,"&lt;"&amp;DATE(YEAR(TODAY()),MONTH(TODAY())+1,1),B$2:B$838,$B$888),"")</f>
        <v/>
      </c>
      <c r="D888" s="10">
        <f>IFERROR(AVERAGEIFS(D$2:D$838,A$2:A$838,"&gt;="&amp;DATE(YEAR(TODAY()),MONTH(TODAY()),1),A$2:A$838,"&lt;"&amp;DATE(YEAR(TODAY()),MONTH(TODAY())+1,1),B$2:B$838,$B$888),"")</f>
        <v/>
      </c>
      <c r="E888" s="10">
        <f>IFERROR(AVERAGEIFS(E$2:E$838,A$2:A$838,"&gt;="&amp;DATE(YEAR(TODAY()),MONTH(TODAY()),1),A$2:A$838,"&lt;"&amp;DATE(YEAR(TODAY()),MONTH(TODAY())+1,1),B$2:B$838,$B$888),"")</f>
        <v/>
      </c>
      <c r="F888" s="11">
        <f>IFERROR(SUMPRODUCT((YEAR(A$2:A$838)=YEAR(TODAY()))*(MONTH(A$2:A$838)=MONTH(TODAY()))*(B$2:B$838=$B$888)*(F$2:F$838),"")</f>
        <v/>
      </c>
    </row>
    <row r="889">
      <c r="B889" s="2" t="inlineStr">
        <is>
          <t>电池级氟化锂</t>
        </is>
      </c>
      <c r="C889" s="10">
        <f>IFERROR(AVERAGEIFS(C$2:C$838,A$2:A$838,"&gt;="&amp;DATE(YEAR(TODAY()),MONTH(TODAY()),1),A$2:A$838,"&lt;"&amp;DATE(YEAR(TODAY()),MONTH(TODAY())+1,1),B$2:B$838,$B$889),"")</f>
        <v/>
      </c>
      <c r="D889" s="10">
        <f>IFERROR(AVERAGEIFS(D$2:D$838,A$2:A$838,"&gt;="&amp;DATE(YEAR(TODAY()),MONTH(TODAY()),1),A$2:A$838,"&lt;"&amp;DATE(YEAR(TODAY()),MONTH(TODAY())+1,1),B$2:B$838,$B$889),"")</f>
        <v/>
      </c>
      <c r="E889" s="10">
        <f>IFERROR(AVERAGEIFS(E$2:E$838,A$2:A$838,"&gt;="&amp;DATE(YEAR(TODAY()),MONTH(TODAY()),1),A$2:A$838,"&lt;"&amp;DATE(YEAR(TODAY()),MONTH(TODAY())+1,1),B$2:B$838,$B$889),"")</f>
        <v/>
      </c>
      <c r="F889" s="11">
        <f>IFERROR(SUMPRODUCT((YEAR(A$2:A$838)=YEAR(TODAY()))*(MONTH(A$2:A$838)=MONTH(TODAY()))*(B$2:B$838=$B$889)*(F$2:F$838),"")</f>
        <v/>
      </c>
    </row>
    <row r="890">
      <c r="B890" s="2" t="inlineStr">
        <is>
          <t>电池级氢氧化锂(CIF中日韩)</t>
        </is>
      </c>
      <c r="C890" s="10">
        <f>IFERROR(AVERAGEIFS(C$2:C$838,A$2:A$838,"&gt;="&amp;DATE(YEAR(TODAY()),MONTH(TODAY()),1),A$2:A$838,"&lt;"&amp;DATE(YEAR(TODAY()),MONTH(TODAY())+1,1),B$2:B$838,$B$890),"")</f>
        <v/>
      </c>
      <c r="D890" s="10">
        <f>IFERROR(AVERAGEIFS(D$2:D$838,A$2:A$838,"&gt;="&amp;DATE(YEAR(TODAY()),MONTH(TODAY()),1),A$2:A$838,"&lt;"&amp;DATE(YEAR(TODAY()),MONTH(TODAY())+1,1),B$2:B$838,$B$890),"")</f>
        <v/>
      </c>
      <c r="E890" s="10">
        <f>IFERROR(AVERAGEIFS(E$2:E$838,A$2:A$838,"&gt;="&amp;DATE(YEAR(TODAY()),MONTH(TODAY()),1),A$2:A$838,"&lt;"&amp;DATE(YEAR(TODAY()),MONTH(TODAY())+1,1),B$2:B$838,$B$890),"")</f>
        <v/>
      </c>
      <c r="F890" s="11">
        <f>IFERROR(SUMPRODUCT((YEAR(A$2:A$838)=YEAR(TODAY()))*(MONTH(A$2:A$838)=MONTH(TODAY()))*(B$2:B$838=$B$890)*(F$2:F$838),"")</f>
        <v/>
      </c>
    </row>
    <row r="891">
      <c r="B891" s="2" t="inlineStr">
        <is>
          <t>电池级氢氧化锂(CIF韩国)</t>
        </is>
      </c>
      <c r="C891" s="10">
        <f>IFERROR(AVERAGEIFS(C$2:C$838,A$2:A$838,"&gt;="&amp;DATE(YEAR(TODAY()),MONTH(TODAY()),1),A$2:A$838,"&lt;"&amp;DATE(YEAR(TODAY()),MONTH(TODAY())+1,1),B$2:B$838,$B$891),"")</f>
        <v/>
      </c>
      <c r="D891" s="10">
        <f>IFERROR(AVERAGEIFS(D$2:D$838,A$2:A$838,"&gt;="&amp;DATE(YEAR(TODAY()),MONTH(TODAY()),1),A$2:A$838,"&lt;"&amp;DATE(YEAR(TODAY()),MONTH(TODAY())+1,1),B$2:B$838,$B$891),"")</f>
        <v/>
      </c>
      <c r="E891" s="10">
        <f>IFERROR(AVERAGEIFS(E$2:E$838,A$2:A$838,"&gt;="&amp;DATE(YEAR(TODAY()),MONTH(TODAY()),1),A$2:A$838,"&lt;"&amp;DATE(YEAR(TODAY()),MONTH(TODAY())+1,1),B$2:B$838,$B$891),"")</f>
        <v/>
      </c>
      <c r="F891" s="11">
        <f>IFERROR(SUMPRODUCT((YEAR(A$2:A$838)=YEAR(TODAY()))*(MONTH(A$2:A$838)=MONTH(TODAY()))*(B$2:B$838=$B$891)*(F$2:F$838),"")</f>
        <v/>
      </c>
    </row>
    <row r="892">
      <c r="B892" s="2" t="inlineStr">
        <is>
          <t>电池级氢氧化锂(微粉）</t>
        </is>
      </c>
      <c r="C892" s="10">
        <f>IFERROR(AVERAGEIFS(C$2:C$838,A$2:A$838,"&gt;="&amp;DATE(YEAR(TODAY()),MONTH(TODAY()),1),A$2:A$838,"&lt;"&amp;DATE(YEAR(TODAY()),MONTH(TODAY())+1,1),B$2:B$838,$B$892),"")</f>
        <v/>
      </c>
      <c r="D892" s="10">
        <f>IFERROR(AVERAGEIFS(D$2:D$838,A$2:A$838,"&gt;="&amp;DATE(YEAR(TODAY()),MONTH(TODAY()),1),A$2:A$838,"&lt;"&amp;DATE(YEAR(TODAY()),MONTH(TODAY())+1,1),B$2:B$838,$B$892),"")</f>
        <v/>
      </c>
      <c r="E892" s="10">
        <f>IFERROR(AVERAGEIFS(E$2:E$838,A$2:A$838,"&gt;="&amp;DATE(YEAR(TODAY()),MONTH(TODAY()),1),A$2:A$838,"&lt;"&amp;DATE(YEAR(TODAY()),MONTH(TODAY())+1,1),B$2:B$838,$B$892),"")</f>
        <v/>
      </c>
      <c r="F892" s="11">
        <f>IFERROR(SUMPRODUCT((YEAR(A$2:A$838)=YEAR(TODAY()))*(MONTH(A$2:A$838)=MONTH(TODAY()))*(B$2:B$838=$B$892)*(F$2:F$838),"")</f>
        <v/>
      </c>
    </row>
    <row r="893">
      <c r="B893" s="2" t="inlineStr">
        <is>
          <t>电池级氢氧化锂（粗颗粒）</t>
        </is>
      </c>
      <c r="C893" s="10">
        <f>IFERROR(AVERAGEIFS(C$2:C$838,A$2:A$838,"&gt;="&amp;DATE(YEAR(TODAY()),MONTH(TODAY()),1),A$2:A$838,"&lt;"&amp;DATE(YEAR(TODAY()),MONTH(TODAY())+1,1),B$2:B$838,$B$893),"")</f>
        <v/>
      </c>
      <c r="D893" s="10">
        <f>IFERROR(AVERAGEIFS(D$2:D$838,A$2:A$838,"&gt;="&amp;DATE(YEAR(TODAY()),MONTH(TODAY()),1),A$2:A$838,"&lt;"&amp;DATE(YEAR(TODAY()),MONTH(TODAY())+1,1),B$2:B$838,$B$893),"")</f>
        <v/>
      </c>
      <c r="E893" s="10">
        <f>IFERROR(AVERAGEIFS(E$2:E$838,A$2:A$838,"&gt;="&amp;DATE(YEAR(TODAY()),MONTH(TODAY()),1),A$2:A$838,"&lt;"&amp;DATE(YEAR(TODAY()),MONTH(TODAY())+1,1),B$2:B$838,$B$893),"")</f>
        <v/>
      </c>
      <c r="F893" s="11">
        <f>IFERROR(SUMPRODUCT((YEAR(A$2:A$838)=YEAR(TODAY()))*(MONTH(A$2:A$838)=MONTH(TODAY()))*(B$2:B$838=$B$893)*(F$2:F$838),"")</f>
        <v/>
      </c>
    </row>
    <row r="894">
      <c r="B894" s="2" t="inlineStr">
        <is>
          <t>电池级硫酸锰（出厂价）</t>
        </is>
      </c>
      <c r="C894" s="10">
        <f>IFERROR(AVERAGEIFS(C$2:C$838,A$2:A$838,"&gt;="&amp;DATE(YEAR(TODAY()),MONTH(TODAY()),1),A$2:A$838,"&lt;"&amp;DATE(YEAR(TODAY()),MONTH(TODAY())+1,1),B$2:B$838,$B$894),"")</f>
        <v/>
      </c>
      <c r="D894" s="10">
        <f>IFERROR(AVERAGEIFS(D$2:D$838,A$2:A$838,"&gt;="&amp;DATE(YEAR(TODAY()),MONTH(TODAY()),1),A$2:A$838,"&lt;"&amp;DATE(YEAR(TODAY()),MONTH(TODAY())+1,1),B$2:B$838,$B$894),"")</f>
        <v/>
      </c>
      <c r="E894" s="10">
        <f>IFERROR(AVERAGEIFS(E$2:E$838,A$2:A$838,"&gt;="&amp;DATE(YEAR(TODAY()),MONTH(TODAY()),1),A$2:A$838,"&lt;"&amp;DATE(YEAR(TODAY()),MONTH(TODAY())+1,1),B$2:B$838,$B$894),"")</f>
        <v/>
      </c>
      <c r="F894" s="11">
        <f>IFERROR(SUMPRODUCT((YEAR(A$2:A$838)=YEAR(TODAY()))*(MONTH(A$2:A$838)=MONTH(TODAY()))*(B$2:B$838=$B$894)*(F$2:F$838),"")</f>
        <v/>
      </c>
    </row>
    <row r="895">
      <c r="B895" s="2" t="inlineStr">
        <is>
          <t>电池级硫酸镍</t>
        </is>
      </c>
      <c r="C895" s="10">
        <f>IFERROR(AVERAGEIFS(C$2:C$838,A$2:A$838,"&gt;="&amp;DATE(YEAR(TODAY()),MONTH(TODAY()),1),A$2:A$838,"&lt;"&amp;DATE(YEAR(TODAY()),MONTH(TODAY())+1,1),B$2:B$838,$B$895),"")</f>
        <v/>
      </c>
      <c r="D895" s="10">
        <f>IFERROR(AVERAGEIFS(D$2:D$838,A$2:A$838,"&gt;="&amp;DATE(YEAR(TODAY()),MONTH(TODAY()),1),A$2:A$838,"&lt;"&amp;DATE(YEAR(TODAY()),MONTH(TODAY())+1,1),B$2:B$838,$B$895),"")</f>
        <v/>
      </c>
      <c r="E895" s="10">
        <f>IFERROR(AVERAGEIFS(E$2:E$838,A$2:A$838,"&gt;="&amp;DATE(YEAR(TODAY()),MONTH(TODAY()),1),A$2:A$838,"&lt;"&amp;DATE(YEAR(TODAY()),MONTH(TODAY())+1,1),B$2:B$838,$B$895),"")</f>
        <v/>
      </c>
      <c r="F895" s="11">
        <f>IFERROR(SUMPRODUCT((YEAR(A$2:A$838)=YEAR(TODAY()))*(MONTH(A$2:A$838)=MONTH(TODAY()))*(B$2:B$838=$B$895)*(F$2:F$838),"")</f>
        <v/>
      </c>
    </row>
    <row r="896">
      <c r="B896" s="2" t="inlineStr">
        <is>
          <t>电池级碳酸锂</t>
        </is>
      </c>
      <c r="C896" s="10">
        <f>IFERROR(AVERAGEIFS(C$2:C$838,A$2:A$838,"&gt;="&amp;DATE(YEAR(TODAY()),MONTH(TODAY()),1),A$2:A$838,"&lt;"&amp;DATE(YEAR(TODAY()),MONTH(TODAY())+1,1),B$2:B$838,$B$896),"")</f>
        <v/>
      </c>
      <c r="D896" s="10">
        <f>IFERROR(AVERAGEIFS(D$2:D$838,A$2:A$838,"&gt;="&amp;DATE(YEAR(TODAY()),MONTH(TODAY()),1),A$2:A$838,"&lt;"&amp;DATE(YEAR(TODAY()),MONTH(TODAY())+1,1),B$2:B$838,$B$896),"")</f>
        <v/>
      </c>
      <c r="E896" s="10">
        <f>IFERROR(AVERAGEIFS(E$2:E$838,A$2:A$838,"&gt;="&amp;DATE(YEAR(TODAY()),MONTH(TODAY()),1),A$2:A$838,"&lt;"&amp;DATE(YEAR(TODAY()),MONTH(TODAY())+1,1),B$2:B$838,$B$896),"")</f>
        <v/>
      </c>
      <c r="F896" s="11">
        <f>IFERROR(SUMPRODUCT((YEAR(A$2:A$838)=YEAR(TODAY()))*(MONTH(A$2:A$838)=MONTH(TODAY()))*(B$2:B$838=$B$896)*(F$2:F$838),"")</f>
        <v/>
      </c>
    </row>
    <row r="897">
      <c r="B897" s="2" t="inlineStr">
        <is>
          <t>电池级碳酸锂(CIF韩国)</t>
        </is>
      </c>
      <c r="C897" s="10">
        <f>IFERROR(AVERAGEIFS(C$2:C$838,A$2:A$838,"&gt;="&amp;DATE(YEAR(TODAY()),MONTH(TODAY()),1),A$2:A$838,"&lt;"&amp;DATE(YEAR(TODAY()),MONTH(TODAY())+1,1),B$2:B$838,$B$897),"")</f>
        <v/>
      </c>
      <c r="D897" s="10">
        <f>IFERROR(AVERAGEIFS(D$2:D$838,A$2:A$838,"&gt;="&amp;DATE(YEAR(TODAY()),MONTH(TODAY()),1),A$2:A$838,"&lt;"&amp;DATE(YEAR(TODAY()),MONTH(TODAY())+1,1),B$2:B$838,$B$897),"")</f>
        <v/>
      </c>
      <c r="E897" s="10">
        <f>IFERROR(AVERAGEIFS(E$2:E$838,A$2:A$838,"&gt;="&amp;DATE(YEAR(TODAY()),MONTH(TODAY()),1),A$2:A$838,"&lt;"&amp;DATE(YEAR(TODAY()),MONTH(TODAY())+1,1),B$2:B$838,$B$897),"")</f>
        <v/>
      </c>
      <c r="F897" s="11">
        <f>IFERROR(SUMPRODUCT((YEAR(A$2:A$838)=YEAR(TODAY()))*(MONTH(A$2:A$838)=MONTH(TODAY()))*(B$2:B$838=$B$897)*(F$2:F$838),"")</f>
        <v/>
      </c>
    </row>
    <row r="898">
      <c r="B898" s="2" t="inlineStr">
        <is>
          <t>电池级碳酸锂（CIF中日韩）</t>
        </is>
      </c>
      <c r="C898" s="10">
        <f>IFERROR(AVERAGEIFS(C$2:C$838,A$2:A$838,"&gt;="&amp;DATE(YEAR(TODAY()),MONTH(TODAY()),1),A$2:A$838,"&lt;"&amp;DATE(YEAR(TODAY()),MONTH(TODAY())+1,1),B$2:B$838,$B$898),"")</f>
        <v/>
      </c>
      <c r="D898" s="10">
        <f>IFERROR(AVERAGEIFS(D$2:D$838,A$2:A$838,"&gt;="&amp;DATE(YEAR(TODAY()),MONTH(TODAY()),1),A$2:A$838,"&lt;"&amp;DATE(YEAR(TODAY()),MONTH(TODAY())+1,1),B$2:B$838,$B$898),"")</f>
        <v/>
      </c>
      <c r="E898" s="10">
        <f>IFERROR(AVERAGEIFS(E$2:E$838,A$2:A$838,"&gt;="&amp;DATE(YEAR(TODAY()),MONTH(TODAY()),1),A$2:A$838,"&lt;"&amp;DATE(YEAR(TODAY()),MONTH(TODAY())+1,1),B$2:B$838,$B$898),"")</f>
        <v/>
      </c>
      <c r="F898" s="11">
        <f>IFERROR(SUMPRODUCT((YEAR(A$2:A$838)=YEAR(TODAY()))*(MONTH(A$2:A$838)=MONTH(TODAY()))*(B$2:B$838=$B$898)*(F$2:F$838),"")</f>
        <v/>
      </c>
    </row>
    <row r="899">
      <c r="B899" s="2" t="inlineStr">
        <is>
          <t>电池级金属锂</t>
        </is>
      </c>
      <c r="C899" s="10">
        <f>IFERROR(AVERAGEIFS(C$2:C$838,A$2:A$838,"&gt;="&amp;DATE(YEAR(TODAY()),MONTH(TODAY()),1),A$2:A$838,"&lt;"&amp;DATE(YEAR(TODAY()),MONTH(TODAY())+1,1),B$2:B$838,$B$899),"")</f>
        <v/>
      </c>
      <c r="D899" s="10">
        <f>IFERROR(AVERAGEIFS(D$2:D$838,A$2:A$838,"&gt;="&amp;DATE(YEAR(TODAY()),MONTH(TODAY()),1),A$2:A$838,"&lt;"&amp;DATE(YEAR(TODAY()),MONTH(TODAY())+1,1),B$2:B$838,$B$899),"")</f>
        <v/>
      </c>
      <c r="E899" s="10">
        <f>IFERROR(AVERAGEIFS(E$2:E$838,A$2:A$838,"&gt;="&amp;DATE(YEAR(TODAY()),MONTH(TODAY()),1),A$2:A$838,"&lt;"&amp;DATE(YEAR(TODAY()),MONTH(TODAY())+1,1),B$2:B$838,$B$899),"")</f>
        <v/>
      </c>
      <c r="F899" s="11">
        <f>IFERROR(SUMPRODUCT((YEAR(A$2:A$838)=YEAR(TODAY()))*(MONTH(A$2:A$838)=MONTH(TODAY()))*(B$2:B$838=$B$899)*(F$2:F$838),"")</f>
        <v/>
      </c>
    </row>
    <row r="900">
      <c r="B900" s="2" t="inlineStr">
        <is>
          <t>电解钴</t>
        </is>
      </c>
      <c r="C900" s="10">
        <f>IFERROR(AVERAGEIFS(C$2:C$838,A$2:A$838,"&gt;="&amp;DATE(YEAR(TODAY()),MONTH(TODAY()),1),A$2:A$838,"&lt;"&amp;DATE(YEAR(TODAY()),MONTH(TODAY())+1,1),B$2:B$838,$B$900),"")</f>
        <v/>
      </c>
      <c r="D900" s="10">
        <f>IFERROR(AVERAGEIFS(D$2:D$838,A$2:A$838,"&gt;="&amp;DATE(YEAR(TODAY()),MONTH(TODAY()),1),A$2:A$838,"&lt;"&amp;DATE(YEAR(TODAY()),MONTH(TODAY())+1,1),B$2:B$838,$B$900),"")</f>
        <v/>
      </c>
      <c r="E900" s="10">
        <f>IFERROR(AVERAGEIFS(E$2:E$838,A$2:A$838,"&gt;="&amp;DATE(YEAR(TODAY()),MONTH(TODAY()),1),A$2:A$838,"&lt;"&amp;DATE(YEAR(TODAY()),MONTH(TODAY())+1,1),B$2:B$838,$B$900),"")</f>
        <v/>
      </c>
      <c r="F900" s="11">
        <f>IFERROR(SUMPRODUCT((YEAR(A$2:A$838)=YEAR(TODAY()))*(MONTH(A$2:A$838)=MONTH(TODAY()))*(B$2:B$838=$B$900)*(F$2:F$838),"")</f>
        <v/>
      </c>
    </row>
    <row r="901">
      <c r="B901" s="2" t="inlineStr">
        <is>
          <t>电解钴（鹿特丹仓库）</t>
        </is>
      </c>
      <c r="C901" s="10">
        <f>IFERROR(AVERAGEIFS(C$2:C$838,A$2:A$838,"&gt;="&amp;DATE(YEAR(TODAY()),MONTH(TODAY()),1),A$2:A$838,"&lt;"&amp;DATE(YEAR(TODAY()),MONTH(TODAY())+1,1),B$2:B$838,$B$901),"")</f>
        <v/>
      </c>
      <c r="D901" s="10">
        <f>IFERROR(AVERAGEIFS(D$2:D$838,A$2:A$838,"&gt;="&amp;DATE(YEAR(TODAY()),MONTH(TODAY()),1),A$2:A$838,"&lt;"&amp;DATE(YEAR(TODAY()),MONTH(TODAY())+1,1),B$2:B$838,$B$901),"")</f>
        <v/>
      </c>
      <c r="E901" s="10">
        <f>IFERROR(AVERAGEIFS(E$2:E$838,A$2:A$838,"&gt;="&amp;DATE(YEAR(TODAY()),MONTH(TODAY()),1),A$2:A$838,"&lt;"&amp;DATE(YEAR(TODAY()),MONTH(TODAY())+1,1),B$2:B$838,$B$901),"")</f>
        <v/>
      </c>
      <c r="F901" s="11">
        <f>IFERROR(SUMPRODUCT((YEAR(A$2:A$838)=YEAR(TODAY()))*(MONTH(A$2:A$838)=MONTH(TODAY()))*(B$2:B$838=$B$901)*(F$2:F$838),"")</f>
        <v/>
      </c>
    </row>
    <row r="902">
      <c r="B902" s="2" t="inlineStr">
        <is>
          <t>电镀级硫酸镍</t>
        </is>
      </c>
      <c r="C902" s="10">
        <f>IFERROR(AVERAGEIFS(C$2:C$838,A$2:A$838,"&gt;="&amp;DATE(YEAR(TODAY()),MONTH(TODAY()),1),A$2:A$838,"&lt;"&amp;DATE(YEAR(TODAY()),MONTH(TODAY())+1,1),B$2:B$838,$B$902),"")</f>
        <v/>
      </c>
      <c r="D902" s="10">
        <f>IFERROR(AVERAGEIFS(D$2:D$838,A$2:A$838,"&gt;="&amp;DATE(YEAR(TODAY()),MONTH(TODAY()),1),A$2:A$838,"&lt;"&amp;DATE(YEAR(TODAY()),MONTH(TODAY())+1,1),B$2:B$838,$B$902),"")</f>
        <v/>
      </c>
      <c r="E902" s="10">
        <f>IFERROR(AVERAGEIFS(E$2:E$838,A$2:A$838,"&gt;="&amp;DATE(YEAR(TODAY()),MONTH(TODAY()),1),A$2:A$838,"&lt;"&amp;DATE(YEAR(TODAY()),MONTH(TODAY())+1,1),B$2:B$838,$B$902),"")</f>
        <v/>
      </c>
      <c r="F902" s="11">
        <f>IFERROR(SUMPRODUCT((YEAR(A$2:A$838)=YEAR(TODAY()))*(MONTH(A$2:A$838)=MONTH(TODAY()))*(B$2:B$838=$B$902)*(F$2:F$838),"")</f>
        <v/>
      </c>
    </row>
    <row r="903">
      <c r="B903" s="2" t="inlineStr">
        <is>
          <t>硫酸钴</t>
        </is>
      </c>
      <c r="C903" s="10">
        <f>IFERROR(AVERAGEIFS(C$2:C$838,A$2:A$838,"&gt;="&amp;DATE(YEAR(TODAY()),MONTH(TODAY()),1),A$2:A$838,"&lt;"&amp;DATE(YEAR(TODAY()),MONTH(TODAY())+1,1),B$2:B$838,$B$903),"")</f>
        <v/>
      </c>
      <c r="D903" s="10">
        <f>IFERROR(AVERAGEIFS(D$2:D$838,A$2:A$838,"&gt;="&amp;DATE(YEAR(TODAY()),MONTH(TODAY()),1),A$2:A$838,"&lt;"&amp;DATE(YEAR(TODAY()),MONTH(TODAY())+1,1),B$2:B$838,$B$903),"")</f>
        <v/>
      </c>
      <c r="E903" s="10">
        <f>IFERROR(AVERAGEIFS(E$2:E$838,A$2:A$838,"&gt;="&amp;DATE(YEAR(TODAY()),MONTH(TODAY()),1),A$2:A$838,"&lt;"&amp;DATE(YEAR(TODAY()),MONTH(TODAY())+1,1),B$2:B$838,$B$903),"")</f>
        <v/>
      </c>
      <c r="F903" s="11">
        <f>IFERROR(SUMPRODUCT((YEAR(A$2:A$838)=YEAR(TODAY()))*(MONTH(A$2:A$838)=MONTH(TODAY()))*(B$2:B$838=$B$903)*(F$2:F$838),"")</f>
        <v/>
      </c>
    </row>
    <row r="904">
      <c r="B904" s="2" t="inlineStr">
        <is>
          <t>碳酸钴</t>
        </is>
      </c>
      <c r="C904" s="10">
        <f>IFERROR(AVERAGEIFS(C$2:C$838,A$2:A$838,"&gt;="&amp;DATE(YEAR(TODAY()),MONTH(TODAY()),1),A$2:A$838,"&lt;"&amp;DATE(YEAR(TODAY()),MONTH(TODAY())+1,1),B$2:B$838,$B$904),"")</f>
        <v/>
      </c>
      <c r="D904" s="10">
        <f>IFERROR(AVERAGEIFS(D$2:D$838,A$2:A$838,"&gt;="&amp;DATE(YEAR(TODAY()),MONTH(TODAY()),1),A$2:A$838,"&lt;"&amp;DATE(YEAR(TODAY()),MONTH(TODAY())+1,1),B$2:B$838,$B$904),"")</f>
        <v/>
      </c>
      <c r="E904" s="10">
        <f>IFERROR(AVERAGEIFS(E$2:E$838,A$2:A$838,"&gt;="&amp;DATE(YEAR(TODAY()),MONTH(TODAY()),1),A$2:A$838,"&lt;"&amp;DATE(YEAR(TODAY()),MONTH(TODAY())+1,1),B$2:B$838,$B$904),"")</f>
        <v/>
      </c>
      <c r="F904" s="11">
        <f>IFERROR(SUMPRODUCT((YEAR(A$2:A$838)=YEAR(TODAY()))*(MONTH(A$2:A$838)=MONTH(TODAY()))*(B$2:B$838=$B$904)*(F$2:F$838),"")</f>
        <v/>
      </c>
    </row>
    <row r="905">
      <c r="B905" s="2" t="inlineStr">
        <is>
          <t>磷酸铁锂</t>
        </is>
      </c>
      <c r="C905" s="10">
        <f>IFERROR(AVERAGEIFS(C$2:C$838,A$2:A$838,"&gt;="&amp;DATE(YEAR(TODAY()),MONTH(TODAY()),1),A$2:A$838,"&lt;"&amp;DATE(YEAR(TODAY()),MONTH(TODAY())+1,1),B$2:B$838,$B$905),"")</f>
        <v/>
      </c>
      <c r="D905" s="10">
        <f>IFERROR(AVERAGEIFS(D$2:D$838,A$2:A$838,"&gt;="&amp;DATE(YEAR(TODAY()),MONTH(TODAY()),1),A$2:A$838,"&lt;"&amp;DATE(YEAR(TODAY()),MONTH(TODAY())+1,1),B$2:B$838,$B$905),"")</f>
        <v/>
      </c>
      <c r="E905" s="10">
        <f>IFERROR(AVERAGEIFS(E$2:E$838,A$2:A$838,"&gt;="&amp;DATE(YEAR(TODAY()),MONTH(TODAY()),1),A$2:A$838,"&lt;"&amp;DATE(YEAR(TODAY()),MONTH(TODAY())+1,1),B$2:B$838,$B$905),"")</f>
        <v/>
      </c>
      <c r="F905" s="11">
        <f>IFERROR(SUMPRODUCT((YEAR(A$2:A$838)=YEAR(TODAY()))*(MONTH(A$2:A$838)=MONTH(TODAY()))*(B$2:B$838=$B$905)*(F$2:F$838),"")</f>
        <v/>
      </c>
    </row>
    <row r="906">
      <c r="B906" s="2" t="inlineStr">
        <is>
          <t>磷酸锰铁锂</t>
        </is>
      </c>
      <c r="C906" s="10">
        <f>IFERROR(AVERAGEIFS(C$2:C$838,A$2:A$838,"&gt;="&amp;DATE(YEAR(TODAY()),MONTH(TODAY()),1),A$2:A$838,"&lt;"&amp;DATE(YEAR(TODAY()),MONTH(TODAY())+1,1),B$2:B$838,$B$906),"")</f>
        <v/>
      </c>
      <c r="D906" s="10">
        <f>IFERROR(AVERAGEIFS(D$2:D$838,A$2:A$838,"&gt;="&amp;DATE(YEAR(TODAY()),MONTH(TODAY()),1),A$2:A$838,"&lt;"&amp;DATE(YEAR(TODAY()),MONTH(TODAY())+1,1),B$2:B$838,$B$906),"")</f>
        <v/>
      </c>
      <c r="E906" s="10">
        <f>IFERROR(AVERAGEIFS(E$2:E$838,A$2:A$838,"&gt;="&amp;DATE(YEAR(TODAY()),MONTH(TODAY()),1),A$2:A$838,"&lt;"&amp;DATE(YEAR(TODAY()),MONTH(TODAY())+1,1),B$2:B$838,$B$906),"")</f>
        <v/>
      </c>
      <c r="F906" s="11">
        <f>IFERROR(SUMPRODUCT((YEAR(A$2:A$838)=YEAR(TODAY()))*(MONTH(A$2:A$838)=MONTH(TODAY()))*(B$2:B$838=$B$906)*(F$2:F$838),"")</f>
        <v/>
      </c>
    </row>
    <row r="907">
      <c r="B907" s="2" t="inlineStr">
        <is>
          <t>金属钴FOB</t>
        </is>
      </c>
      <c r="C907" s="10">
        <f>IFERROR(AVERAGEIFS(C$2:C$838,A$2:A$838,"&gt;="&amp;DATE(YEAR(TODAY()),MONTH(TODAY()),1),A$2:A$838,"&lt;"&amp;DATE(YEAR(TODAY()),MONTH(TODAY())+1,1),B$2:B$838,$B$907),"")</f>
        <v/>
      </c>
      <c r="D907" s="10">
        <f>IFERROR(AVERAGEIFS(D$2:D$838,A$2:A$838,"&gt;="&amp;DATE(YEAR(TODAY()),MONTH(TODAY()),1),A$2:A$838,"&lt;"&amp;DATE(YEAR(TODAY()),MONTH(TODAY())+1,1),B$2:B$838,$B$907),"")</f>
        <v/>
      </c>
      <c r="E907" s="10">
        <f>IFERROR(AVERAGEIFS(E$2:E$838,A$2:A$838,"&gt;="&amp;DATE(YEAR(TODAY()),MONTH(TODAY()),1),A$2:A$838,"&lt;"&amp;DATE(YEAR(TODAY()),MONTH(TODAY())+1,1),B$2:B$838,$B$907),"")</f>
        <v/>
      </c>
      <c r="F907" s="11">
        <f>IFERROR(SUMPRODUCT((YEAR(A$2:A$838)=YEAR(TODAY()))*(MONTH(A$2:A$838)=MONTH(TODAY()))*(B$2:B$838=$B$907)*(F$2:F$838),"")</f>
        <v/>
      </c>
    </row>
    <row r="908">
      <c r="B908" s="2" t="inlineStr">
        <is>
          <t>钴中间品中钴含量≥30%</t>
        </is>
      </c>
      <c r="C908" s="10">
        <f>IFERROR(AVERAGEIFS(C$2:C$838,A$2:A$838,"&gt;="&amp;DATE(YEAR(TODAY()),MONTH(TODAY()),1),A$2:A$838,"&lt;"&amp;DATE(YEAR(TODAY()),MONTH(TODAY())+1,1),B$2:B$838,$B$908),"")</f>
        <v/>
      </c>
      <c r="D908" s="10">
        <f>IFERROR(AVERAGEIFS(D$2:D$838,A$2:A$838,"&gt;="&amp;DATE(YEAR(TODAY()),MONTH(TODAY()),1),A$2:A$838,"&lt;"&amp;DATE(YEAR(TODAY()),MONTH(TODAY())+1,1),B$2:B$838,$B$908),"")</f>
        <v/>
      </c>
      <c r="E908" s="10">
        <f>IFERROR(AVERAGEIFS(E$2:E$838,A$2:A$838,"&gt;="&amp;DATE(YEAR(TODAY()),MONTH(TODAY()),1),A$2:A$838,"&lt;"&amp;DATE(YEAR(TODAY()),MONTH(TODAY())+1,1),B$2:B$838,$B$908),"")</f>
        <v/>
      </c>
      <c r="F908" s="11">
        <f>IFERROR(SUMPRODUCT((YEAR(A$2:A$838)=YEAR(TODAY()))*(MONTH(A$2:A$838)=MONTH(TODAY()))*(B$2:B$838=$B$908)*(F$2:F$838),"")</f>
        <v/>
      </c>
    </row>
    <row r="909">
      <c r="B909" s="2" t="inlineStr">
        <is>
          <t>钴中间品原料计价系数（对SMM硫酸钴均价）</t>
        </is>
      </c>
      <c r="C909" s="10">
        <f>IFERROR(AVERAGEIFS(C$2:C$838,A$2:A$838,"&gt;="&amp;DATE(YEAR(TODAY()),MONTH(TODAY()),1),A$2:A$838,"&lt;"&amp;DATE(YEAR(TODAY()),MONTH(TODAY())+1,1),B$2:B$838,$B$909),"")</f>
        <v/>
      </c>
      <c r="D909" s="10">
        <f>IFERROR(AVERAGEIFS(D$2:D$838,A$2:A$838,"&gt;="&amp;DATE(YEAR(TODAY()),MONTH(TODAY()),1),A$2:A$838,"&lt;"&amp;DATE(YEAR(TODAY()),MONTH(TODAY())+1,1),B$2:B$838,$B$909),"")</f>
        <v/>
      </c>
      <c r="E909" s="10">
        <f>IFERROR(AVERAGEIFS(E$2:E$838,A$2:A$838,"&gt;="&amp;DATE(YEAR(TODAY()),MONTH(TODAY()),1),A$2:A$838,"&lt;"&amp;DATE(YEAR(TODAY()),MONTH(TODAY())+1,1),B$2:B$838,$B$909),"")</f>
        <v/>
      </c>
      <c r="F909" s="11">
        <f>IFERROR(SUMPRODUCT((YEAR(A$2:A$838)=YEAR(TODAY()))*(MONTH(A$2:A$838)=MONTH(TODAY()))*(B$2:B$838=$B$909)*(F$2:F$838),"")</f>
        <v/>
      </c>
    </row>
    <row r="910">
      <c r="B910" s="2" t="inlineStr">
        <is>
          <t>钴酸锂</t>
        </is>
      </c>
      <c r="C910" s="10">
        <f>IFERROR(AVERAGEIFS(C$2:C$838,A$2:A$838,"&gt;="&amp;DATE(YEAR(TODAY()),MONTH(TODAY()),1),A$2:A$838,"&lt;"&amp;DATE(YEAR(TODAY()),MONTH(TODAY())+1,1),B$2:B$838,$B$910),"")</f>
        <v/>
      </c>
      <c r="D910" s="10">
        <f>IFERROR(AVERAGEIFS(D$2:D$838,A$2:A$838,"&gt;="&amp;DATE(YEAR(TODAY()),MONTH(TODAY()),1),A$2:A$838,"&lt;"&amp;DATE(YEAR(TODAY()),MONTH(TODAY())+1,1),B$2:B$838,$B$910),"")</f>
        <v/>
      </c>
      <c r="E910" s="10">
        <f>IFERROR(AVERAGEIFS(E$2:E$838,A$2:A$838,"&gt;="&amp;DATE(YEAR(TODAY()),MONTH(TODAY()),1),A$2:A$838,"&lt;"&amp;DATE(YEAR(TODAY()),MONTH(TODAY())+1,1),B$2:B$838,$B$910),"")</f>
        <v/>
      </c>
      <c r="F910" s="11">
        <f>IFERROR(SUMPRODUCT((YEAR(A$2:A$838)=YEAR(TODAY()))*(MONTH(A$2:A$838)=MONTH(TODAY()))*(B$2:B$838=$B$910)*(F$2:F$838),"")</f>
        <v/>
      </c>
    </row>
    <row r="911">
      <c r="B911" s="2" t="inlineStr">
        <is>
          <t>钴酸锂聚合物软包</t>
        </is>
      </c>
      <c r="C911" s="10">
        <f>IFERROR(AVERAGEIFS(C$2:C$838,A$2:A$838,"&gt;="&amp;DATE(YEAR(TODAY()),MONTH(TODAY()),1),A$2:A$838,"&lt;"&amp;DATE(YEAR(TODAY()),MONTH(TODAY())+1,1),B$2:B$838,$B$911),"")</f>
        <v/>
      </c>
      <c r="D911" s="10">
        <f>IFERROR(AVERAGEIFS(D$2:D$838,A$2:A$838,"&gt;="&amp;DATE(YEAR(TODAY()),MONTH(TODAY()),1),A$2:A$838,"&lt;"&amp;DATE(YEAR(TODAY()),MONTH(TODAY())+1,1),B$2:B$838,$B$911),"")</f>
        <v/>
      </c>
      <c r="E911" s="10">
        <f>IFERROR(AVERAGEIFS(E$2:E$838,A$2:A$838,"&gt;="&amp;DATE(YEAR(TODAY()),MONTH(TODAY()),1),A$2:A$838,"&lt;"&amp;DATE(YEAR(TODAY()),MONTH(TODAY())+1,1),B$2:B$838,$B$911),"")</f>
        <v/>
      </c>
      <c r="F911" s="11">
        <f>IFERROR(SUMPRODUCT((YEAR(A$2:A$838)=YEAR(TODAY()))*(MONTH(A$2:A$838)=MONTH(TODAY()))*(B$2:B$838=$B$911)*(F$2:F$838),"")</f>
        <v/>
      </c>
    </row>
    <row r="912">
      <c r="B912" s="2" t="inlineStr">
        <is>
          <t>钴酸锂铝壳</t>
        </is>
      </c>
      <c r="C912" s="10">
        <f>IFERROR(AVERAGEIFS(C$2:C$838,A$2:A$838,"&gt;="&amp;DATE(YEAR(TODAY()),MONTH(TODAY()),1),A$2:A$838,"&lt;"&amp;DATE(YEAR(TODAY()),MONTH(TODAY())+1,1),B$2:B$838,$B$912),"")</f>
        <v/>
      </c>
      <c r="D912" s="10">
        <f>IFERROR(AVERAGEIFS(D$2:D$838,A$2:A$838,"&gt;="&amp;DATE(YEAR(TODAY()),MONTH(TODAY()),1),A$2:A$838,"&lt;"&amp;DATE(YEAR(TODAY()),MONTH(TODAY())+1,1),B$2:B$838,$B$912),"")</f>
        <v/>
      </c>
      <c r="E912" s="10">
        <f>IFERROR(AVERAGEIFS(E$2:E$838,A$2:A$838,"&gt;="&amp;DATE(YEAR(TODAY()),MONTH(TODAY()),1),A$2:A$838,"&lt;"&amp;DATE(YEAR(TODAY()),MONTH(TODAY())+1,1),B$2:B$838,$B$912),"")</f>
        <v/>
      </c>
      <c r="F912" s="11">
        <f>IFERROR(SUMPRODUCT((YEAR(A$2:A$838)=YEAR(TODAY()))*(MONTH(A$2:A$838)=MONTH(TODAY()))*(B$2:B$838=$B$912)*(F$2:F$838),"")</f>
        <v/>
      </c>
    </row>
    <row r="913">
      <c r="B913" s="2" t="inlineStr">
        <is>
          <t>锰酸锂圆柱钢壳</t>
        </is>
      </c>
      <c r="C913" s="10">
        <f>IFERROR(AVERAGEIFS(C$2:C$838,A$2:A$838,"&gt;="&amp;DATE(YEAR(TODAY()),MONTH(TODAY()),1),A$2:A$838,"&lt;"&amp;DATE(YEAR(TODAY()),MONTH(TODAY())+1,1),B$2:B$838,$B$913),"")</f>
        <v/>
      </c>
      <c r="D913" s="10">
        <f>IFERROR(AVERAGEIFS(D$2:D$838,A$2:A$838,"&gt;="&amp;DATE(YEAR(TODAY()),MONTH(TODAY()),1),A$2:A$838,"&lt;"&amp;DATE(YEAR(TODAY()),MONTH(TODAY())+1,1),B$2:B$838,$B$913),"")</f>
        <v/>
      </c>
      <c r="E913" s="10">
        <f>IFERROR(AVERAGEIFS(E$2:E$838,A$2:A$838,"&gt;="&amp;DATE(YEAR(TODAY()),MONTH(TODAY()),1),A$2:A$838,"&lt;"&amp;DATE(YEAR(TODAY()),MONTH(TODAY())+1,1),B$2:B$838,$B$913),"")</f>
        <v/>
      </c>
      <c r="F913" s="11">
        <f>IFERROR(SUMPRODUCT((YEAR(A$2:A$838)=YEAR(TODAY()))*(MONTH(A$2:A$838)=MONTH(TODAY()))*(B$2:B$838=$B$913)*(F$2:F$838),"")</f>
        <v/>
      </c>
    </row>
    <row r="914">
      <c r="B914" s="2" t="inlineStr">
        <is>
          <t>非洲硫酸锂(CIF中国)</t>
        </is>
      </c>
      <c r="C914" s="10">
        <f>IFERROR(AVERAGEIFS(C$2:C$838,A$2:A$838,"&gt;="&amp;DATE(YEAR(TODAY()),MONTH(TODAY()),1),A$2:A$838,"&lt;"&amp;DATE(YEAR(TODAY()),MONTH(TODAY())+1,1),B$2:B$838,$B$914),"")</f>
        <v/>
      </c>
      <c r="D914" s="10">
        <f>IFERROR(AVERAGEIFS(D$2:D$838,A$2:A$838,"&gt;="&amp;DATE(YEAR(TODAY()),MONTH(TODAY()),1),A$2:A$838,"&lt;"&amp;DATE(YEAR(TODAY()),MONTH(TODAY())+1,1),B$2:B$838,$B$914),"")</f>
        <v/>
      </c>
      <c r="E914" s="10">
        <f>IFERROR(AVERAGEIFS(E$2:E$838,A$2:A$838,"&gt;="&amp;DATE(YEAR(TODAY()),MONTH(TODAY()),1),A$2:A$838,"&lt;"&amp;DATE(YEAR(TODAY()),MONTH(TODAY())+1,1),B$2:B$838,$B$914),"")</f>
        <v/>
      </c>
      <c r="F914" s="11">
        <f>IFERROR(SUMPRODUCT((YEAR(A$2:A$838)=YEAR(TODAY()))*(MONTH(A$2:A$838)=MONTH(TODAY()))*(B$2:B$838=$B$914)*(F$2:F$838),"")</f>
        <v/>
      </c>
    </row>
    <row r="915">
      <c r="B915" s="2" t="inlineStr">
        <is>
          <t>非洲锂辉石精矿（CIF中国）指数</t>
        </is>
      </c>
      <c r="C915" s="10">
        <f>IFERROR(AVERAGEIFS(C$2:C$838,A$2:A$838,"&gt;="&amp;DATE(YEAR(TODAY()),MONTH(TODAY()),1),A$2:A$838,"&lt;"&amp;DATE(YEAR(TODAY()),MONTH(TODAY())+1,1),B$2:B$838,$B$915),"")</f>
        <v/>
      </c>
      <c r="D915" s="10">
        <f>IFERROR(AVERAGEIFS(D$2:D$838,A$2:A$838,"&gt;="&amp;DATE(YEAR(TODAY()),MONTH(TODAY()),1),A$2:A$838,"&lt;"&amp;DATE(YEAR(TODAY()),MONTH(TODAY())+1,1),B$2:B$838,$B$915),"")</f>
        <v/>
      </c>
      <c r="E915" s="10">
        <f>IFERROR(AVERAGEIFS(E$2:E$838,A$2:A$838,"&gt;="&amp;DATE(YEAR(TODAY()),MONTH(TODAY()),1),A$2:A$838,"&lt;"&amp;DATE(YEAR(TODAY()),MONTH(TODAY())+1,1),B$2:B$838,$B$915),"")</f>
        <v/>
      </c>
      <c r="F915" s="11">
        <f>IFERROR(SUMPRODUCT((YEAR(A$2:A$838)=YEAR(TODAY()))*(MONTH(A$2:A$838)=MONTH(TODAY()))*(B$2:B$838=$B$915)*(F$2:F$838),"")</f>
        <v/>
      </c>
    </row>
  </sheetData>
  <autoFilter ref="A1:H838"/>
  <mergeCells count="1">
    <mergeCell ref="A840:H8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6.8004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5">
      <c r="A35" s="2" t="inlineStr">
        <is>
          <t>2026/06/25</t>
        </is>
      </c>
      <c r="B35" s="2" t="inlineStr">
        <is>
          <t>国内期货</t>
        </is>
      </c>
      <c r="C35" s="2" t="inlineStr">
        <is>
          <t>沪镍(NI)连续</t>
        </is>
      </c>
      <c r="D35" s="4" t="n">
        <v>130840</v>
      </c>
      <c r="E35" s="4" t="n">
        <v>132020</v>
      </c>
      <c r="F35" s="4" t="n">
        <v>130860</v>
      </c>
      <c r="G35" s="4" t="n">
        <v>127960</v>
      </c>
      <c r="H35" s="4" t="n">
        <v>1090</v>
      </c>
      <c r="I35" s="5" t="inlineStr">
        <is>
          <t>元/吨</t>
        </is>
      </c>
      <c r="J35" s="5" t="inlineStr">
        <is>
          <t>上期所</t>
        </is>
      </c>
    </row>
    <row r="36">
      <c r="A36" s="2" t="inlineStr">
        <is>
          <t>2026/06/25</t>
        </is>
      </c>
      <c r="B36" s="2" t="inlineStr">
        <is>
          <t>国内期货</t>
        </is>
      </c>
      <c r="C36" s="2" t="inlineStr">
        <is>
          <t>碳酸锂(LC)连续</t>
        </is>
      </c>
      <c r="D36" s="4" t="n">
        <v>150820</v>
      </c>
      <c r="E36" s="4" t="n">
        <v>159680</v>
      </c>
      <c r="F36" s="4" t="n">
        <v>150840</v>
      </c>
      <c r="G36" s="4" t="n">
        <v>150320</v>
      </c>
      <c r="H36" s="4" t="n">
        <v>-9180</v>
      </c>
      <c r="I36" s="5" t="inlineStr">
        <is>
          <t>元/吨</t>
        </is>
      </c>
      <c r="J36" s="5" t="inlineStr">
        <is>
          <t>广期所</t>
        </is>
      </c>
    </row>
    <row r="37">
      <c r="A37" s="2" t="inlineStr">
        <is>
          <t>2026/06/25</t>
        </is>
      </c>
      <c r="B37" s="2" t="inlineStr">
        <is>
          <t>国内期货</t>
        </is>
      </c>
      <c r="C37" s="2" t="inlineStr">
        <is>
          <t>美元/人民币(USDCNY)</t>
        </is>
      </c>
      <c r="D37" s="6" t="n">
        <v>6.7973</v>
      </c>
      <c r="E37" s="5" t="n"/>
      <c r="F37" s="6" t="n">
        <v>6.8101</v>
      </c>
      <c r="G37" s="6" t="n">
        <v>6.7878</v>
      </c>
      <c r="H37" s="5" t="n"/>
      <c r="I37" s="5" t="inlineStr">
        <is>
          <t>人民币</t>
        </is>
      </c>
      <c r="J37" s="5" t="inlineStr">
        <is>
          <t>新浪财经</t>
        </is>
      </c>
    </row>
    <row r="38">
      <c r="A38" s="2" t="inlineStr">
        <is>
          <t>2026/06/25</t>
        </is>
      </c>
      <c r="B38" s="2" t="inlineStr">
        <is>
          <t>国际期货</t>
        </is>
      </c>
      <c r="C38" s="2" t="inlineStr">
        <is>
          <t>CME氢氧化锂</t>
        </is>
      </c>
      <c r="D38" s="6" t="n">
        <v>21.1</v>
      </c>
      <c r="E38" s="5" t="n"/>
      <c r="F38" s="5" t="n"/>
      <c r="G38" s="5" t="n"/>
      <c r="H38" s="6" t="n">
        <v>1.28</v>
      </c>
      <c r="I38" s="5" t="inlineStr">
        <is>
          <t>USD</t>
        </is>
      </c>
      <c r="J38" s="5" t="inlineStr">
        <is>
          <t>Yahoo Finance</t>
        </is>
      </c>
    </row>
    <row r="39">
      <c r="A39" s="2" t="inlineStr">
        <is>
          <t>2026/06/25</t>
        </is>
      </c>
      <c r="B39" s="2" t="inlineStr">
        <is>
          <t>国际期货</t>
        </is>
      </c>
      <c r="C39" s="2" t="inlineStr">
        <is>
          <t>CME钴</t>
        </is>
      </c>
      <c r="D39" s="6" t="n">
        <v>25.1</v>
      </c>
      <c r="E39" s="5" t="n"/>
      <c r="F39" s="5" t="n"/>
      <c r="G39" s="5" t="n"/>
      <c r="H39" s="4" t="n">
        <v>0</v>
      </c>
      <c r="I39" s="5" t="inlineStr">
        <is>
          <t>USD</t>
        </is>
      </c>
      <c r="J39" s="5" t="inlineStr">
        <is>
          <t>Yahoo Finance</t>
        </is>
      </c>
    </row>
    <row r="40">
      <c r="A40" s="2" t="inlineStr">
        <is>
          <t>2026/06/26</t>
        </is>
      </c>
      <c r="B40" s="2" t="inlineStr">
        <is>
          <t>国内期货</t>
        </is>
      </c>
      <c r="C40" s="2" t="inlineStr">
        <is>
          <t>沪镍(NI)连续</t>
        </is>
      </c>
      <c r="D40" s="4" t="n">
        <v>129060</v>
      </c>
      <c r="E40" s="4" t="n">
        <v>129720</v>
      </c>
      <c r="F40" s="4" t="n">
        <v>129060</v>
      </c>
      <c r="G40" s="4" t="n">
        <v>127050</v>
      </c>
      <c r="H40" s="4" t="n">
        <v>-1800</v>
      </c>
      <c r="I40" s="5" t="inlineStr">
        <is>
          <t>元/吨</t>
        </is>
      </c>
      <c r="J40" s="5" t="inlineStr">
        <is>
          <t>上期所</t>
        </is>
      </c>
    </row>
    <row r="41">
      <c r="A41" s="2" t="inlineStr">
        <is>
          <t>2026/06/26</t>
        </is>
      </c>
      <c r="B41" s="2" t="inlineStr">
        <is>
          <t>国内期货</t>
        </is>
      </c>
      <c r="C41" s="2" t="inlineStr">
        <is>
          <t>碳酸锂(LC)连续</t>
        </is>
      </c>
      <c r="D41" s="4" t="n">
        <v>150200</v>
      </c>
      <c r="E41" s="4" t="n">
        <v>155240</v>
      </c>
      <c r="F41" s="4" t="n">
        <v>150220</v>
      </c>
      <c r="G41" s="4" t="n">
        <v>145000</v>
      </c>
      <c r="H41" s="4" t="n">
        <v>1200</v>
      </c>
      <c r="I41" s="5" t="inlineStr">
        <is>
          <t>元/吨</t>
        </is>
      </c>
      <c r="J41" s="5" t="inlineStr">
        <is>
          <t>广期所</t>
        </is>
      </c>
    </row>
    <row r="42">
      <c r="A42" s="2" t="inlineStr">
        <is>
          <t>2026/06/26</t>
        </is>
      </c>
      <c r="B42" s="2" t="inlineStr">
        <is>
          <t>国内期货</t>
        </is>
      </c>
      <c r="C42" s="2" t="inlineStr">
        <is>
          <t>美元/人民币(USDCNY)</t>
        </is>
      </c>
      <c r="D42" s="6" t="n">
        <v>6.8001</v>
      </c>
      <c r="E42" s="5" t="n"/>
      <c r="F42" s="6" t="n">
        <v>6.7892</v>
      </c>
      <c r="G42" s="6" t="n">
        <v>6.7851</v>
      </c>
      <c r="H42" s="5" t="n"/>
      <c r="I42" s="5" t="inlineStr">
        <is>
          <t>人民币</t>
        </is>
      </c>
      <c r="J42" s="5" t="inlineStr">
        <is>
          <t>新浪财经</t>
        </is>
      </c>
    </row>
    <row r="43">
      <c r="A43" s="2" t="inlineStr">
        <is>
          <t>2026/06/26</t>
        </is>
      </c>
      <c r="B43" s="2" t="inlineStr">
        <is>
          <t>国际期货</t>
        </is>
      </c>
      <c r="C43" s="2" t="inlineStr">
        <is>
          <t>CME氢氧化锂</t>
        </is>
      </c>
      <c r="D43" s="6" t="n">
        <v>21.1</v>
      </c>
      <c r="E43" s="5" t="n"/>
      <c r="F43" s="5" t="n"/>
      <c r="G43" s="5" t="n"/>
      <c r="H43" s="6" t="n">
        <v>2.13</v>
      </c>
      <c r="I43" s="5" t="inlineStr">
        <is>
          <t>USD</t>
        </is>
      </c>
      <c r="J43" s="5" t="inlineStr">
        <is>
          <t>Yahoo Finance</t>
        </is>
      </c>
    </row>
    <row r="44">
      <c r="A44" s="2" t="inlineStr">
        <is>
          <t>2026/06/26</t>
        </is>
      </c>
      <c r="B44" s="2" t="inlineStr">
        <is>
          <t>国际期货</t>
        </is>
      </c>
      <c r="C44" s="2" t="inlineStr">
        <is>
          <t>CME钴</t>
        </is>
      </c>
      <c r="D44" s="6" t="n">
        <v>25.1</v>
      </c>
      <c r="E44" s="5" t="n"/>
      <c r="F44" s="5" t="n"/>
      <c r="G44" s="5" t="n"/>
      <c r="H44" s="4" t="n">
        <v>0</v>
      </c>
      <c r="I44" s="5" t="inlineStr">
        <is>
          <t>USD</t>
        </is>
      </c>
      <c r="J44" s="5" t="inlineStr">
        <is>
          <t>Yahoo Finance</t>
        </is>
      </c>
    </row>
    <row r="45">
      <c r="A45" s="2" t="inlineStr">
        <is>
          <t>2026/06/29</t>
        </is>
      </c>
      <c r="B45" s="2" t="inlineStr">
        <is>
          <t>国内期货</t>
        </is>
      </c>
      <c r="C45" s="2" t="inlineStr">
        <is>
          <t>沪镍(NI)连续</t>
        </is>
      </c>
      <c r="D45" s="4" t="n">
        <v>129470</v>
      </c>
      <c r="E45" s="4" t="n">
        <v>129000</v>
      </c>
      <c r="F45" s="4" t="n">
        <v>129480</v>
      </c>
      <c r="G45" s="4" t="n">
        <v>128050</v>
      </c>
      <c r="H45" s="4" t="n">
        <v>960</v>
      </c>
      <c r="I45" s="5" t="inlineStr">
        <is>
          <t>元/吨</t>
        </is>
      </c>
      <c r="J45" s="5" t="inlineStr">
        <is>
          <t>上期所</t>
        </is>
      </c>
    </row>
    <row r="46">
      <c r="A46" s="2" t="inlineStr">
        <is>
          <t>2026/06/29</t>
        </is>
      </c>
      <c r="B46" s="2" t="inlineStr">
        <is>
          <t>国内期货</t>
        </is>
      </c>
      <c r="C46" s="2" t="inlineStr">
        <is>
          <t>碳酸锂(LC)连续</t>
        </is>
      </c>
      <c r="D46" s="4" t="n">
        <v>153880</v>
      </c>
      <c r="E46" s="4" t="n">
        <v>148940</v>
      </c>
      <c r="F46" s="4" t="n">
        <v>153920</v>
      </c>
      <c r="G46" s="4" t="n">
        <v>145300</v>
      </c>
      <c r="H46" s="4" t="n">
        <v>5880</v>
      </c>
      <c r="I46" s="5" t="inlineStr">
        <is>
          <t>元/吨</t>
        </is>
      </c>
      <c r="J46" s="5" t="inlineStr">
        <is>
          <t>广期所</t>
        </is>
      </c>
    </row>
    <row r="47">
      <c r="A47" s="2" t="inlineStr">
        <is>
          <t>2026/06/29</t>
        </is>
      </c>
      <c r="B47" s="2" t="inlineStr">
        <is>
          <t>国内期货</t>
        </is>
      </c>
      <c r="C47" s="2" t="inlineStr">
        <is>
          <t>美元/人民币(USDCNY)</t>
        </is>
      </c>
      <c r="D47" s="6" t="n">
        <v>6.7923</v>
      </c>
      <c r="E47" s="5" t="n"/>
      <c r="F47" s="6" t="n">
        <v>6.7897</v>
      </c>
      <c r="G47" s="6" t="n">
        <v>6.7786</v>
      </c>
      <c r="H47" s="5" t="n"/>
      <c r="I47" s="5" t="inlineStr">
        <is>
          <t>人民币</t>
        </is>
      </c>
      <c r="J47" s="5" t="inlineStr">
        <is>
          <t>新浪财经</t>
        </is>
      </c>
    </row>
    <row r="48">
      <c r="A48" s="2" t="inlineStr">
        <is>
          <t>2026/06/29</t>
        </is>
      </c>
      <c r="B48" s="2" t="inlineStr">
        <is>
          <t>国际期货</t>
        </is>
      </c>
      <c r="C48" s="2" t="inlineStr">
        <is>
          <t>CME氢氧化锂</t>
        </is>
      </c>
      <c r="D48" s="6" t="n">
        <v>21.1</v>
      </c>
      <c r="E48" s="5" t="n"/>
      <c r="F48" s="5" t="n"/>
      <c r="G48" s="5" t="n"/>
      <c r="H48" s="6" t="n">
        <v>2.48</v>
      </c>
      <c r="I48" s="5" t="inlineStr">
        <is>
          <t>USD</t>
        </is>
      </c>
      <c r="J48" s="5" t="inlineStr">
        <is>
          <t>Yahoo Finance</t>
        </is>
      </c>
    </row>
    <row r="49">
      <c r="A49" s="2" t="inlineStr">
        <is>
          <t>2026/06/29</t>
        </is>
      </c>
      <c r="B49" s="2" t="inlineStr">
        <is>
          <t>国际期货</t>
        </is>
      </c>
      <c r="C49" s="2" t="inlineStr">
        <is>
          <t>CME钴</t>
        </is>
      </c>
      <c r="D49" s="6" t="n">
        <v>25.1</v>
      </c>
      <c r="E49" s="5" t="n"/>
      <c r="F49" s="5" t="n"/>
      <c r="G49" s="5" t="n"/>
      <c r="H49" s="4" t="n">
        <v>0</v>
      </c>
      <c r="I49" s="5" t="inlineStr">
        <is>
          <t>USD</t>
        </is>
      </c>
      <c r="J49" s="5" t="inlineStr">
        <is>
          <t>Yahoo Finance</t>
        </is>
      </c>
    </row>
    <row r="50">
      <c r="A50" s="2" t="inlineStr">
        <is>
          <t>2026/06/30</t>
        </is>
      </c>
      <c r="B50" s="2" t="inlineStr">
        <is>
          <t>国内期货</t>
        </is>
      </c>
      <c r="C50" s="2" t="inlineStr">
        <is>
          <t>沪镍(NI)连续</t>
        </is>
      </c>
      <c r="D50" s="4" t="n">
        <v>127120</v>
      </c>
      <c r="E50" s="4" t="n">
        <v>129120</v>
      </c>
      <c r="F50" s="4" t="n">
        <v>127140</v>
      </c>
      <c r="G50" s="4" t="n">
        <v>124380</v>
      </c>
      <c r="H50" s="4" t="n">
        <v>-880</v>
      </c>
      <c r="I50" s="5" t="inlineStr">
        <is>
          <t>元/吨</t>
        </is>
      </c>
      <c r="J50" s="5" t="inlineStr">
        <is>
          <t>上期所</t>
        </is>
      </c>
    </row>
    <row r="51">
      <c r="A51" s="2" t="inlineStr">
        <is>
          <t>2026/06/30</t>
        </is>
      </c>
      <c r="B51" s="2" t="inlineStr">
        <is>
          <t>国内期货</t>
        </is>
      </c>
      <c r="C51" s="2" t="inlineStr">
        <is>
          <t>碳酸锂(LC)连续</t>
        </is>
      </c>
      <c r="D51" s="4" t="n">
        <v>163260</v>
      </c>
      <c r="E51" s="4" t="n">
        <v>150760</v>
      </c>
      <c r="F51" s="4" t="n">
        <v>163360</v>
      </c>
      <c r="G51" s="4" t="n">
        <v>148020</v>
      </c>
      <c r="H51" s="4" t="n">
        <v>15240</v>
      </c>
      <c r="I51" s="5" t="inlineStr">
        <is>
          <t>元/吨</t>
        </is>
      </c>
      <c r="J51" s="5" t="inlineStr">
        <is>
          <t>广期所</t>
        </is>
      </c>
    </row>
    <row r="52">
      <c r="A52" s="2" t="inlineStr">
        <is>
          <t>2026/06/30</t>
        </is>
      </c>
      <c r="B52" s="2" t="inlineStr">
        <is>
          <t>国内期货</t>
        </is>
      </c>
      <c r="C52" s="2" t="inlineStr">
        <is>
          <t>美元/人民币(USDCNY)</t>
        </is>
      </c>
      <c r="D52" s="6" t="n">
        <v>6.7856</v>
      </c>
      <c r="E52" s="5" t="n"/>
      <c r="F52" s="6" t="n">
        <v>6.7943</v>
      </c>
      <c r="G52" s="6" t="n">
        <v>6.7819</v>
      </c>
      <c r="H52" s="5" t="n"/>
      <c r="I52" s="5" t="inlineStr">
        <is>
          <t>人民币</t>
        </is>
      </c>
      <c r="J52" s="5" t="inlineStr">
        <is>
          <t>新浪财经</t>
        </is>
      </c>
    </row>
    <row r="53">
      <c r="A53" s="2" t="inlineStr">
        <is>
          <t>2026/06/30</t>
        </is>
      </c>
      <c r="B53" s="2" t="inlineStr">
        <is>
          <t>国际期货</t>
        </is>
      </c>
      <c r="C53" s="2" t="inlineStr">
        <is>
          <t>CME氢氧化锂</t>
        </is>
      </c>
      <c r="D53" s="6" t="n">
        <v>21.42</v>
      </c>
      <c r="E53" s="5" t="n"/>
      <c r="F53" s="5" t="n"/>
      <c r="G53" s="5" t="n"/>
      <c r="H53" s="6" t="n">
        <v>2.57</v>
      </c>
      <c r="I53" s="5" t="inlineStr">
        <is>
          <t>USD</t>
        </is>
      </c>
      <c r="J53" s="5" t="inlineStr">
        <is>
          <t>Yahoo Finance</t>
        </is>
      </c>
    </row>
    <row r="54">
      <c r="A54" s="2" t="inlineStr">
        <is>
          <t>2026/06/30</t>
        </is>
      </c>
      <c r="B54" s="2" t="inlineStr">
        <is>
          <t>国际期货</t>
        </is>
      </c>
      <c r="C54" s="2" t="inlineStr">
        <is>
          <t>CME钴</t>
        </is>
      </c>
      <c r="D54" s="6" t="n">
        <v>25.1</v>
      </c>
      <c r="E54" s="5" t="n"/>
      <c r="F54" s="5" t="n"/>
      <c r="G54" s="5" t="n"/>
      <c r="H54" s="4" t="n">
        <v>0</v>
      </c>
      <c r="I54" s="5" t="inlineStr">
        <is>
          <t>USD</t>
        </is>
      </c>
      <c r="J54" s="5" t="inlineStr">
        <is>
          <t>Yahoo Finance</t>
        </is>
      </c>
    </row>
    <row r="55">
      <c r="A55" s="2" t="inlineStr">
        <is>
          <t>2026/07/01</t>
        </is>
      </c>
      <c r="B55" s="2" t="inlineStr">
        <is>
          <t>国内期货</t>
        </is>
      </c>
      <c r="C55" s="2" t="inlineStr">
        <is>
          <t>沪镍(NI)连续</t>
        </is>
      </c>
      <c r="D55" s="4" t="n">
        <v>125570</v>
      </c>
      <c r="E55" s="4" t="n">
        <v>126370</v>
      </c>
      <c r="F55" s="4" t="n">
        <v>125580</v>
      </c>
      <c r="G55" s="4" t="n">
        <v>124760</v>
      </c>
      <c r="H55" s="4" t="n">
        <v>-1400</v>
      </c>
      <c r="I55" s="5" t="inlineStr">
        <is>
          <t>元/吨</t>
        </is>
      </c>
      <c r="J55" s="5" t="inlineStr">
        <is>
          <t>上期所</t>
        </is>
      </c>
    </row>
    <row r="56">
      <c r="A56" s="2" t="inlineStr">
        <is>
          <t>2026/07/01</t>
        </is>
      </c>
      <c r="B56" s="2" t="inlineStr">
        <is>
          <t>国内期货</t>
        </is>
      </c>
      <c r="C56" s="2" t="inlineStr">
        <is>
          <t>碳酸锂(LC)连续</t>
        </is>
      </c>
      <c r="D56" s="4" t="n">
        <v>164560</v>
      </c>
      <c r="E56" s="4" t="n">
        <v>157300</v>
      </c>
      <c r="F56" s="4" t="n">
        <v>164560</v>
      </c>
      <c r="G56" s="4" t="n">
        <v>161500</v>
      </c>
      <c r="H56" s="4" t="n">
        <v>560</v>
      </c>
      <c r="I56" s="5" t="inlineStr">
        <is>
          <t>元/吨</t>
        </is>
      </c>
      <c r="J56" s="5" t="inlineStr">
        <is>
          <t>广期所</t>
        </is>
      </c>
    </row>
    <row r="57">
      <c r="A57" s="2" t="inlineStr">
        <is>
          <t>2026/07/01</t>
        </is>
      </c>
      <c r="B57" s="2" t="inlineStr">
        <is>
          <t>国内期货</t>
        </is>
      </c>
      <c r="C57" s="2" t="inlineStr">
        <is>
          <t>美元/人民币(USDCNY)</t>
        </is>
      </c>
      <c r="D57" s="6" t="n">
        <v>6.7932</v>
      </c>
      <c r="E57" s="5" t="n"/>
      <c r="F57" s="6" t="n">
        <v>6.7783</v>
      </c>
      <c r="G57" s="6" t="n">
        <v>6.7765</v>
      </c>
      <c r="H57" s="5" t="n"/>
      <c r="I57" s="5" t="inlineStr">
        <is>
          <t>人民币</t>
        </is>
      </c>
      <c r="J57" s="5" t="inlineStr">
        <is>
          <t>新浪财经</t>
        </is>
      </c>
    </row>
    <row r="58">
      <c r="A58" s="2" t="inlineStr">
        <is>
          <t>2026/07/01</t>
        </is>
      </c>
      <c r="B58" s="2" t="inlineStr">
        <is>
          <t>国际期货</t>
        </is>
      </c>
      <c r="C58" s="2" t="inlineStr">
        <is>
          <t>CME氢氧化锂</t>
        </is>
      </c>
      <c r="D58" s="6" t="n">
        <v>21.1</v>
      </c>
      <c r="E58" s="5" t="n"/>
      <c r="F58" s="5" t="n"/>
      <c r="G58" s="5" t="n"/>
      <c r="H58" s="6" t="n">
        <v>1.68</v>
      </c>
      <c r="I58" s="5" t="inlineStr">
        <is>
          <t>USD</t>
        </is>
      </c>
      <c r="J58" s="5" t="inlineStr">
        <is>
          <t>Yahoo Finance</t>
        </is>
      </c>
    </row>
    <row r="59">
      <c r="A59" s="2" t="inlineStr">
        <is>
          <t>2026/07/01</t>
        </is>
      </c>
      <c r="B59" s="2" t="inlineStr">
        <is>
          <t>国际期货</t>
        </is>
      </c>
      <c r="C59" s="2" t="inlineStr">
        <is>
          <t>CME钴</t>
        </is>
      </c>
      <c r="D59" s="6" t="n">
        <v>25.1</v>
      </c>
      <c r="E59" s="5" t="n"/>
      <c r="F59" s="5" t="n"/>
      <c r="G59" s="5" t="n"/>
      <c r="H59" s="4" t="n">
        <v>0</v>
      </c>
      <c r="I59" s="5" t="inlineStr">
        <is>
          <t>USD</t>
        </is>
      </c>
      <c r="J59" s="5" t="inlineStr">
        <is>
          <t>Yahoo Finance</t>
        </is>
      </c>
    </row>
    <row r="61">
      <c r="A61" s="8" t="inlineStr">
        <is>
          <t>当月均价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</row>
    <row r="62">
      <c r="C62" s="2" t="inlineStr">
        <is>
          <t>CME氢氧化锂</t>
        </is>
      </c>
      <c r="D62" s="10">
        <f>IFERROR(AVERAGEIFS(D$2:D$59,A$2:A$59,"&gt;="&amp;DATE(YEAR(TODAY()),MONTH(TODAY()),1),A$2:A$59,"&lt;"&amp;DATE(YEAR(TODAY()),MONTH(TODAY())+1,1),C$2:C$59,$C$62),"")</f>
        <v/>
      </c>
      <c r="E62" s="10">
        <f>IFERROR(AVERAGEIFS(E$2:E$59,A$2:A$59,"&gt;="&amp;DATE(YEAR(TODAY()),MONTH(TODAY()),1),A$2:A$59,"&lt;"&amp;DATE(YEAR(TODAY()),MONTH(TODAY())+1,1),C$2:C$59,$C$62),"")</f>
        <v/>
      </c>
      <c r="F62" s="10">
        <f>IFERROR(AVERAGEIFS(F$2:F$59,A$2:A$59,"&gt;="&amp;DATE(YEAR(TODAY()),MONTH(TODAY()),1),A$2:A$59,"&lt;"&amp;DATE(YEAR(TODAY()),MONTH(TODAY())+1,1),C$2:C$59,$C$62),"")</f>
        <v/>
      </c>
      <c r="G62" s="10">
        <f>IFERROR(AVERAGEIFS(G$2:G$59,A$2:A$59,"&gt;="&amp;DATE(YEAR(TODAY()),MONTH(TODAY()),1),A$2:A$59,"&lt;"&amp;DATE(YEAR(TODAY()),MONTH(TODAY())+1,1),C$2:C$59,$C$62),"")</f>
        <v/>
      </c>
      <c r="H62" s="11">
        <f>IFERROR(SUMPRODUCT((YEAR(A$2:A$59)=YEAR(TODAY()))*(MONTH(A$2:A$59)=MONTH(TODAY()))*(C$2:C$59=$C$62)*(H$2:H$59),"")</f>
        <v/>
      </c>
    </row>
    <row r="63">
      <c r="C63" s="2" t="inlineStr">
        <is>
          <t>CME钴</t>
        </is>
      </c>
      <c r="D63" s="10">
        <f>IFERROR(AVERAGEIFS(D$2:D$59,A$2:A$59,"&gt;="&amp;DATE(YEAR(TODAY()),MONTH(TODAY()),1),A$2:A$59,"&lt;"&amp;DATE(YEAR(TODAY()),MONTH(TODAY())+1,1),C$2:C$59,$C$63),"")</f>
        <v/>
      </c>
      <c r="E63" s="10">
        <f>IFERROR(AVERAGEIFS(E$2:E$59,A$2:A$59,"&gt;="&amp;DATE(YEAR(TODAY()),MONTH(TODAY()),1),A$2:A$59,"&lt;"&amp;DATE(YEAR(TODAY()),MONTH(TODAY())+1,1),C$2:C$59,$C$63),"")</f>
        <v/>
      </c>
      <c r="F63" s="10">
        <f>IFERROR(AVERAGEIFS(F$2:F$59,A$2:A$59,"&gt;="&amp;DATE(YEAR(TODAY()),MONTH(TODAY()),1),A$2:A$59,"&lt;"&amp;DATE(YEAR(TODAY()),MONTH(TODAY())+1,1),C$2:C$59,$C$63),"")</f>
        <v/>
      </c>
      <c r="G63" s="10">
        <f>IFERROR(AVERAGEIFS(G$2:G$59,A$2:A$59,"&gt;="&amp;DATE(YEAR(TODAY()),MONTH(TODAY()),1),A$2:A$59,"&lt;"&amp;DATE(YEAR(TODAY()),MONTH(TODAY())+1,1),C$2:C$59,$C$63),"")</f>
        <v/>
      </c>
      <c r="H63" s="11">
        <f>IFERROR(SUMPRODUCT((YEAR(A$2:A$59)=YEAR(TODAY()))*(MONTH(A$2:A$59)=MONTH(TODAY()))*(C$2:C$59=$C$63)*(H$2:H$59),"")</f>
        <v/>
      </c>
    </row>
    <row r="64">
      <c r="C64" s="2" t="inlineStr">
        <is>
          <t>沪镍(NI)连续</t>
        </is>
      </c>
      <c r="D64" s="10">
        <f>IFERROR(AVERAGEIFS(D$2:D$59,A$2:A$59,"&gt;="&amp;DATE(YEAR(TODAY()),MONTH(TODAY()),1),A$2:A$59,"&lt;"&amp;DATE(YEAR(TODAY()),MONTH(TODAY())+1,1),C$2:C$59,$C$64),"")</f>
        <v/>
      </c>
      <c r="E64" s="10">
        <f>IFERROR(AVERAGEIFS(E$2:E$59,A$2:A$59,"&gt;="&amp;DATE(YEAR(TODAY()),MONTH(TODAY()),1),A$2:A$59,"&lt;"&amp;DATE(YEAR(TODAY()),MONTH(TODAY())+1,1),C$2:C$59,$C$64),"")</f>
        <v/>
      </c>
      <c r="F64" s="10">
        <f>IFERROR(AVERAGEIFS(F$2:F$59,A$2:A$59,"&gt;="&amp;DATE(YEAR(TODAY()),MONTH(TODAY()),1),A$2:A$59,"&lt;"&amp;DATE(YEAR(TODAY()),MONTH(TODAY())+1,1),C$2:C$59,$C$64),"")</f>
        <v/>
      </c>
      <c r="G64" s="10">
        <f>IFERROR(AVERAGEIFS(G$2:G$59,A$2:A$59,"&gt;="&amp;DATE(YEAR(TODAY()),MONTH(TODAY()),1),A$2:A$59,"&lt;"&amp;DATE(YEAR(TODAY()),MONTH(TODAY())+1,1),C$2:C$59,$C$64),"")</f>
        <v/>
      </c>
      <c r="H64" s="11">
        <f>IFERROR(SUMPRODUCT((YEAR(A$2:A$59)=YEAR(TODAY()))*(MONTH(A$2:A$59)=MONTH(TODAY()))*(C$2:C$59=$C$64)*(H$2:H$59),"")</f>
        <v/>
      </c>
    </row>
    <row r="65">
      <c r="C65" s="2" t="inlineStr">
        <is>
          <t>碳酸锂(LC)连续</t>
        </is>
      </c>
      <c r="D65" s="10">
        <f>IFERROR(AVERAGEIFS(D$2:D$59,A$2:A$59,"&gt;="&amp;DATE(YEAR(TODAY()),MONTH(TODAY()),1),A$2:A$59,"&lt;"&amp;DATE(YEAR(TODAY()),MONTH(TODAY())+1,1),C$2:C$59,$C$65),"")</f>
        <v/>
      </c>
      <c r="E65" s="10">
        <f>IFERROR(AVERAGEIFS(E$2:E$59,A$2:A$59,"&gt;="&amp;DATE(YEAR(TODAY()),MONTH(TODAY()),1),A$2:A$59,"&lt;"&amp;DATE(YEAR(TODAY()),MONTH(TODAY())+1,1),C$2:C$59,$C$65),"")</f>
        <v/>
      </c>
      <c r="F65" s="10">
        <f>IFERROR(AVERAGEIFS(F$2:F$59,A$2:A$59,"&gt;="&amp;DATE(YEAR(TODAY()),MONTH(TODAY()),1),A$2:A$59,"&lt;"&amp;DATE(YEAR(TODAY()),MONTH(TODAY())+1,1),C$2:C$59,$C$65),"")</f>
        <v/>
      </c>
      <c r="G65" s="10">
        <f>IFERROR(AVERAGEIFS(G$2:G$59,A$2:A$59,"&gt;="&amp;DATE(YEAR(TODAY()),MONTH(TODAY()),1),A$2:A$59,"&lt;"&amp;DATE(YEAR(TODAY()),MONTH(TODAY())+1,1),C$2:C$59,$C$65),"")</f>
        <v/>
      </c>
      <c r="H65" s="11">
        <f>IFERROR(SUMPRODUCT((YEAR(A$2:A$59)=YEAR(TODAY()))*(MONTH(A$2:A$59)=MONTH(TODAY()))*(C$2:C$59=$C$65)*(H$2:H$59),"")</f>
        <v/>
      </c>
    </row>
    <row r="66">
      <c r="C66" s="2" t="inlineStr">
        <is>
          <t>美元/人民币(USDCNY)</t>
        </is>
      </c>
      <c r="D66" s="10">
        <f>IFERROR(AVERAGEIFS(D$2:D$59,A$2:A$59,"&gt;="&amp;DATE(YEAR(TODAY()),MONTH(TODAY()),1),A$2:A$59,"&lt;"&amp;DATE(YEAR(TODAY()),MONTH(TODAY())+1,1),C$2:C$59,$C$66),"")</f>
        <v/>
      </c>
      <c r="E66" s="10">
        <f>IFERROR(AVERAGEIFS(E$2:E$59,A$2:A$59,"&gt;="&amp;DATE(YEAR(TODAY()),MONTH(TODAY()),1),A$2:A$59,"&lt;"&amp;DATE(YEAR(TODAY()),MONTH(TODAY())+1,1),C$2:C$59,$C$66),"")</f>
        <v/>
      </c>
      <c r="F66" s="10">
        <f>IFERROR(AVERAGEIFS(F$2:F$59,A$2:A$59,"&gt;="&amp;DATE(YEAR(TODAY()),MONTH(TODAY()),1),A$2:A$59,"&lt;"&amp;DATE(YEAR(TODAY()),MONTH(TODAY())+1,1),C$2:C$59,$C$66),"")</f>
        <v/>
      </c>
      <c r="G66" s="10">
        <f>IFERROR(AVERAGEIFS(G$2:G$59,A$2:A$59,"&gt;="&amp;DATE(YEAR(TODAY()),MONTH(TODAY()),1),A$2:A$59,"&lt;"&amp;DATE(YEAR(TODAY()),MONTH(TODAY())+1,1),C$2:C$59,$C$66),"")</f>
        <v/>
      </c>
      <c r="H66" s="11">
        <f>IFERROR(SUMPRODUCT((YEAR(A$2:A$59)=YEAR(TODAY()))*(MONTH(A$2:A$59)=MONTH(TODAY()))*(C$2:C$59=$C$66)*(H$2:H$59),"")</f>
        <v/>
      </c>
    </row>
  </sheetData>
  <autoFilter ref="A1:J59"/>
  <mergeCells count="1">
    <mergeCell ref="A61:J6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2026-07-01T08:30:20Z</dcterms:created>
  <dcterms:modified xmlns:dcterms="http://purl.org/dc/terms/" xmlns:xsi="http://www.w3.org/2001/XMLSchema-instance" xsi:type="dcterms:W3CDTF">2026-07-01T08:30:21Z</dcterms:modified>
</cp:coreProperties>
</file>