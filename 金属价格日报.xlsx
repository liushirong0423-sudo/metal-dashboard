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'现货'!$A$1:$H$463</definedName>
    <definedName name="_xlnm._FilterDatabase" localSheetId="1" hidden="1">'期货'!$A$1:$J$34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5">
      <c r="A465" s="8" t="inlineStr">
        <is>
          <t>当月均价</t>
        </is>
      </c>
      <c r="B465" s="9" t="n"/>
      <c r="C465" s="9" t="n"/>
      <c r="D465" s="9" t="n"/>
      <c r="E465" s="9" t="n"/>
      <c r="F465" s="9" t="n"/>
      <c r="G465" s="9" t="n"/>
      <c r="H465" s="9" t="n"/>
    </row>
    <row r="466">
      <c r="B466" s="2" t="inlineStr">
        <is>
          <t>5系三元前驱体</t>
        </is>
      </c>
      <c r="C466" s="10">
        <f>IFERROR(AVERAGEIFS(C$2:C$463,A$2:A$463,"&gt;="&amp;DATE(YEAR(TODAY()),MONTH(TODAY()),1),A$2:A$463,"&lt;"&amp;DATE(YEAR(TODAY()),MONTH(TODAY())+1,1),B$2:B$463,$B$466),"")</f>
        <v/>
      </c>
      <c r="D466" s="10">
        <f>IFERROR(AVERAGEIFS(D$2:D$463,A$2:A$463,"&gt;="&amp;DATE(YEAR(TODAY()),MONTH(TODAY()),1),A$2:A$463,"&lt;"&amp;DATE(YEAR(TODAY()),MONTH(TODAY())+1,1),B$2:B$463,$B$466),"")</f>
        <v/>
      </c>
      <c r="E466" s="10">
        <f>IFERROR(AVERAGEIFS(E$2:E$463,A$2:A$463,"&gt;="&amp;DATE(YEAR(TODAY()),MONTH(TODAY()),1),A$2:A$463,"&lt;"&amp;DATE(YEAR(TODAY()),MONTH(TODAY())+1,1),B$2:B$463,$B$466),"")</f>
        <v/>
      </c>
      <c r="F466" s="11">
        <f>IFERROR(SUMPRODUCT((YEAR(A$2:A$463)=YEAR(TODAY()))*(MONTH(A$2:A$463)=MONTH(TODAY()))*(B$2:B$463=$B$466)*(F$2:F$463),"")</f>
        <v/>
      </c>
    </row>
    <row r="467">
      <c r="B467" s="2" t="inlineStr">
        <is>
          <t>5系三元材料</t>
        </is>
      </c>
      <c r="C467" s="10">
        <f>IFERROR(AVERAGEIFS(C$2:C$463,A$2:A$463,"&gt;="&amp;DATE(YEAR(TODAY()),MONTH(TODAY()),1),A$2:A$463,"&lt;"&amp;DATE(YEAR(TODAY()),MONTH(TODAY())+1,1),B$2:B$463,$B$467),"")</f>
        <v/>
      </c>
      <c r="D467" s="10">
        <f>IFERROR(AVERAGEIFS(D$2:D$463,A$2:A$463,"&gt;="&amp;DATE(YEAR(TODAY()),MONTH(TODAY()),1),A$2:A$463,"&lt;"&amp;DATE(YEAR(TODAY()),MONTH(TODAY())+1,1),B$2:B$463,$B$467),"")</f>
        <v/>
      </c>
      <c r="E467" s="10">
        <f>IFERROR(AVERAGEIFS(E$2:E$463,A$2:A$463,"&gt;="&amp;DATE(YEAR(TODAY()),MONTH(TODAY()),1),A$2:A$463,"&lt;"&amp;DATE(YEAR(TODAY()),MONTH(TODAY())+1,1),B$2:B$463,$B$467),"")</f>
        <v/>
      </c>
      <c r="F467" s="11">
        <f>IFERROR(SUMPRODUCT((YEAR(A$2:A$463)=YEAR(TODAY()))*(MONTH(A$2:A$463)=MONTH(TODAY()))*(B$2:B$463=$B$467)*(F$2:F$463),"")</f>
        <v/>
      </c>
    </row>
    <row r="468">
      <c r="B468" s="2" t="inlineStr">
        <is>
          <t>6系三元前驱体（单晶/动力型）</t>
        </is>
      </c>
      <c r="C468" s="10">
        <f>IFERROR(AVERAGEIFS(C$2:C$463,A$2:A$463,"&gt;="&amp;DATE(YEAR(TODAY()),MONTH(TODAY()),1),A$2:A$463,"&lt;"&amp;DATE(YEAR(TODAY()),MONTH(TODAY())+1,1),B$2:B$463,$B$468),"")</f>
        <v/>
      </c>
      <c r="D468" s="10">
        <f>IFERROR(AVERAGEIFS(D$2:D$463,A$2:A$463,"&gt;="&amp;DATE(YEAR(TODAY()),MONTH(TODAY()),1),A$2:A$463,"&lt;"&amp;DATE(YEAR(TODAY()),MONTH(TODAY())+1,1),B$2:B$463,$B$468),"")</f>
        <v/>
      </c>
      <c r="E468" s="10">
        <f>IFERROR(AVERAGEIFS(E$2:E$463,A$2:A$463,"&gt;="&amp;DATE(YEAR(TODAY()),MONTH(TODAY()),1),A$2:A$463,"&lt;"&amp;DATE(YEAR(TODAY()),MONTH(TODAY())+1,1),B$2:B$463,$B$468),"")</f>
        <v/>
      </c>
      <c r="F468" s="11">
        <f>IFERROR(SUMPRODUCT((YEAR(A$2:A$463)=YEAR(TODAY()))*(MONTH(A$2:A$463)=MONTH(TODAY()))*(B$2:B$463=$B$468)*(F$2:F$463),"")</f>
        <v/>
      </c>
    </row>
    <row r="469">
      <c r="B469" s="2" t="inlineStr">
        <is>
          <t>6系三元材料（单晶/动力型）</t>
        </is>
      </c>
      <c r="C469" s="10">
        <f>IFERROR(AVERAGEIFS(C$2:C$463,A$2:A$463,"&gt;="&amp;DATE(YEAR(TODAY()),MONTH(TODAY()),1),A$2:A$463,"&lt;"&amp;DATE(YEAR(TODAY()),MONTH(TODAY())+1,1),B$2:B$463,$B$469),"")</f>
        <v/>
      </c>
      <c r="D469" s="10">
        <f>IFERROR(AVERAGEIFS(D$2:D$463,A$2:A$463,"&gt;="&amp;DATE(YEAR(TODAY()),MONTH(TODAY()),1),A$2:A$463,"&lt;"&amp;DATE(YEAR(TODAY()),MONTH(TODAY())+1,1),B$2:B$463,$B$469),"")</f>
        <v/>
      </c>
      <c r="E469" s="10">
        <f>IFERROR(AVERAGEIFS(E$2:E$463,A$2:A$463,"&gt;="&amp;DATE(YEAR(TODAY()),MONTH(TODAY()),1),A$2:A$463,"&lt;"&amp;DATE(YEAR(TODAY()),MONTH(TODAY())+1,1),B$2:B$463,$B$469),"")</f>
        <v/>
      </c>
      <c r="F469" s="11">
        <f>IFERROR(SUMPRODUCT((YEAR(A$2:A$463)=YEAR(TODAY()))*(MONTH(A$2:A$463)=MONTH(TODAY()))*(B$2:B$463=$B$469)*(F$2:F$463),"")</f>
        <v/>
      </c>
    </row>
    <row r="470">
      <c r="B470" s="2" t="inlineStr">
        <is>
          <t>8系三元前驱体（多晶/动力型）</t>
        </is>
      </c>
      <c r="C470" s="10">
        <f>IFERROR(AVERAGEIFS(C$2:C$463,A$2:A$463,"&gt;="&amp;DATE(YEAR(TODAY()),MONTH(TODAY()),1),A$2:A$463,"&lt;"&amp;DATE(YEAR(TODAY()),MONTH(TODAY())+1,1),B$2:B$463,$B$470),"")</f>
        <v/>
      </c>
      <c r="D470" s="10">
        <f>IFERROR(AVERAGEIFS(D$2:D$463,A$2:A$463,"&gt;="&amp;DATE(YEAR(TODAY()),MONTH(TODAY()),1),A$2:A$463,"&lt;"&amp;DATE(YEAR(TODAY()),MONTH(TODAY())+1,1),B$2:B$463,$B$470),"")</f>
        <v/>
      </c>
      <c r="E470" s="10">
        <f>IFERROR(AVERAGEIFS(E$2:E$463,A$2:A$463,"&gt;="&amp;DATE(YEAR(TODAY()),MONTH(TODAY()),1),A$2:A$463,"&lt;"&amp;DATE(YEAR(TODAY()),MONTH(TODAY())+1,1),B$2:B$463,$B$470),"")</f>
        <v/>
      </c>
      <c r="F470" s="11">
        <f>IFERROR(SUMPRODUCT((YEAR(A$2:A$463)=YEAR(TODAY()))*(MONTH(A$2:A$463)=MONTH(TODAY()))*(B$2:B$463=$B$470)*(F$2:F$463),"")</f>
        <v/>
      </c>
    </row>
    <row r="471">
      <c r="B471" s="2" t="inlineStr">
        <is>
          <t>8系三元材料</t>
        </is>
      </c>
      <c r="C471" s="10">
        <f>IFERROR(AVERAGEIFS(C$2:C$463,A$2:A$463,"&gt;="&amp;DATE(YEAR(TODAY()),MONTH(TODAY()),1),A$2:A$463,"&lt;"&amp;DATE(YEAR(TODAY()),MONTH(TODAY())+1,1),B$2:B$463,$B$471),"")</f>
        <v/>
      </c>
      <c r="D471" s="10">
        <f>IFERROR(AVERAGEIFS(D$2:D$463,A$2:A$463,"&gt;="&amp;DATE(YEAR(TODAY()),MONTH(TODAY()),1),A$2:A$463,"&lt;"&amp;DATE(YEAR(TODAY()),MONTH(TODAY())+1,1),B$2:B$463,$B$471),"")</f>
        <v/>
      </c>
      <c r="E471" s="10">
        <f>IFERROR(AVERAGEIFS(E$2:E$463,A$2:A$463,"&gt;="&amp;DATE(YEAR(TODAY()),MONTH(TODAY()),1),A$2:A$463,"&lt;"&amp;DATE(YEAR(TODAY()),MONTH(TODAY())+1,1),B$2:B$463,$B$471),"")</f>
        <v/>
      </c>
      <c r="F471" s="11">
        <f>IFERROR(SUMPRODUCT((YEAR(A$2:A$463)=YEAR(TODAY()))*(MONTH(A$2:A$463)=MONTH(TODAY()))*(B$2:B$463=$B$471)*(F$2:F$463),"")</f>
        <v/>
      </c>
    </row>
    <row r="472">
      <c r="B472" s="2" t="inlineStr">
        <is>
          <t>MHP系数（对SMM电池级硫酸镍指数）</t>
        </is>
      </c>
      <c r="C472" s="10">
        <f>IFERROR(AVERAGEIFS(C$2:C$463,A$2:A$463,"&gt;="&amp;DATE(YEAR(TODAY()),MONTH(TODAY()),1),A$2:A$463,"&lt;"&amp;DATE(YEAR(TODAY()),MONTH(TODAY())+1,1),B$2:B$463,$B$472),"")</f>
        <v/>
      </c>
      <c r="D472" s="10">
        <f>IFERROR(AVERAGEIFS(D$2:D$463,A$2:A$463,"&gt;="&amp;DATE(YEAR(TODAY()),MONTH(TODAY()),1),A$2:A$463,"&lt;"&amp;DATE(YEAR(TODAY()),MONTH(TODAY())+1,1),B$2:B$463,$B$472),"")</f>
        <v/>
      </c>
      <c r="E472" s="10">
        <f>IFERROR(AVERAGEIFS(E$2:E$463,A$2:A$463,"&gt;="&amp;DATE(YEAR(TODAY()),MONTH(TODAY()),1),A$2:A$463,"&lt;"&amp;DATE(YEAR(TODAY()),MONTH(TODAY())+1,1),B$2:B$463,$B$472),"")</f>
        <v/>
      </c>
      <c r="F472" s="11">
        <f>IFERROR(SUMPRODUCT((YEAR(A$2:A$463)=YEAR(TODAY()))*(MONTH(A$2:A$463)=MONTH(TODAY()))*(B$2:B$463=$B$472)*(F$2:F$463),"")</f>
        <v/>
      </c>
    </row>
    <row r="473">
      <c r="B473" s="2" t="inlineStr">
        <is>
          <t>MHP钴元素计价系数（对SMM硫酸钴均价）</t>
        </is>
      </c>
      <c r="C473" s="10">
        <f>IFERROR(AVERAGEIFS(C$2:C$463,A$2:A$463,"&gt;="&amp;DATE(YEAR(TODAY()),MONTH(TODAY()),1),A$2:A$463,"&lt;"&amp;DATE(YEAR(TODAY()),MONTH(TODAY())+1,1),B$2:B$463,$B$473),"")</f>
        <v/>
      </c>
      <c r="D473" s="10">
        <f>IFERROR(AVERAGEIFS(D$2:D$463,A$2:A$463,"&gt;="&amp;DATE(YEAR(TODAY()),MONTH(TODAY()),1),A$2:A$463,"&lt;"&amp;DATE(YEAR(TODAY()),MONTH(TODAY())+1,1),B$2:B$463,$B$473),"")</f>
        <v/>
      </c>
      <c r="E473" s="10">
        <f>IFERROR(AVERAGEIFS(E$2:E$463,A$2:A$463,"&gt;="&amp;DATE(YEAR(TODAY()),MONTH(TODAY()),1),A$2:A$463,"&lt;"&amp;DATE(YEAR(TODAY()),MONTH(TODAY())+1,1),B$2:B$463,$B$473),"")</f>
        <v/>
      </c>
      <c r="F473" s="11">
        <f>IFERROR(SUMPRODUCT((YEAR(A$2:A$463)=YEAR(TODAY()))*(MONTH(A$2:A$463)=MONTH(TODAY()))*(B$2:B$463=$B$473)*(F$2:F$463),"")</f>
        <v/>
      </c>
    </row>
    <row r="474">
      <c r="B474" s="2" t="inlineStr">
        <is>
          <t>NCA三元材料</t>
        </is>
      </c>
      <c r="C474" s="10">
        <f>IFERROR(AVERAGEIFS(C$2:C$463,A$2:A$463,"&gt;="&amp;DATE(YEAR(TODAY()),MONTH(TODAY()),1),A$2:A$463,"&lt;"&amp;DATE(YEAR(TODAY()),MONTH(TODAY())+1,1),B$2:B$463,$B$474),"")</f>
        <v/>
      </c>
      <c r="D474" s="10">
        <f>IFERROR(AVERAGEIFS(D$2:D$463,A$2:A$463,"&gt;="&amp;DATE(YEAR(TODAY()),MONTH(TODAY()),1),A$2:A$463,"&lt;"&amp;DATE(YEAR(TODAY()),MONTH(TODAY())+1,1),B$2:B$463,$B$474),"")</f>
        <v/>
      </c>
      <c r="E474" s="10">
        <f>IFERROR(AVERAGEIFS(E$2:E$463,A$2:A$463,"&gt;="&amp;DATE(YEAR(TODAY()),MONTH(TODAY()),1),A$2:A$463,"&lt;"&amp;DATE(YEAR(TODAY()),MONTH(TODAY())+1,1),B$2:B$463,$B$474),"")</f>
        <v/>
      </c>
      <c r="F474" s="11">
        <f>IFERROR(SUMPRODUCT((YEAR(A$2:A$463)=YEAR(TODAY()))*(MONTH(A$2:A$463)=MONTH(TODAY()))*(B$2:B$463=$B$474)*(F$2:F$463),"")</f>
        <v/>
      </c>
    </row>
    <row r="475">
      <c r="B475" s="2" t="inlineStr">
        <is>
          <t>SMM三元极片粉钴系数指数</t>
        </is>
      </c>
      <c r="C475" s="10">
        <f>IFERROR(AVERAGEIFS(C$2:C$463,A$2:A$463,"&gt;="&amp;DATE(YEAR(TODAY()),MONTH(TODAY()),1),A$2:A$463,"&lt;"&amp;DATE(YEAR(TODAY()),MONTH(TODAY())+1,1),B$2:B$463,$B$475),"")</f>
        <v/>
      </c>
      <c r="D475" s="10">
        <f>IFERROR(AVERAGEIFS(D$2:D$463,A$2:A$463,"&gt;="&amp;DATE(YEAR(TODAY()),MONTH(TODAY()),1),A$2:A$463,"&lt;"&amp;DATE(YEAR(TODAY()),MONTH(TODAY())+1,1),B$2:B$463,$B$475),"")</f>
        <v/>
      </c>
      <c r="E475" s="10">
        <f>IFERROR(AVERAGEIFS(E$2:E$463,A$2:A$463,"&gt;="&amp;DATE(YEAR(TODAY()),MONTH(TODAY()),1),A$2:A$463,"&lt;"&amp;DATE(YEAR(TODAY()),MONTH(TODAY())+1,1),B$2:B$463,$B$475),"")</f>
        <v/>
      </c>
      <c r="F475" s="11">
        <f>IFERROR(SUMPRODUCT((YEAR(A$2:A$463)=YEAR(TODAY()))*(MONTH(A$2:A$463)=MONTH(TODAY()))*(B$2:B$463=$B$475)*(F$2:F$463),"")</f>
        <v/>
      </c>
    </row>
    <row r="476">
      <c r="B476" s="2" t="inlineStr">
        <is>
          <t>SMM三元极片粉锂系数指数</t>
        </is>
      </c>
      <c r="C476" s="10">
        <f>IFERROR(AVERAGEIFS(C$2:C$463,A$2:A$463,"&gt;="&amp;DATE(YEAR(TODAY()),MONTH(TODAY()),1),A$2:A$463,"&lt;"&amp;DATE(YEAR(TODAY()),MONTH(TODAY())+1,1),B$2:B$463,$B$476),"")</f>
        <v/>
      </c>
      <c r="D476" s="10">
        <f>IFERROR(AVERAGEIFS(D$2:D$463,A$2:A$463,"&gt;="&amp;DATE(YEAR(TODAY()),MONTH(TODAY()),1),A$2:A$463,"&lt;"&amp;DATE(YEAR(TODAY()),MONTH(TODAY())+1,1),B$2:B$463,$B$476),"")</f>
        <v/>
      </c>
      <c r="E476" s="10">
        <f>IFERROR(AVERAGEIFS(E$2:E$463,A$2:A$463,"&gt;="&amp;DATE(YEAR(TODAY()),MONTH(TODAY()),1),A$2:A$463,"&lt;"&amp;DATE(YEAR(TODAY()),MONTH(TODAY())+1,1),B$2:B$463,$B$476),"")</f>
        <v/>
      </c>
      <c r="F476" s="11">
        <f>IFERROR(SUMPRODUCT((YEAR(A$2:A$463)=YEAR(TODAY()))*(MONTH(A$2:A$463)=MONTH(TODAY()))*(B$2:B$463=$B$476)*(F$2:F$463),"")</f>
        <v/>
      </c>
    </row>
    <row r="477">
      <c r="B477" s="2" t="inlineStr">
        <is>
          <t>SMM三元极片粉镍系数指数</t>
        </is>
      </c>
      <c r="C477" s="10">
        <f>IFERROR(AVERAGEIFS(C$2:C$463,A$2:A$463,"&gt;="&amp;DATE(YEAR(TODAY()),MONTH(TODAY()),1),A$2:A$463,"&lt;"&amp;DATE(YEAR(TODAY()),MONTH(TODAY())+1,1),B$2:B$463,$B$477),"")</f>
        <v/>
      </c>
      <c r="D477" s="10">
        <f>IFERROR(AVERAGEIFS(D$2:D$463,A$2:A$463,"&gt;="&amp;DATE(YEAR(TODAY()),MONTH(TODAY()),1),A$2:A$463,"&lt;"&amp;DATE(YEAR(TODAY()),MONTH(TODAY())+1,1),B$2:B$463,$B$477),"")</f>
        <v/>
      </c>
      <c r="E477" s="10">
        <f>IFERROR(AVERAGEIFS(E$2:E$463,A$2:A$463,"&gt;="&amp;DATE(YEAR(TODAY()),MONTH(TODAY()),1),A$2:A$463,"&lt;"&amp;DATE(YEAR(TODAY()),MONTH(TODAY())+1,1),B$2:B$463,$B$477),"")</f>
        <v/>
      </c>
      <c r="F477" s="11">
        <f>IFERROR(SUMPRODUCT((YEAR(A$2:A$463)=YEAR(TODAY()))*(MONTH(A$2:A$463)=MONTH(TODAY()))*(B$2:B$463=$B$477)*(F$2:F$463),"")</f>
        <v/>
      </c>
    </row>
    <row r="478">
      <c r="B478" s="2" t="inlineStr">
        <is>
          <t>SMM三元电池粉钴系数指数</t>
        </is>
      </c>
      <c r="C478" s="10">
        <f>IFERROR(AVERAGEIFS(C$2:C$463,A$2:A$463,"&gt;="&amp;DATE(YEAR(TODAY()),MONTH(TODAY()),1),A$2:A$463,"&lt;"&amp;DATE(YEAR(TODAY()),MONTH(TODAY())+1,1),B$2:B$463,$B$478),"")</f>
        <v/>
      </c>
      <c r="D478" s="10">
        <f>IFERROR(AVERAGEIFS(D$2:D$463,A$2:A$463,"&gt;="&amp;DATE(YEAR(TODAY()),MONTH(TODAY()),1),A$2:A$463,"&lt;"&amp;DATE(YEAR(TODAY()),MONTH(TODAY())+1,1),B$2:B$463,$B$478),"")</f>
        <v/>
      </c>
      <c r="E478" s="10">
        <f>IFERROR(AVERAGEIFS(E$2:E$463,A$2:A$463,"&gt;="&amp;DATE(YEAR(TODAY()),MONTH(TODAY()),1),A$2:A$463,"&lt;"&amp;DATE(YEAR(TODAY()),MONTH(TODAY())+1,1),B$2:B$463,$B$478),"")</f>
        <v/>
      </c>
      <c r="F478" s="11">
        <f>IFERROR(SUMPRODUCT((YEAR(A$2:A$463)=YEAR(TODAY()))*(MONTH(A$2:A$463)=MONTH(TODAY()))*(B$2:B$463=$B$478)*(F$2:F$463),"")</f>
        <v/>
      </c>
    </row>
    <row r="479">
      <c r="B479" s="2" t="inlineStr">
        <is>
          <t>SMM三元电池粉锂系数指数</t>
        </is>
      </c>
      <c r="C479" s="10">
        <f>IFERROR(AVERAGEIFS(C$2:C$463,A$2:A$463,"&gt;="&amp;DATE(YEAR(TODAY()),MONTH(TODAY()),1),A$2:A$463,"&lt;"&amp;DATE(YEAR(TODAY()),MONTH(TODAY())+1,1),B$2:B$463,$B$479),"")</f>
        <v/>
      </c>
      <c r="D479" s="10">
        <f>IFERROR(AVERAGEIFS(D$2:D$463,A$2:A$463,"&gt;="&amp;DATE(YEAR(TODAY()),MONTH(TODAY()),1),A$2:A$463,"&lt;"&amp;DATE(YEAR(TODAY()),MONTH(TODAY())+1,1),B$2:B$463,$B$479),"")</f>
        <v/>
      </c>
      <c r="E479" s="10">
        <f>IFERROR(AVERAGEIFS(E$2:E$463,A$2:A$463,"&gt;="&amp;DATE(YEAR(TODAY()),MONTH(TODAY()),1),A$2:A$463,"&lt;"&amp;DATE(YEAR(TODAY()),MONTH(TODAY())+1,1),B$2:B$463,$B$479),"")</f>
        <v/>
      </c>
      <c r="F479" s="11">
        <f>IFERROR(SUMPRODUCT((YEAR(A$2:A$463)=YEAR(TODAY()))*(MONTH(A$2:A$463)=MONTH(TODAY()))*(B$2:B$463=$B$479)*(F$2:F$463),"")</f>
        <v/>
      </c>
    </row>
    <row r="480">
      <c r="B480" s="2" t="inlineStr">
        <is>
          <t>SMM三元电池粉镍系数指数</t>
        </is>
      </c>
      <c r="C480" s="10">
        <f>IFERROR(AVERAGEIFS(C$2:C$463,A$2:A$463,"&gt;="&amp;DATE(YEAR(TODAY()),MONTH(TODAY()),1),A$2:A$463,"&lt;"&amp;DATE(YEAR(TODAY()),MONTH(TODAY())+1,1),B$2:B$463,$B$480),"")</f>
        <v/>
      </c>
      <c r="D480" s="10">
        <f>IFERROR(AVERAGEIFS(D$2:D$463,A$2:A$463,"&gt;="&amp;DATE(YEAR(TODAY()),MONTH(TODAY()),1),A$2:A$463,"&lt;"&amp;DATE(YEAR(TODAY()),MONTH(TODAY())+1,1),B$2:B$463,$B$480),"")</f>
        <v/>
      </c>
      <c r="E480" s="10">
        <f>IFERROR(AVERAGEIFS(E$2:E$463,A$2:A$463,"&gt;="&amp;DATE(YEAR(TODAY()),MONTH(TODAY()),1),A$2:A$463,"&lt;"&amp;DATE(YEAR(TODAY()),MONTH(TODAY())+1,1),B$2:B$463,$B$480),"")</f>
        <v/>
      </c>
      <c r="F480" s="11">
        <f>IFERROR(SUMPRODUCT((YEAR(A$2:A$463)=YEAR(TODAY()))*(MONTH(A$2:A$463)=MONTH(TODAY()))*(B$2:B$463=$B$480)*(F$2:F$463),"")</f>
        <v/>
      </c>
    </row>
    <row r="481">
      <c r="B481" s="2" t="inlineStr">
        <is>
          <t>SMM六氟磷酸锂指数</t>
        </is>
      </c>
      <c r="C481" s="10">
        <f>IFERROR(AVERAGEIFS(C$2:C$463,A$2:A$463,"&gt;="&amp;DATE(YEAR(TODAY()),MONTH(TODAY()),1),A$2:A$463,"&lt;"&amp;DATE(YEAR(TODAY()),MONTH(TODAY())+1,1),B$2:B$463,$B$481),"")</f>
        <v/>
      </c>
      <c r="D481" s="10">
        <f>IFERROR(AVERAGEIFS(D$2:D$463,A$2:A$463,"&gt;="&amp;DATE(YEAR(TODAY()),MONTH(TODAY()),1),A$2:A$463,"&lt;"&amp;DATE(YEAR(TODAY()),MONTH(TODAY())+1,1),B$2:B$463,$B$481),"")</f>
        <v/>
      </c>
      <c r="E481" s="10">
        <f>IFERROR(AVERAGEIFS(E$2:E$463,A$2:A$463,"&gt;="&amp;DATE(YEAR(TODAY()),MONTH(TODAY()),1),A$2:A$463,"&lt;"&amp;DATE(YEAR(TODAY()),MONTH(TODAY())+1,1),B$2:B$463,$B$481),"")</f>
        <v/>
      </c>
      <c r="F481" s="11">
        <f>IFERROR(SUMPRODUCT((YEAR(A$2:A$463)=YEAR(TODAY()))*(MONTH(A$2:A$463)=MONTH(TODAY()))*(B$2:B$463=$B$481)*(F$2:F$463),"")</f>
        <v/>
      </c>
    </row>
    <row r="482">
      <c r="B482" s="2" t="inlineStr">
        <is>
          <t>SMM电池级氢氧化锂指数</t>
        </is>
      </c>
      <c r="C482" s="10">
        <f>IFERROR(AVERAGEIFS(C$2:C$463,A$2:A$463,"&gt;="&amp;DATE(YEAR(TODAY()),MONTH(TODAY()),1),A$2:A$463,"&lt;"&amp;DATE(YEAR(TODAY()),MONTH(TODAY())+1,1),B$2:B$463,$B$482),"")</f>
        <v/>
      </c>
      <c r="D482" s="10">
        <f>IFERROR(AVERAGEIFS(D$2:D$463,A$2:A$463,"&gt;="&amp;DATE(YEAR(TODAY()),MONTH(TODAY()),1),A$2:A$463,"&lt;"&amp;DATE(YEAR(TODAY()),MONTH(TODAY())+1,1),B$2:B$463,$B$482),"")</f>
        <v/>
      </c>
      <c r="E482" s="10">
        <f>IFERROR(AVERAGEIFS(E$2:E$463,A$2:A$463,"&gt;="&amp;DATE(YEAR(TODAY()),MONTH(TODAY()),1),A$2:A$463,"&lt;"&amp;DATE(YEAR(TODAY()),MONTH(TODAY())+1,1),B$2:B$463,$B$482),"")</f>
        <v/>
      </c>
      <c r="F482" s="11">
        <f>IFERROR(SUMPRODUCT((YEAR(A$2:A$463)=YEAR(TODAY()))*(MONTH(A$2:A$463)=MONTH(TODAY()))*(B$2:B$463=$B$482)*(F$2:F$463),"")</f>
        <v/>
      </c>
    </row>
    <row r="483">
      <c r="B483" s="2" t="inlineStr">
        <is>
          <t>SMM电池级硫酸锰指数</t>
        </is>
      </c>
      <c r="C483" s="10">
        <f>IFERROR(AVERAGEIFS(C$2:C$463,A$2:A$463,"&gt;="&amp;DATE(YEAR(TODAY()),MONTH(TODAY()),1),A$2:A$463,"&lt;"&amp;DATE(YEAR(TODAY()),MONTH(TODAY())+1,1),B$2:B$463,$B$483),"")</f>
        <v/>
      </c>
      <c r="D483" s="10">
        <f>IFERROR(AVERAGEIFS(D$2:D$463,A$2:A$463,"&gt;="&amp;DATE(YEAR(TODAY()),MONTH(TODAY()),1),A$2:A$463,"&lt;"&amp;DATE(YEAR(TODAY()),MONTH(TODAY())+1,1),B$2:B$463,$B$483),"")</f>
        <v/>
      </c>
      <c r="E483" s="10">
        <f>IFERROR(AVERAGEIFS(E$2:E$463,A$2:A$463,"&gt;="&amp;DATE(YEAR(TODAY()),MONTH(TODAY()),1),A$2:A$463,"&lt;"&amp;DATE(YEAR(TODAY()),MONTH(TODAY())+1,1),B$2:B$463,$B$483),"")</f>
        <v/>
      </c>
      <c r="F483" s="11">
        <f>IFERROR(SUMPRODUCT((YEAR(A$2:A$463)=YEAR(TODAY()))*(MONTH(A$2:A$463)=MONTH(TODAY()))*(B$2:B$463=$B$483)*(F$2:F$463),"")</f>
        <v/>
      </c>
    </row>
    <row r="484">
      <c r="B484" s="2" t="inlineStr">
        <is>
          <t>SMM电池级硫酸镍指数</t>
        </is>
      </c>
      <c r="C484" s="10">
        <f>IFERROR(AVERAGEIFS(C$2:C$463,A$2:A$463,"&gt;="&amp;DATE(YEAR(TODAY()),MONTH(TODAY()),1),A$2:A$463,"&lt;"&amp;DATE(YEAR(TODAY()),MONTH(TODAY())+1,1),B$2:B$463,$B$484),"")</f>
        <v/>
      </c>
      <c r="D484" s="10">
        <f>IFERROR(AVERAGEIFS(D$2:D$463,A$2:A$463,"&gt;="&amp;DATE(YEAR(TODAY()),MONTH(TODAY()),1),A$2:A$463,"&lt;"&amp;DATE(YEAR(TODAY()),MONTH(TODAY())+1,1),B$2:B$463,$B$484),"")</f>
        <v/>
      </c>
      <c r="E484" s="10">
        <f>IFERROR(AVERAGEIFS(E$2:E$463,A$2:A$463,"&gt;="&amp;DATE(YEAR(TODAY()),MONTH(TODAY()),1),A$2:A$463,"&lt;"&amp;DATE(YEAR(TODAY()),MONTH(TODAY())+1,1),B$2:B$463,$B$484),"")</f>
        <v/>
      </c>
      <c r="F484" s="11">
        <f>IFERROR(SUMPRODUCT((YEAR(A$2:A$463)=YEAR(TODAY()))*(MONTH(A$2:A$463)=MONTH(TODAY()))*(B$2:B$463=$B$484)*(F$2:F$463),"")</f>
        <v/>
      </c>
    </row>
    <row r="485">
      <c r="B485" s="2" t="inlineStr">
        <is>
          <t>SMM电池级碳酸锂指数</t>
        </is>
      </c>
      <c r="C485" s="10">
        <f>IFERROR(AVERAGEIFS(C$2:C$463,A$2:A$463,"&gt;="&amp;DATE(YEAR(TODAY()),MONTH(TODAY()),1),A$2:A$463,"&lt;"&amp;DATE(YEAR(TODAY()),MONTH(TODAY())+1,1),B$2:B$463,$B$485),"")</f>
        <v/>
      </c>
      <c r="D485" s="10">
        <f>IFERROR(AVERAGEIFS(D$2:D$463,A$2:A$463,"&gt;="&amp;DATE(YEAR(TODAY()),MONTH(TODAY()),1),A$2:A$463,"&lt;"&amp;DATE(YEAR(TODAY()),MONTH(TODAY())+1,1),B$2:B$463,$B$485),"")</f>
        <v/>
      </c>
      <c r="E485" s="10">
        <f>IFERROR(AVERAGEIFS(E$2:E$463,A$2:A$463,"&gt;="&amp;DATE(YEAR(TODAY()),MONTH(TODAY()),1),A$2:A$463,"&lt;"&amp;DATE(YEAR(TODAY()),MONTH(TODAY())+1,1),B$2:B$463,$B$485),"")</f>
        <v/>
      </c>
      <c r="F485" s="11">
        <f>IFERROR(SUMPRODUCT((YEAR(A$2:A$463)=YEAR(TODAY()))*(MONTH(A$2:A$463)=MONTH(TODAY()))*(B$2:B$463=$B$485)*(F$2:F$463),"")</f>
        <v/>
      </c>
    </row>
    <row r="486">
      <c r="B486" s="2" t="inlineStr">
        <is>
          <t>SMM硫酸钴指数</t>
        </is>
      </c>
      <c r="C486" s="10">
        <f>IFERROR(AVERAGEIFS(C$2:C$463,A$2:A$463,"&gt;="&amp;DATE(YEAR(TODAY()),MONTH(TODAY()),1),A$2:A$463,"&lt;"&amp;DATE(YEAR(TODAY()),MONTH(TODAY())+1,1),B$2:B$463,$B$486),"")</f>
        <v/>
      </c>
      <c r="D486" s="10">
        <f>IFERROR(AVERAGEIFS(D$2:D$463,A$2:A$463,"&gt;="&amp;DATE(YEAR(TODAY()),MONTH(TODAY()),1),A$2:A$463,"&lt;"&amp;DATE(YEAR(TODAY()),MONTH(TODAY())+1,1),B$2:B$463,$B$486),"")</f>
        <v/>
      </c>
      <c r="E486" s="10">
        <f>IFERROR(AVERAGEIFS(E$2:E$463,A$2:A$463,"&gt;="&amp;DATE(YEAR(TODAY()),MONTH(TODAY()),1),A$2:A$463,"&lt;"&amp;DATE(YEAR(TODAY()),MONTH(TODAY())+1,1),B$2:B$463,$B$486),"")</f>
        <v/>
      </c>
      <c r="F486" s="11">
        <f>IFERROR(SUMPRODUCT((YEAR(A$2:A$463)=YEAR(TODAY()))*(MONTH(A$2:A$463)=MONTH(TODAY()))*(B$2:B$463=$B$486)*(F$2:F$463),"")</f>
        <v/>
      </c>
    </row>
    <row r="487">
      <c r="B487" s="2" t="inlineStr">
        <is>
          <t>SMM磷酸铁锂极片粉指数</t>
        </is>
      </c>
      <c r="C487" s="10">
        <f>IFERROR(AVERAGEIFS(C$2:C$463,A$2:A$463,"&gt;="&amp;DATE(YEAR(TODAY()),MONTH(TODAY()),1),A$2:A$463,"&lt;"&amp;DATE(YEAR(TODAY()),MONTH(TODAY())+1,1),B$2:B$463,$B$487),"")</f>
        <v/>
      </c>
      <c r="D487" s="10">
        <f>IFERROR(AVERAGEIFS(D$2:D$463,A$2:A$463,"&gt;="&amp;DATE(YEAR(TODAY()),MONTH(TODAY()),1),A$2:A$463,"&lt;"&amp;DATE(YEAR(TODAY()),MONTH(TODAY())+1,1),B$2:B$463,$B$487),"")</f>
        <v/>
      </c>
      <c r="E487" s="10">
        <f>IFERROR(AVERAGEIFS(E$2:E$463,A$2:A$463,"&gt;="&amp;DATE(YEAR(TODAY()),MONTH(TODAY()),1),A$2:A$463,"&lt;"&amp;DATE(YEAR(TODAY()),MONTH(TODAY())+1,1),B$2:B$463,$B$487),"")</f>
        <v/>
      </c>
      <c r="F487" s="11">
        <f>IFERROR(SUMPRODUCT((YEAR(A$2:A$463)=YEAR(TODAY()))*(MONTH(A$2:A$463)=MONTH(TODAY()))*(B$2:B$463=$B$487)*(F$2:F$463),"")</f>
        <v/>
      </c>
    </row>
    <row r="488">
      <c r="B488" s="2" t="inlineStr">
        <is>
          <t>SMM磷酸铁锂电池粉指数</t>
        </is>
      </c>
      <c r="C488" s="10">
        <f>IFERROR(AVERAGEIFS(C$2:C$463,A$2:A$463,"&gt;="&amp;DATE(YEAR(TODAY()),MONTH(TODAY()),1),A$2:A$463,"&lt;"&amp;DATE(YEAR(TODAY()),MONTH(TODAY())+1,1),B$2:B$463,$B$488),"")</f>
        <v/>
      </c>
      <c r="D488" s="10">
        <f>IFERROR(AVERAGEIFS(D$2:D$463,A$2:A$463,"&gt;="&amp;DATE(YEAR(TODAY()),MONTH(TODAY()),1),A$2:A$463,"&lt;"&amp;DATE(YEAR(TODAY()),MONTH(TODAY())+1,1),B$2:B$463,$B$488),"")</f>
        <v/>
      </c>
      <c r="E488" s="10">
        <f>IFERROR(AVERAGEIFS(E$2:E$463,A$2:A$463,"&gt;="&amp;DATE(YEAR(TODAY()),MONTH(TODAY()),1),A$2:A$463,"&lt;"&amp;DATE(YEAR(TODAY()),MONTH(TODAY())+1,1),B$2:B$463,$B$488),"")</f>
        <v/>
      </c>
      <c r="F488" s="11">
        <f>IFERROR(SUMPRODUCT((YEAR(A$2:A$463)=YEAR(TODAY()))*(MONTH(A$2:A$463)=MONTH(TODAY()))*(B$2:B$463=$B$488)*(F$2:F$463),"")</f>
        <v/>
      </c>
    </row>
    <row r="489">
      <c r="B489" s="2" t="inlineStr">
        <is>
          <t>SMM钴酸锂极片粉钴系数指数</t>
        </is>
      </c>
      <c r="C489" s="10">
        <f>IFERROR(AVERAGEIFS(C$2:C$463,A$2:A$463,"&gt;="&amp;DATE(YEAR(TODAY()),MONTH(TODAY()),1),A$2:A$463,"&lt;"&amp;DATE(YEAR(TODAY()),MONTH(TODAY())+1,1),B$2:B$463,$B$489),"")</f>
        <v/>
      </c>
      <c r="D489" s="10">
        <f>IFERROR(AVERAGEIFS(D$2:D$463,A$2:A$463,"&gt;="&amp;DATE(YEAR(TODAY()),MONTH(TODAY()),1),A$2:A$463,"&lt;"&amp;DATE(YEAR(TODAY()),MONTH(TODAY())+1,1),B$2:B$463,$B$489),"")</f>
        <v/>
      </c>
      <c r="E489" s="10">
        <f>IFERROR(AVERAGEIFS(E$2:E$463,A$2:A$463,"&gt;="&amp;DATE(YEAR(TODAY()),MONTH(TODAY()),1),A$2:A$463,"&lt;"&amp;DATE(YEAR(TODAY()),MONTH(TODAY())+1,1),B$2:B$463,$B$489),"")</f>
        <v/>
      </c>
      <c r="F489" s="11">
        <f>IFERROR(SUMPRODUCT((YEAR(A$2:A$463)=YEAR(TODAY()))*(MONTH(A$2:A$463)=MONTH(TODAY()))*(B$2:B$463=$B$489)*(F$2:F$463),"")</f>
        <v/>
      </c>
    </row>
    <row r="490">
      <c r="B490" s="2" t="inlineStr">
        <is>
          <t>SMM钴酸锂极片粉锂系数指数</t>
        </is>
      </c>
      <c r="C490" s="10">
        <f>IFERROR(AVERAGEIFS(C$2:C$463,A$2:A$463,"&gt;="&amp;DATE(YEAR(TODAY()),MONTH(TODAY()),1),A$2:A$463,"&lt;"&amp;DATE(YEAR(TODAY()),MONTH(TODAY())+1,1),B$2:B$463,$B$490),"")</f>
        <v/>
      </c>
      <c r="D490" s="10">
        <f>IFERROR(AVERAGEIFS(D$2:D$463,A$2:A$463,"&gt;="&amp;DATE(YEAR(TODAY()),MONTH(TODAY()),1),A$2:A$463,"&lt;"&amp;DATE(YEAR(TODAY()),MONTH(TODAY())+1,1),B$2:B$463,$B$490),"")</f>
        <v/>
      </c>
      <c r="E490" s="10">
        <f>IFERROR(AVERAGEIFS(E$2:E$463,A$2:A$463,"&gt;="&amp;DATE(YEAR(TODAY()),MONTH(TODAY()),1),A$2:A$463,"&lt;"&amp;DATE(YEAR(TODAY()),MONTH(TODAY())+1,1),B$2:B$463,$B$490),"")</f>
        <v/>
      </c>
      <c r="F490" s="11">
        <f>IFERROR(SUMPRODUCT((YEAR(A$2:A$463)=YEAR(TODAY()))*(MONTH(A$2:A$463)=MONTH(TODAY()))*(B$2:B$463=$B$490)*(F$2:F$463),"")</f>
        <v/>
      </c>
    </row>
    <row r="491">
      <c r="B491" s="2" t="inlineStr">
        <is>
          <t>SMM钴酸锂电池粉钴系数指数</t>
        </is>
      </c>
      <c r="C491" s="10">
        <f>IFERROR(AVERAGEIFS(C$2:C$463,A$2:A$463,"&gt;="&amp;DATE(YEAR(TODAY()),MONTH(TODAY()),1),A$2:A$463,"&lt;"&amp;DATE(YEAR(TODAY()),MONTH(TODAY())+1,1),B$2:B$463,$B$491),"")</f>
        <v/>
      </c>
      <c r="D491" s="10">
        <f>IFERROR(AVERAGEIFS(D$2:D$463,A$2:A$463,"&gt;="&amp;DATE(YEAR(TODAY()),MONTH(TODAY()),1),A$2:A$463,"&lt;"&amp;DATE(YEAR(TODAY()),MONTH(TODAY())+1,1),B$2:B$463,$B$491),"")</f>
        <v/>
      </c>
      <c r="E491" s="10">
        <f>IFERROR(AVERAGEIFS(E$2:E$463,A$2:A$463,"&gt;="&amp;DATE(YEAR(TODAY()),MONTH(TODAY()),1),A$2:A$463,"&lt;"&amp;DATE(YEAR(TODAY()),MONTH(TODAY())+1,1),B$2:B$463,$B$491),"")</f>
        <v/>
      </c>
      <c r="F491" s="11">
        <f>IFERROR(SUMPRODUCT((YEAR(A$2:A$463)=YEAR(TODAY()))*(MONTH(A$2:A$463)=MONTH(TODAY()))*(B$2:B$463=$B$491)*(F$2:F$463),"")</f>
        <v/>
      </c>
    </row>
    <row r="492">
      <c r="B492" s="2" t="inlineStr">
        <is>
          <t>SMM钴酸锂电池粉锂系数指数</t>
        </is>
      </c>
      <c r="C492" s="10">
        <f>IFERROR(AVERAGEIFS(C$2:C$463,A$2:A$463,"&gt;="&amp;DATE(YEAR(TODAY()),MONTH(TODAY()),1),A$2:A$463,"&lt;"&amp;DATE(YEAR(TODAY()),MONTH(TODAY())+1,1),B$2:B$463,$B$492),"")</f>
        <v/>
      </c>
      <c r="D492" s="10">
        <f>IFERROR(AVERAGEIFS(D$2:D$463,A$2:A$463,"&gt;="&amp;DATE(YEAR(TODAY()),MONTH(TODAY()),1),A$2:A$463,"&lt;"&amp;DATE(YEAR(TODAY()),MONTH(TODAY())+1,1),B$2:B$463,$B$492),"")</f>
        <v/>
      </c>
      <c r="E492" s="10">
        <f>IFERROR(AVERAGEIFS(E$2:E$463,A$2:A$463,"&gt;="&amp;DATE(YEAR(TODAY()),MONTH(TODAY()),1),A$2:A$463,"&lt;"&amp;DATE(YEAR(TODAY()),MONTH(TODAY())+1,1),B$2:B$463,$B$492),"")</f>
        <v/>
      </c>
      <c r="F492" s="11">
        <f>IFERROR(SUMPRODUCT((YEAR(A$2:A$463)=YEAR(TODAY()))*(MONTH(A$2:A$463)=MONTH(TODAY()))*(B$2:B$463=$B$492)*(F$2:F$463),"")</f>
        <v/>
      </c>
    </row>
    <row r="493">
      <c r="B493" s="2" t="inlineStr">
        <is>
          <t>三元方壳锂电B品</t>
        </is>
      </c>
      <c r="C493" s="10">
        <f>IFERROR(AVERAGEIFS(C$2:C$463,A$2:A$463,"&gt;="&amp;DATE(YEAR(TODAY()),MONTH(TODAY()),1),A$2:A$463,"&lt;"&amp;DATE(YEAR(TODAY()),MONTH(TODAY())+1,1),B$2:B$463,$B$493),"")</f>
        <v/>
      </c>
      <c r="D493" s="10">
        <f>IFERROR(AVERAGEIFS(D$2:D$463,A$2:A$463,"&gt;="&amp;DATE(YEAR(TODAY()),MONTH(TODAY()),1),A$2:A$463,"&lt;"&amp;DATE(YEAR(TODAY()),MONTH(TODAY())+1,1),B$2:B$463,$B$493),"")</f>
        <v/>
      </c>
      <c r="E493" s="10">
        <f>IFERROR(AVERAGEIFS(E$2:E$463,A$2:A$463,"&gt;="&amp;DATE(YEAR(TODAY()),MONTH(TODAY()),1),A$2:A$463,"&lt;"&amp;DATE(YEAR(TODAY()),MONTH(TODAY())+1,1),B$2:B$463,$B$493),"")</f>
        <v/>
      </c>
      <c r="F493" s="11">
        <f>IFERROR(SUMPRODUCT((YEAR(A$2:A$463)=YEAR(TODAY()))*(MONTH(A$2:A$463)=MONTH(TODAY()))*(B$2:B$463=$B$493)*(F$2:F$463),"")</f>
        <v/>
      </c>
    </row>
    <row r="494">
      <c r="B494" s="2" t="inlineStr">
        <is>
          <t>六氟磷酸锂（国产）</t>
        </is>
      </c>
      <c r="C494" s="10">
        <f>IFERROR(AVERAGEIFS(C$2:C$463,A$2:A$463,"&gt;="&amp;DATE(YEAR(TODAY()),MONTH(TODAY()),1),A$2:A$463,"&lt;"&amp;DATE(YEAR(TODAY()),MONTH(TODAY())+1,1),B$2:B$463,$B$494),"")</f>
        <v/>
      </c>
      <c r="D494" s="10">
        <f>IFERROR(AVERAGEIFS(D$2:D$463,A$2:A$463,"&gt;="&amp;DATE(YEAR(TODAY()),MONTH(TODAY()),1),A$2:A$463,"&lt;"&amp;DATE(YEAR(TODAY()),MONTH(TODAY())+1,1),B$2:B$463,$B$494),"")</f>
        <v/>
      </c>
      <c r="E494" s="10">
        <f>IFERROR(AVERAGEIFS(E$2:E$463,A$2:A$463,"&gt;="&amp;DATE(YEAR(TODAY()),MONTH(TODAY()),1),A$2:A$463,"&lt;"&amp;DATE(YEAR(TODAY()),MONTH(TODAY())+1,1),B$2:B$463,$B$494),"")</f>
        <v/>
      </c>
      <c r="F494" s="11">
        <f>IFERROR(SUMPRODUCT((YEAR(A$2:A$463)=YEAR(TODAY()))*(MONTH(A$2:A$463)=MONTH(TODAY()))*(B$2:B$463=$B$494)*(F$2:F$463),"")</f>
        <v/>
      </c>
    </row>
    <row r="495">
      <c r="B495" s="2" t="inlineStr">
        <is>
          <t>四氧化三钴</t>
        </is>
      </c>
      <c r="C495" s="10">
        <f>IFERROR(AVERAGEIFS(C$2:C$463,A$2:A$463,"&gt;="&amp;DATE(YEAR(TODAY()),MONTH(TODAY()),1),A$2:A$463,"&lt;"&amp;DATE(YEAR(TODAY()),MONTH(TODAY())+1,1),B$2:B$463,$B$495),"")</f>
        <v/>
      </c>
      <c r="D495" s="10">
        <f>IFERROR(AVERAGEIFS(D$2:D$463,A$2:A$463,"&gt;="&amp;DATE(YEAR(TODAY()),MONTH(TODAY()),1),A$2:A$463,"&lt;"&amp;DATE(YEAR(TODAY()),MONTH(TODAY())+1,1),B$2:B$463,$B$495),"")</f>
        <v/>
      </c>
      <c r="E495" s="10">
        <f>IFERROR(AVERAGEIFS(E$2:E$463,A$2:A$463,"&gt;="&amp;DATE(YEAR(TODAY()),MONTH(TODAY()),1),A$2:A$463,"&lt;"&amp;DATE(YEAR(TODAY()),MONTH(TODAY())+1,1),B$2:B$463,$B$495),"")</f>
        <v/>
      </c>
      <c r="F495" s="11">
        <f>IFERROR(SUMPRODUCT((YEAR(A$2:A$463)=YEAR(TODAY()))*(MONTH(A$2:A$463)=MONTH(TODAY()))*(B$2:B$463=$B$495)*(F$2:F$463),"")</f>
        <v/>
      </c>
    </row>
    <row r="496">
      <c r="B496" s="2" t="inlineStr">
        <is>
          <t>四氧化三锰（电池级）</t>
        </is>
      </c>
      <c r="C496" s="10">
        <f>IFERROR(AVERAGEIFS(C$2:C$463,A$2:A$463,"&gt;="&amp;DATE(YEAR(TODAY()),MONTH(TODAY()),1),A$2:A$463,"&lt;"&amp;DATE(YEAR(TODAY()),MONTH(TODAY())+1,1),B$2:B$463,$B$496),"")</f>
        <v/>
      </c>
      <c r="D496" s="10">
        <f>IFERROR(AVERAGEIFS(D$2:D$463,A$2:A$463,"&gt;="&amp;DATE(YEAR(TODAY()),MONTH(TODAY()),1),A$2:A$463,"&lt;"&amp;DATE(YEAR(TODAY()),MONTH(TODAY())+1,1),B$2:B$463,$B$496),"")</f>
        <v/>
      </c>
      <c r="E496" s="10">
        <f>IFERROR(AVERAGEIFS(E$2:E$463,A$2:A$463,"&gt;="&amp;DATE(YEAR(TODAY()),MONTH(TODAY()),1),A$2:A$463,"&lt;"&amp;DATE(YEAR(TODAY()),MONTH(TODAY())+1,1),B$2:B$463,$B$496),"")</f>
        <v/>
      </c>
      <c r="F496" s="11">
        <f>IFERROR(SUMPRODUCT((YEAR(A$2:A$463)=YEAR(TODAY()))*(MONTH(A$2:A$463)=MONTH(TODAY()))*(B$2:B$463=$B$496)*(F$2:F$463),"")</f>
        <v/>
      </c>
    </row>
    <row r="497">
      <c r="B497" s="2" t="inlineStr">
        <is>
          <t>工业级氢氧化锂</t>
        </is>
      </c>
      <c r="C497" s="10">
        <f>IFERROR(AVERAGEIFS(C$2:C$463,A$2:A$463,"&gt;="&amp;DATE(YEAR(TODAY()),MONTH(TODAY()),1),A$2:A$463,"&lt;"&amp;DATE(YEAR(TODAY()),MONTH(TODAY())+1,1),B$2:B$463,$B$497),"")</f>
        <v/>
      </c>
      <c r="D497" s="10">
        <f>IFERROR(AVERAGEIFS(D$2:D$463,A$2:A$463,"&gt;="&amp;DATE(YEAR(TODAY()),MONTH(TODAY()),1),A$2:A$463,"&lt;"&amp;DATE(YEAR(TODAY()),MONTH(TODAY())+1,1),B$2:B$463,$B$497),"")</f>
        <v/>
      </c>
      <c r="E497" s="10">
        <f>IFERROR(AVERAGEIFS(E$2:E$463,A$2:A$463,"&gt;="&amp;DATE(YEAR(TODAY()),MONTH(TODAY()),1),A$2:A$463,"&lt;"&amp;DATE(YEAR(TODAY()),MONTH(TODAY())+1,1),B$2:B$463,$B$497),"")</f>
        <v/>
      </c>
      <c r="F497" s="11">
        <f>IFERROR(SUMPRODUCT((YEAR(A$2:A$463)=YEAR(TODAY()))*(MONTH(A$2:A$463)=MONTH(TODAY()))*(B$2:B$463=$B$497)*(F$2:F$463),"")</f>
        <v/>
      </c>
    </row>
    <row r="498">
      <c r="B498" s="2" t="inlineStr">
        <is>
          <t>工业级碳酸锂</t>
        </is>
      </c>
      <c r="C498" s="10">
        <f>IFERROR(AVERAGEIFS(C$2:C$463,A$2:A$463,"&gt;="&amp;DATE(YEAR(TODAY()),MONTH(TODAY()),1),A$2:A$463,"&lt;"&amp;DATE(YEAR(TODAY()),MONTH(TODAY())+1,1),B$2:B$463,$B$498),"")</f>
        <v/>
      </c>
      <c r="D498" s="10">
        <f>IFERROR(AVERAGEIFS(D$2:D$463,A$2:A$463,"&gt;="&amp;DATE(YEAR(TODAY()),MONTH(TODAY()),1),A$2:A$463,"&lt;"&amp;DATE(YEAR(TODAY()),MONTH(TODAY())+1,1),B$2:B$463,$B$498),"")</f>
        <v/>
      </c>
      <c r="E498" s="10">
        <f>IFERROR(AVERAGEIFS(E$2:E$463,A$2:A$463,"&gt;="&amp;DATE(YEAR(TODAY()),MONTH(TODAY()),1),A$2:A$463,"&lt;"&amp;DATE(YEAR(TODAY()),MONTH(TODAY())+1,1),B$2:B$463,$B$498),"")</f>
        <v/>
      </c>
      <c r="F498" s="11">
        <f>IFERROR(SUMPRODUCT((YEAR(A$2:A$463)=YEAR(TODAY()))*(MONTH(A$2:A$463)=MONTH(TODAY()))*(B$2:B$463=$B$498)*(F$2:F$463),"")</f>
        <v/>
      </c>
    </row>
    <row r="499">
      <c r="B499" s="2" t="inlineStr">
        <is>
          <t>工业级金属锂</t>
        </is>
      </c>
      <c r="C499" s="10">
        <f>IFERROR(AVERAGEIFS(C$2:C$463,A$2:A$463,"&gt;="&amp;DATE(YEAR(TODAY()),MONTH(TODAY()),1),A$2:A$463,"&lt;"&amp;DATE(YEAR(TODAY()),MONTH(TODAY())+1,1),B$2:B$463,$B$499),"")</f>
        <v/>
      </c>
      <c r="D499" s="10">
        <f>IFERROR(AVERAGEIFS(D$2:D$463,A$2:A$463,"&gt;="&amp;DATE(YEAR(TODAY()),MONTH(TODAY()),1),A$2:A$463,"&lt;"&amp;DATE(YEAR(TODAY()),MONTH(TODAY())+1,1),B$2:B$463,$B$499),"")</f>
        <v/>
      </c>
      <c r="E499" s="10">
        <f>IFERROR(AVERAGEIFS(E$2:E$463,A$2:A$463,"&gt;="&amp;DATE(YEAR(TODAY()),MONTH(TODAY()),1),A$2:A$463,"&lt;"&amp;DATE(YEAR(TODAY()),MONTH(TODAY())+1,1),B$2:B$463,$B$499),"")</f>
        <v/>
      </c>
      <c r="F499" s="11">
        <f>IFERROR(SUMPRODUCT((YEAR(A$2:A$463)=YEAR(TODAY()))*(MONTH(A$2:A$463)=MONTH(TODAY()))*(B$2:B$463=$B$499)*(F$2:F$463),"")</f>
        <v/>
      </c>
    </row>
    <row r="500">
      <c r="B500" s="2" t="inlineStr">
        <is>
          <t>巴西锂辉石精矿（CIF中国）现货</t>
        </is>
      </c>
      <c r="C500" s="10">
        <f>IFERROR(AVERAGEIFS(C$2:C$463,A$2:A$463,"&gt;="&amp;DATE(YEAR(TODAY()),MONTH(TODAY()),1),A$2:A$463,"&lt;"&amp;DATE(YEAR(TODAY()),MONTH(TODAY())+1,1),B$2:B$463,$B$500),"")</f>
        <v/>
      </c>
      <c r="D500" s="10">
        <f>IFERROR(AVERAGEIFS(D$2:D$463,A$2:A$463,"&gt;="&amp;DATE(YEAR(TODAY()),MONTH(TODAY()),1),A$2:A$463,"&lt;"&amp;DATE(YEAR(TODAY()),MONTH(TODAY())+1,1),B$2:B$463,$B$500),"")</f>
        <v/>
      </c>
      <c r="E500" s="10">
        <f>IFERROR(AVERAGEIFS(E$2:E$463,A$2:A$463,"&gt;="&amp;DATE(YEAR(TODAY()),MONTH(TODAY()),1),A$2:A$463,"&lt;"&amp;DATE(YEAR(TODAY()),MONTH(TODAY())+1,1),B$2:B$463,$B$500),"")</f>
        <v/>
      </c>
      <c r="F500" s="11">
        <f>IFERROR(SUMPRODUCT((YEAR(A$2:A$463)=YEAR(TODAY()))*(MONTH(A$2:A$463)=MONTH(TODAY()))*(B$2:B$463=$B$500)*(F$2:F$463),"")</f>
        <v/>
      </c>
    </row>
    <row r="501">
      <c r="B501" s="2" t="inlineStr">
        <is>
          <t>废旧磷酸铁锂储能正极片</t>
        </is>
      </c>
      <c r="C501" s="10">
        <f>IFERROR(AVERAGEIFS(C$2:C$463,A$2:A$463,"&gt;="&amp;DATE(YEAR(TODAY()),MONTH(TODAY()),1),A$2:A$463,"&lt;"&amp;DATE(YEAR(TODAY()),MONTH(TODAY())+1,1),B$2:B$463,$B$501),"")</f>
        <v/>
      </c>
      <c r="D501" s="10">
        <f>IFERROR(AVERAGEIFS(D$2:D$463,A$2:A$463,"&gt;="&amp;DATE(YEAR(TODAY()),MONTH(TODAY()),1),A$2:A$463,"&lt;"&amp;DATE(YEAR(TODAY()),MONTH(TODAY())+1,1),B$2:B$463,$B$501),"")</f>
        <v/>
      </c>
      <c r="E501" s="10">
        <f>IFERROR(AVERAGEIFS(E$2:E$463,A$2:A$463,"&gt;="&amp;DATE(YEAR(TODAY()),MONTH(TODAY()),1),A$2:A$463,"&lt;"&amp;DATE(YEAR(TODAY()),MONTH(TODAY())+1,1),B$2:B$463,$B$501),"")</f>
        <v/>
      </c>
      <c r="F501" s="11">
        <f>IFERROR(SUMPRODUCT((YEAR(A$2:A$463)=YEAR(TODAY()))*(MONTH(A$2:A$463)=MONTH(TODAY()))*(B$2:B$463=$B$501)*(F$2:F$463),"")</f>
        <v/>
      </c>
    </row>
    <row r="502">
      <c r="B502" s="2" t="inlineStr">
        <is>
          <t>废旧磷酸铁锂动力正极片</t>
        </is>
      </c>
      <c r="C502" s="10">
        <f>IFERROR(AVERAGEIFS(C$2:C$463,A$2:A$463,"&gt;="&amp;DATE(YEAR(TODAY()),MONTH(TODAY()),1),A$2:A$463,"&lt;"&amp;DATE(YEAR(TODAY()),MONTH(TODAY())+1,1),B$2:B$463,$B$502),"")</f>
        <v/>
      </c>
      <c r="D502" s="10">
        <f>IFERROR(AVERAGEIFS(D$2:D$463,A$2:A$463,"&gt;="&amp;DATE(YEAR(TODAY()),MONTH(TODAY()),1),A$2:A$463,"&lt;"&amp;DATE(YEAR(TODAY()),MONTH(TODAY())+1,1),B$2:B$463,$B$502),"")</f>
        <v/>
      </c>
      <c r="E502" s="10">
        <f>IFERROR(AVERAGEIFS(E$2:E$463,A$2:A$463,"&gt;="&amp;DATE(YEAR(TODAY()),MONTH(TODAY()),1),A$2:A$463,"&lt;"&amp;DATE(YEAR(TODAY()),MONTH(TODAY())+1,1),B$2:B$463,$B$502),"")</f>
        <v/>
      </c>
      <c r="F502" s="11">
        <f>IFERROR(SUMPRODUCT((YEAR(A$2:A$463)=YEAR(TODAY()))*(MONTH(A$2:A$463)=MONTH(TODAY()))*(B$2:B$463=$B$502)*(F$2:F$463),"")</f>
        <v/>
      </c>
    </row>
    <row r="503">
      <c r="B503" s="2" t="inlineStr">
        <is>
          <t>废旧磷酸铁锂软包电池</t>
        </is>
      </c>
      <c r="C503" s="10">
        <f>IFERROR(AVERAGEIFS(C$2:C$463,A$2:A$463,"&gt;="&amp;DATE(YEAR(TODAY()),MONTH(TODAY()),1),A$2:A$463,"&lt;"&amp;DATE(YEAR(TODAY()),MONTH(TODAY())+1,1),B$2:B$463,$B$503),"")</f>
        <v/>
      </c>
      <c r="D503" s="10">
        <f>IFERROR(AVERAGEIFS(D$2:D$463,A$2:A$463,"&gt;="&amp;DATE(YEAR(TODAY()),MONTH(TODAY()),1),A$2:A$463,"&lt;"&amp;DATE(YEAR(TODAY()),MONTH(TODAY())+1,1),B$2:B$463,$B$503),"")</f>
        <v/>
      </c>
      <c r="E503" s="10">
        <f>IFERROR(AVERAGEIFS(E$2:E$463,A$2:A$463,"&gt;="&amp;DATE(YEAR(TODAY()),MONTH(TODAY()),1),A$2:A$463,"&lt;"&amp;DATE(YEAR(TODAY()),MONTH(TODAY())+1,1),B$2:B$463,$B$503),"")</f>
        <v/>
      </c>
      <c r="F503" s="11">
        <f>IFERROR(SUMPRODUCT((YEAR(A$2:A$463)=YEAR(TODAY()))*(MONTH(A$2:A$463)=MONTH(TODAY()))*(B$2:B$463=$B$503)*(F$2:F$463),"")</f>
        <v/>
      </c>
    </row>
    <row r="504">
      <c r="B504" s="2" t="inlineStr">
        <is>
          <t>废旧磷酸铁锂钢壳电池</t>
        </is>
      </c>
      <c r="C504" s="10">
        <f>IFERROR(AVERAGEIFS(C$2:C$463,A$2:A$463,"&gt;="&amp;DATE(YEAR(TODAY()),MONTH(TODAY()),1),A$2:A$463,"&lt;"&amp;DATE(YEAR(TODAY()),MONTH(TODAY())+1,1),B$2:B$463,$B$504),"")</f>
        <v/>
      </c>
      <c r="D504" s="10">
        <f>IFERROR(AVERAGEIFS(D$2:D$463,A$2:A$463,"&gt;="&amp;DATE(YEAR(TODAY()),MONTH(TODAY()),1),A$2:A$463,"&lt;"&amp;DATE(YEAR(TODAY()),MONTH(TODAY())+1,1),B$2:B$463,$B$504),"")</f>
        <v/>
      </c>
      <c r="E504" s="10">
        <f>IFERROR(AVERAGEIFS(E$2:E$463,A$2:A$463,"&gt;="&amp;DATE(YEAR(TODAY()),MONTH(TODAY()),1),A$2:A$463,"&lt;"&amp;DATE(YEAR(TODAY()),MONTH(TODAY())+1,1),B$2:B$463,$B$504),"")</f>
        <v/>
      </c>
      <c r="F504" s="11">
        <f>IFERROR(SUMPRODUCT((YEAR(A$2:A$463)=YEAR(TODAY()))*(MONTH(A$2:A$463)=MONTH(TODAY()))*(B$2:B$463=$B$504)*(F$2:F$463),"")</f>
        <v/>
      </c>
    </row>
    <row r="505">
      <c r="B505" s="2" t="inlineStr">
        <is>
          <t>废旧磷酸铁锂铝壳电池</t>
        </is>
      </c>
      <c r="C505" s="10">
        <f>IFERROR(AVERAGEIFS(C$2:C$463,A$2:A$463,"&gt;="&amp;DATE(YEAR(TODAY()),MONTH(TODAY()),1),A$2:A$463,"&lt;"&amp;DATE(YEAR(TODAY()),MONTH(TODAY())+1,1),B$2:B$463,$B$505),"")</f>
        <v/>
      </c>
      <c r="D505" s="10">
        <f>IFERROR(AVERAGEIFS(D$2:D$463,A$2:A$463,"&gt;="&amp;DATE(YEAR(TODAY()),MONTH(TODAY()),1),A$2:A$463,"&lt;"&amp;DATE(YEAR(TODAY()),MONTH(TODAY())+1,1),B$2:B$463,$B$505),"")</f>
        <v/>
      </c>
      <c r="E505" s="10">
        <f>IFERROR(AVERAGEIFS(E$2:E$463,A$2:A$463,"&gt;="&amp;DATE(YEAR(TODAY()),MONTH(TODAY()),1),A$2:A$463,"&lt;"&amp;DATE(YEAR(TODAY()),MONTH(TODAY())+1,1),B$2:B$463,$B$505),"")</f>
        <v/>
      </c>
      <c r="F505" s="11">
        <f>IFERROR(SUMPRODUCT((YEAR(A$2:A$463)=YEAR(TODAY()))*(MONTH(A$2:A$463)=MONTH(TODAY()))*(B$2:B$463=$B$505)*(F$2:F$463),"")</f>
        <v/>
      </c>
    </row>
    <row r="506">
      <c r="B506" s="2" t="inlineStr">
        <is>
          <t>方形磷酸铁锂电池B品</t>
        </is>
      </c>
      <c r="C506" s="10">
        <f>IFERROR(AVERAGEIFS(C$2:C$463,A$2:A$463,"&gt;="&amp;DATE(YEAR(TODAY()),MONTH(TODAY()),1),A$2:A$463,"&lt;"&amp;DATE(YEAR(TODAY()),MONTH(TODAY())+1,1),B$2:B$463,$B$506),"")</f>
        <v/>
      </c>
      <c r="D506" s="10">
        <f>IFERROR(AVERAGEIFS(D$2:D$463,A$2:A$463,"&gt;="&amp;DATE(YEAR(TODAY()),MONTH(TODAY()),1),A$2:A$463,"&lt;"&amp;DATE(YEAR(TODAY()),MONTH(TODAY())+1,1),B$2:B$463,$B$506),"")</f>
        <v/>
      </c>
      <c r="E506" s="10">
        <f>IFERROR(AVERAGEIFS(E$2:E$463,A$2:A$463,"&gt;="&amp;DATE(YEAR(TODAY()),MONTH(TODAY()),1),A$2:A$463,"&lt;"&amp;DATE(YEAR(TODAY()),MONTH(TODAY())+1,1),B$2:B$463,$B$506),"")</f>
        <v/>
      </c>
      <c r="F506" s="11">
        <f>IFERROR(SUMPRODUCT((YEAR(A$2:A$463)=YEAR(TODAY()))*(MONTH(A$2:A$463)=MONTH(TODAY()))*(B$2:B$463=$B$506)*(F$2:F$463),"")</f>
        <v/>
      </c>
    </row>
    <row r="507">
      <c r="B507" s="2" t="inlineStr">
        <is>
          <t>氧化亚镍</t>
        </is>
      </c>
      <c r="C507" s="10">
        <f>IFERROR(AVERAGEIFS(C$2:C$463,A$2:A$463,"&gt;="&amp;DATE(YEAR(TODAY()),MONTH(TODAY()),1),A$2:A$463,"&lt;"&amp;DATE(YEAR(TODAY()),MONTH(TODAY())+1,1),B$2:B$463,$B$507),"")</f>
        <v/>
      </c>
      <c r="D507" s="10">
        <f>IFERROR(AVERAGEIFS(D$2:D$463,A$2:A$463,"&gt;="&amp;DATE(YEAR(TODAY()),MONTH(TODAY()),1),A$2:A$463,"&lt;"&amp;DATE(YEAR(TODAY()),MONTH(TODAY())+1,1),B$2:B$463,$B$507),"")</f>
        <v/>
      </c>
      <c r="E507" s="10">
        <f>IFERROR(AVERAGEIFS(E$2:E$463,A$2:A$463,"&gt;="&amp;DATE(YEAR(TODAY()),MONTH(TODAY()),1),A$2:A$463,"&lt;"&amp;DATE(YEAR(TODAY()),MONTH(TODAY())+1,1),B$2:B$463,$B$507),"")</f>
        <v/>
      </c>
      <c r="F507" s="11">
        <f>IFERROR(SUMPRODUCT((YEAR(A$2:A$463)=YEAR(TODAY()))*(MONTH(A$2:A$463)=MONTH(TODAY()))*(B$2:B$463=$B$507)*(F$2:F$463),"")</f>
        <v/>
      </c>
    </row>
    <row r="508">
      <c r="B508" s="2" t="inlineStr">
        <is>
          <t>氧化钴</t>
        </is>
      </c>
      <c r="C508" s="10">
        <f>IFERROR(AVERAGEIFS(C$2:C$463,A$2:A$463,"&gt;="&amp;DATE(YEAR(TODAY()),MONTH(TODAY()),1),A$2:A$463,"&lt;"&amp;DATE(YEAR(TODAY()),MONTH(TODAY())+1,1),B$2:B$463,$B$508),"")</f>
        <v/>
      </c>
      <c r="D508" s="10">
        <f>IFERROR(AVERAGEIFS(D$2:D$463,A$2:A$463,"&gt;="&amp;DATE(YEAR(TODAY()),MONTH(TODAY()),1),A$2:A$463,"&lt;"&amp;DATE(YEAR(TODAY()),MONTH(TODAY())+1,1),B$2:B$463,$B$508),"")</f>
        <v/>
      </c>
      <c r="E508" s="10">
        <f>IFERROR(AVERAGEIFS(E$2:E$463,A$2:A$463,"&gt;="&amp;DATE(YEAR(TODAY()),MONTH(TODAY()),1),A$2:A$463,"&lt;"&amp;DATE(YEAR(TODAY()),MONTH(TODAY())+1,1),B$2:B$463,$B$508),"")</f>
        <v/>
      </c>
      <c r="F508" s="11">
        <f>IFERROR(SUMPRODUCT((YEAR(A$2:A$463)=YEAR(TODAY()))*(MONTH(A$2:A$463)=MONTH(TODAY()))*(B$2:B$463=$B$508)*(F$2:F$463),"")</f>
        <v/>
      </c>
    </row>
    <row r="509">
      <c r="B509" s="2" t="inlineStr">
        <is>
          <t>氯化钴</t>
        </is>
      </c>
      <c r="C509" s="10">
        <f>IFERROR(AVERAGEIFS(C$2:C$463,A$2:A$463,"&gt;="&amp;DATE(YEAR(TODAY()),MONTH(TODAY()),1),A$2:A$463,"&lt;"&amp;DATE(YEAR(TODAY()),MONTH(TODAY())+1,1),B$2:B$463,$B$509),"")</f>
        <v/>
      </c>
      <c r="D509" s="10">
        <f>IFERROR(AVERAGEIFS(D$2:D$463,A$2:A$463,"&gt;="&amp;DATE(YEAR(TODAY()),MONTH(TODAY()),1),A$2:A$463,"&lt;"&amp;DATE(YEAR(TODAY()),MONTH(TODAY())+1,1),B$2:B$463,$B$509),"")</f>
        <v/>
      </c>
      <c r="E509" s="10">
        <f>IFERROR(AVERAGEIFS(E$2:E$463,A$2:A$463,"&gt;="&amp;DATE(YEAR(TODAY()),MONTH(TODAY()),1),A$2:A$463,"&lt;"&amp;DATE(YEAR(TODAY()),MONTH(TODAY())+1,1),B$2:B$463,$B$509),"")</f>
        <v/>
      </c>
      <c r="F509" s="11">
        <f>IFERROR(SUMPRODUCT((YEAR(A$2:A$463)=YEAR(TODAY()))*(MONTH(A$2:A$463)=MONTH(TODAY()))*(B$2:B$463=$B$509)*(F$2:F$463),"")</f>
        <v/>
      </c>
    </row>
    <row r="510">
      <c r="B510" s="2" t="inlineStr">
        <is>
          <t>氯化镍NiCl₂·6H₂O</t>
        </is>
      </c>
      <c r="C510" s="10">
        <f>IFERROR(AVERAGEIFS(C$2:C$463,A$2:A$463,"&gt;="&amp;DATE(YEAR(TODAY()),MONTH(TODAY()),1),A$2:A$463,"&lt;"&amp;DATE(YEAR(TODAY()),MONTH(TODAY())+1,1),B$2:B$463,$B$510),"")</f>
        <v/>
      </c>
      <c r="D510" s="10">
        <f>IFERROR(AVERAGEIFS(D$2:D$463,A$2:A$463,"&gt;="&amp;DATE(YEAR(TODAY()),MONTH(TODAY()),1),A$2:A$463,"&lt;"&amp;DATE(YEAR(TODAY()),MONTH(TODAY())+1,1),B$2:B$463,$B$510),"")</f>
        <v/>
      </c>
      <c r="E510" s="10">
        <f>IFERROR(AVERAGEIFS(E$2:E$463,A$2:A$463,"&gt;="&amp;DATE(YEAR(TODAY()),MONTH(TODAY()),1),A$2:A$463,"&lt;"&amp;DATE(YEAR(TODAY()),MONTH(TODAY())+1,1),B$2:B$463,$B$510),"")</f>
        <v/>
      </c>
      <c r="F510" s="11">
        <f>IFERROR(SUMPRODUCT((YEAR(A$2:A$463)=YEAR(TODAY()))*(MONTH(A$2:A$463)=MONTH(TODAY()))*(B$2:B$463=$B$510)*(F$2:F$463),"")</f>
        <v/>
      </c>
    </row>
    <row r="511">
      <c r="B511" s="2" t="inlineStr">
        <is>
          <t>津巴布韦锂辉石精矿（CIF中国）现货</t>
        </is>
      </c>
      <c r="C511" s="10">
        <f>IFERROR(AVERAGEIFS(C$2:C$463,A$2:A$463,"&gt;="&amp;DATE(YEAR(TODAY()),MONTH(TODAY()),1),A$2:A$463,"&lt;"&amp;DATE(YEAR(TODAY()),MONTH(TODAY())+1,1),B$2:B$463,$B$511),"")</f>
        <v/>
      </c>
      <c r="D511" s="10">
        <f>IFERROR(AVERAGEIFS(D$2:D$463,A$2:A$463,"&gt;="&amp;DATE(YEAR(TODAY()),MONTH(TODAY()),1),A$2:A$463,"&lt;"&amp;DATE(YEAR(TODAY()),MONTH(TODAY())+1,1),B$2:B$463,$B$511),"")</f>
        <v/>
      </c>
      <c r="E511" s="10">
        <f>IFERROR(AVERAGEIFS(E$2:E$463,A$2:A$463,"&gt;="&amp;DATE(YEAR(TODAY()),MONTH(TODAY()),1),A$2:A$463,"&lt;"&amp;DATE(YEAR(TODAY()),MONTH(TODAY())+1,1),B$2:B$463,$B$511),"")</f>
        <v/>
      </c>
      <c r="F511" s="11">
        <f>IFERROR(SUMPRODUCT((YEAR(A$2:A$463)=YEAR(TODAY()))*(MONTH(A$2:A$463)=MONTH(TODAY()))*(B$2:B$463=$B$511)*(F$2:F$463),"")</f>
        <v/>
      </c>
    </row>
    <row r="512">
      <c r="B512" s="2" t="inlineStr">
        <is>
          <t>澳大利亚锂辉石精矿（CIF中国）现货</t>
        </is>
      </c>
      <c r="C512" s="10">
        <f>IFERROR(AVERAGEIFS(C$2:C$463,A$2:A$463,"&gt;="&amp;DATE(YEAR(TODAY()),MONTH(TODAY()),1),A$2:A$463,"&lt;"&amp;DATE(YEAR(TODAY()),MONTH(TODAY())+1,1),B$2:B$463,$B$512),"")</f>
        <v/>
      </c>
      <c r="D512" s="10">
        <f>IFERROR(AVERAGEIFS(D$2:D$463,A$2:A$463,"&gt;="&amp;DATE(YEAR(TODAY()),MONTH(TODAY()),1),A$2:A$463,"&lt;"&amp;DATE(YEAR(TODAY()),MONTH(TODAY())+1,1),B$2:B$463,$B$512),"")</f>
        <v/>
      </c>
      <c r="E512" s="10">
        <f>IFERROR(AVERAGEIFS(E$2:E$463,A$2:A$463,"&gt;="&amp;DATE(YEAR(TODAY()),MONTH(TODAY()),1),A$2:A$463,"&lt;"&amp;DATE(YEAR(TODAY()),MONTH(TODAY())+1,1),B$2:B$463,$B$512),"")</f>
        <v/>
      </c>
      <c r="F512" s="11">
        <f>IFERROR(SUMPRODUCT((YEAR(A$2:A$463)=YEAR(TODAY()))*(MONTH(A$2:A$463)=MONTH(TODAY()))*(B$2:B$463=$B$512)*(F$2:F$463),"")</f>
        <v/>
      </c>
    </row>
    <row r="513">
      <c r="B513" s="2" t="inlineStr">
        <is>
          <t>电池级无水氯化锂</t>
        </is>
      </c>
      <c r="C513" s="10">
        <f>IFERROR(AVERAGEIFS(C$2:C$463,A$2:A$463,"&gt;="&amp;DATE(YEAR(TODAY()),MONTH(TODAY()),1),A$2:A$463,"&lt;"&amp;DATE(YEAR(TODAY()),MONTH(TODAY())+1,1),B$2:B$463,$B$513),"")</f>
        <v/>
      </c>
      <c r="D513" s="10">
        <f>IFERROR(AVERAGEIFS(D$2:D$463,A$2:A$463,"&gt;="&amp;DATE(YEAR(TODAY()),MONTH(TODAY()),1),A$2:A$463,"&lt;"&amp;DATE(YEAR(TODAY()),MONTH(TODAY())+1,1),B$2:B$463,$B$513),"")</f>
        <v/>
      </c>
      <c r="E513" s="10">
        <f>IFERROR(AVERAGEIFS(E$2:E$463,A$2:A$463,"&gt;="&amp;DATE(YEAR(TODAY()),MONTH(TODAY()),1),A$2:A$463,"&lt;"&amp;DATE(YEAR(TODAY()),MONTH(TODAY())+1,1),B$2:B$463,$B$513),"")</f>
        <v/>
      </c>
      <c r="F513" s="11">
        <f>IFERROR(SUMPRODUCT((YEAR(A$2:A$463)=YEAR(TODAY()))*(MONTH(A$2:A$463)=MONTH(TODAY()))*(B$2:B$463=$B$513)*(F$2:F$463),"")</f>
        <v/>
      </c>
    </row>
    <row r="514">
      <c r="B514" s="2" t="inlineStr">
        <is>
          <t>电池级氟化锂</t>
        </is>
      </c>
      <c r="C514" s="10">
        <f>IFERROR(AVERAGEIFS(C$2:C$463,A$2:A$463,"&gt;="&amp;DATE(YEAR(TODAY()),MONTH(TODAY()),1),A$2:A$463,"&lt;"&amp;DATE(YEAR(TODAY()),MONTH(TODAY())+1,1),B$2:B$463,$B$514),"")</f>
        <v/>
      </c>
      <c r="D514" s="10">
        <f>IFERROR(AVERAGEIFS(D$2:D$463,A$2:A$463,"&gt;="&amp;DATE(YEAR(TODAY()),MONTH(TODAY()),1),A$2:A$463,"&lt;"&amp;DATE(YEAR(TODAY()),MONTH(TODAY())+1,1),B$2:B$463,$B$514),"")</f>
        <v/>
      </c>
      <c r="E514" s="10">
        <f>IFERROR(AVERAGEIFS(E$2:E$463,A$2:A$463,"&gt;="&amp;DATE(YEAR(TODAY()),MONTH(TODAY()),1),A$2:A$463,"&lt;"&amp;DATE(YEAR(TODAY()),MONTH(TODAY())+1,1),B$2:B$463,$B$514),"")</f>
        <v/>
      </c>
      <c r="F514" s="11">
        <f>IFERROR(SUMPRODUCT((YEAR(A$2:A$463)=YEAR(TODAY()))*(MONTH(A$2:A$463)=MONTH(TODAY()))*(B$2:B$463=$B$514)*(F$2:F$463),"")</f>
        <v/>
      </c>
    </row>
    <row r="515">
      <c r="B515" s="2" t="inlineStr">
        <is>
          <t>电池级氢氧化锂(CIF中日韩)</t>
        </is>
      </c>
      <c r="C515" s="10">
        <f>IFERROR(AVERAGEIFS(C$2:C$463,A$2:A$463,"&gt;="&amp;DATE(YEAR(TODAY()),MONTH(TODAY()),1),A$2:A$463,"&lt;"&amp;DATE(YEAR(TODAY()),MONTH(TODAY())+1,1),B$2:B$463,$B$515),"")</f>
        <v/>
      </c>
      <c r="D515" s="10">
        <f>IFERROR(AVERAGEIFS(D$2:D$463,A$2:A$463,"&gt;="&amp;DATE(YEAR(TODAY()),MONTH(TODAY()),1),A$2:A$463,"&lt;"&amp;DATE(YEAR(TODAY()),MONTH(TODAY())+1,1),B$2:B$463,$B$515),"")</f>
        <v/>
      </c>
      <c r="E515" s="10">
        <f>IFERROR(AVERAGEIFS(E$2:E$463,A$2:A$463,"&gt;="&amp;DATE(YEAR(TODAY()),MONTH(TODAY()),1),A$2:A$463,"&lt;"&amp;DATE(YEAR(TODAY()),MONTH(TODAY())+1,1),B$2:B$463,$B$515),"")</f>
        <v/>
      </c>
      <c r="F515" s="11">
        <f>IFERROR(SUMPRODUCT((YEAR(A$2:A$463)=YEAR(TODAY()))*(MONTH(A$2:A$463)=MONTH(TODAY()))*(B$2:B$463=$B$515)*(F$2:F$463),"")</f>
        <v/>
      </c>
    </row>
    <row r="516">
      <c r="B516" s="2" t="inlineStr">
        <is>
          <t>电池级氢氧化锂(CIF韩国)</t>
        </is>
      </c>
      <c r="C516" s="10">
        <f>IFERROR(AVERAGEIFS(C$2:C$463,A$2:A$463,"&gt;="&amp;DATE(YEAR(TODAY()),MONTH(TODAY()),1),A$2:A$463,"&lt;"&amp;DATE(YEAR(TODAY()),MONTH(TODAY())+1,1),B$2:B$463,$B$516),"")</f>
        <v/>
      </c>
      <c r="D516" s="10">
        <f>IFERROR(AVERAGEIFS(D$2:D$463,A$2:A$463,"&gt;="&amp;DATE(YEAR(TODAY()),MONTH(TODAY()),1),A$2:A$463,"&lt;"&amp;DATE(YEAR(TODAY()),MONTH(TODAY())+1,1),B$2:B$463,$B$516),"")</f>
        <v/>
      </c>
      <c r="E516" s="10">
        <f>IFERROR(AVERAGEIFS(E$2:E$463,A$2:A$463,"&gt;="&amp;DATE(YEAR(TODAY()),MONTH(TODAY()),1),A$2:A$463,"&lt;"&amp;DATE(YEAR(TODAY()),MONTH(TODAY())+1,1),B$2:B$463,$B$516),"")</f>
        <v/>
      </c>
      <c r="F516" s="11">
        <f>IFERROR(SUMPRODUCT((YEAR(A$2:A$463)=YEAR(TODAY()))*(MONTH(A$2:A$463)=MONTH(TODAY()))*(B$2:B$463=$B$516)*(F$2:F$463),"")</f>
        <v/>
      </c>
    </row>
    <row r="517">
      <c r="B517" s="2" t="inlineStr">
        <is>
          <t>电池级氢氧化锂(微粉）</t>
        </is>
      </c>
      <c r="C517" s="10">
        <f>IFERROR(AVERAGEIFS(C$2:C$463,A$2:A$463,"&gt;="&amp;DATE(YEAR(TODAY()),MONTH(TODAY()),1),A$2:A$463,"&lt;"&amp;DATE(YEAR(TODAY()),MONTH(TODAY())+1,1),B$2:B$463,$B$517),"")</f>
        <v/>
      </c>
      <c r="D517" s="10">
        <f>IFERROR(AVERAGEIFS(D$2:D$463,A$2:A$463,"&gt;="&amp;DATE(YEAR(TODAY()),MONTH(TODAY()),1),A$2:A$463,"&lt;"&amp;DATE(YEAR(TODAY()),MONTH(TODAY())+1,1),B$2:B$463,$B$517),"")</f>
        <v/>
      </c>
      <c r="E517" s="10">
        <f>IFERROR(AVERAGEIFS(E$2:E$463,A$2:A$463,"&gt;="&amp;DATE(YEAR(TODAY()),MONTH(TODAY()),1),A$2:A$463,"&lt;"&amp;DATE(YEAR(TODAY()),MONTH(TODAY())+1,1),B$2:B$463,$B$517),"")</f>
        <v/>
      </c>
      <c r="F517" s="11">
        <f>IFERROR(SUMPRODUCT((YEAR(A$2:A$463)=YEAR(TODAY()))*(MONTH(A$2:A$463)=MONTH(TODAY()))*(B$2:B$463=$B$517)*(F$2:F$463),"")</f>
        <v/>
      </c>
    </row>
    <row r="518">
      <c r="B518" s="2" t="inlineStr">
        <is>
          <t>电池级氢氧化锂（粗颗粒）</t>
        </is>
      </c>
      <c r="C518" s="10">
        <f>IFERROR(AVERAGEIFS(C$2:C$463,A$2:A$463,"&gt;="&amp;DATE(YEAR(TODAY()),MONTH(TODAY()),1),A$2:A$463,"&lt;"&amp;DATE(YEAR(TODAY()),MONTH(TODAY())+1,1),B$2:B$463,$B$518),"")</f>
        <v/>
      </c>
      <c r="D518" s="10">
        <f>IFERROR(AVERAGEIFS(D$2:D$463,A$2:A$463,"&gt;="&amp;DATE(YEAR(TODAY()),MONTH(TODAY()),1),A$2:A$463,"&lt;"&amp;DATE(YEAR(TODAY()),MONTH(TODAY())+1,1),B$2:B$463,$B$518),"")</f>
        <v/>
      </c>
      <c r="E518" s="10">
        <f>IFERROR(AVERAGEIFS(E$2:E$463,A$2:A$463,"&gt;="&amp;DATE(YEAR(TODAY()),MONTH(TODAY()),1),A$2:A$463,"&lt;"&amp;DATE(YEAR(TODAY()),MONTH(TODAY())+1,1),B$2:B$463,$B$518),"")</f>
        <v/>
      </c>
      <c r="F518" s="11">
        <f>IFERROR(SUMPRODUCT((YEAR(A$2:A$463)=YEAR(TODAY()))*(MONTH(A$2:A$463)=MONTH(TODAY()))*(B$2:B$463=$B$518)*(F$2:F$463),"")</f>
        <v/>
      </c>
    </row>
    <row r="519">
      <c r="B519" s="2" t="inlineStr">
        <is>
          <t>电池级硫酸锰（出厂价）</t>
        </is>
      </c>
      <c r="C519" s="10">
        <f>IFERROR(AVERAGEIFS(C$2:C$463,A$2:A$463,"&gt;="&amp;DATE(YEAR(TODAY()),MONTH(TODAY()),1),A$2:A$463,"&lt;"&amp;DATE(YEAR(TODAY()),MONTH(TODAY())+1,1),B$2:B$463,$B$519),"")</f>
        <v/>
      </c>
      <c r="D519" s="10">
        <f>IFERROR(AVERAGEIFS(D$2:D$463,A$2:A$463,"&gt;="&amp;DATE(YEAR(TODAY()),MONTH(TODAY()),1),A$2:A$463,"&lt;"&amp;DATE(YEAR(TODAY()),MONTH(TODAY())+1,1),B$2:B$463,$B$519),"")</f>
        <v/>
      </c>
      <c r="E519" s="10">
        <f>IFERROR(AVERAGEIFS(E$2:E$463,A$2:A$463,"&gt;="&amp;DATE(YEAR(TODAY()),MONTH(TODAY()),1),A$2:A$463,"&lt;"&amp;DATE(YEAR(TODAY()),MONTH(TODAY())+1,1),B$2:B$463,$B$519),"")</f>
        <v/>
      </c>
      <c r="F519" s="11">
        <f>IFERROR(SUMPRODUCT((YEAR(A$2:A$463)=YEAR(TODAY()))*(MONTH(A$2:A$463)=MONTH(TODAY()))*(B$2:B$463=$B$519)*(F$2:F$463),"")</f>
        <v/>
      </c>
    </row>
    <row r="520">
      <c r="B520" s="2" t="inlineStr">
        <is>
          <t>电池级硫酸镍</t>
        </is>
      </c>
      <c r="C520" s="10">
        <f>IFERROR(AVERAGEIFS(C$2:C$463,A$2:A$463,"&gt;="&amp;DATE(YEAR(TODAY()),MONTH(TODAY()),1),A$2:A$463,"&lt;"&amp;DATE(YEAR(TODAY()),MONTH(TODAY())+1,1),B$2:B$463,$B$520),"")</f>
        <v/>
      </c>
      <c r="D520" s="10">
        <f>IFERROR(AVERAGEIFS(D$2:D$463,A$2:A$463,"&gt;="&amp;DATE(YEAR(TODAY()),MONTH(TODAY()),1),A$2:A$463,"&lt;"&amp;DATE(YEAR(TODAY()),MONTH(TODAY())+1,1),B$2:B$463,$B$520),"")</f>
        <v/>
      </c>
      <c r="E520" s="10">
        <f>IFERROR(AVERAGEIFS(E$2:E$463,A$2:A$463,"&gt;="&amp;DATE(YEAR(TODAY()),MONTH(TODAY()),1),A$2:A$463,"&lt;"&amp;DATE(YEAR(TODAY()),MONTH(TODAY())+1,1),B$2:B$463,$B$520),"")</f>
        <v/>
      </c>
      <c r="F520" s="11">
        <f>IFERROR(SUMPRODUCT((YEAR(A$2:A$463)=YEAR(TODAY()))*(MONTH(A$2:A$463)=MONTH(TODAY()))*(B$2:B$463=$B$520)*(F$2:F$463),"")</f>
        <v/>
      </c>
    </row>
    <row r="521">
      <c r="B521" s="2" t="inlineStr">
        <is>
          <t>电池级碳酸锂</t>
        </is>
      </c>
      <c r="C521" s="10">
        <f>IFERROR(AVERAGEIFS(C$2:C$463,A$2:A$463,"&gt;="&amp;DATE(YEAR(TODAY()),MONTH(TODAY()),1),A$2:A$463,"&lt;"&amp;DATE(YEAR(TODAY()),MONTH(TODAY())+1,1),B$2:B$463,$B$521),"")</f>
        <v/>
      </c>
      <c r="D521" s="10">
        <f>IFERROR(AVERAGEIFS(D$2:D$463,A$2:A$463,"&gt;="&amp;DATE(YEAR(TODAY()),MONTH(TODAY()),1),A$2:A$463,"&lt;"&amp;DATE(YEAR(TODAY()),MONTH(TODAY())+1,1),B$2:B$463,$B$521),"")</f>
        <v/>
      </c>
      <c r="E521" s="10">
        <f>IFERROR(AVERAGEIFS(E$2:E$463,A$2:A$463,"&gt;="&amp;DATE(YEAR(TODAY()),MONTH(TODAY()),1),A$2:A$463,"&lt;"&amp;DATE(YEAR(TODAY()),MONTH(TODAY())+1,1),B$2:B$463,$B$521),"")</f>
        <v/>
      </c>
      <c r="F521" s="11">
        <f>IFERROR(SUMPRODUCT((YEAR(A$2:A$463)=YEAR(TODAY()))*(MONTH(A$2:A$463)=MONTH(TODAY()))*(B$2:B$463=$B$521)*(F$2:F$463),"")</f>
        <v/>
      </c>
    </row>
    <row r="522">
      <c r="B522" s="2" t="inlineStr">
        <is>
          <t>电池级碳酸锂(CIF韩国)</t>
        </is>
      </c>
      <c r="C522" s="10">
        <f>IFERROR(AVERAGEIFS(C$2:C$463,A$2:A$463,"&gt;="&amp;DATE(YEAR(TODAY()),MONTH(TODAY()),1),A$2:A$463,"&lt;"&amp;DATE(YEAR(TODAY()),MONTH(TODAY())+1,1),B$2:B$463,$B$522),"")</f>
        <v/>
      </c>
      <c r="D522" s="10">
        <f>IFERROR(AVERAGEIFS(D$2:D$463,A$2:A$463,"&gt;="&amp;DATE(YEAR(TODAY()),MONTH(TODAY()),1),A$2:A$463,"&lt;"&amp;DATE(YEAR(TODAY()),MONTH(TODAY())+1,1),B$2:B$463,$B$522),"")</f>
        <v/>
      </c>
      <c r="E522" s="10">
        <f>IFERROR(AVERAGEIFS(E$2:E$463,A$2:A$463,"&gt;="&amp;DATE(YEAR(TODAY()),MONTH(TODAY()),1),A$2:A$463,"&lt;"&amp;DATE(YEAR(TODAY()),MONTH(TODAY())+1,1),B$2:B$463,$B$522),"")</f>
        <v/>
      </c>
      <c r="F522" s="11">
        <f>IFERROR(SUMPRODUCT((YEAR(A$2:A$463)=YEAR(TODAY()))*(MONTH(A$2:A$463)=MONTH(TODAY()))*(B$2:B$463=$B$522)*(F$2:F$463),"")</f>
        <v/>
      </c>
    </row>
    <row r="523">
      <c r="B523" s="2" t="inlineStr">
        <is>
          <t>电池级碳酸锂（CIF中日韩）</t>
        </is>
      </c>
      <c r="C523" s="10">
        <f>IFERROR(AVERAGEIFS(C$2:C$463,A$2:A$463,"&gt;="&amp;DATE(YEAR(TODAY()),MONTH(TODAY()),1),A$2:A$463,"&lt;"&amp;DATE(YEAR(TODAY()),MONTH(TODAY())+1,1),B$2:B$463,$B$523),"")</f>
        <v/>
      </c>
      <c r="D523" s="10">
        <f>IFERROR(AVERAGEIFS(D$2:D$463,A$2:A$463,"&gt;="&amp;DATE(YEAR(TODAY()),MONTH(TODAY()),1),A$2:A$463,"&lt;"&amp;DATE(YEAR(TODAY()),MONTH(TODAY())+1,1),B$2:B$463,$B$523),"")</f>
        <v/>
      </c>
      <c r="E523" s="10">
        <f>IFERROR(AVERAGEIFS(E$2:E$463,A$2:A$463,"&gt;="&amp;DATE(YEAR(TODAY()),MONTH(TODAY()),1),A$2:A$463,"&lt;"&amp;DATE(YEAR(TODAY()),MONTH(TODAY())+1,1),B$2:B$463,$B$523),"")</f>
        <v/>
      </c>
      <c r="F523" s="11">
        <f>IFERROR(SUMPRODUCT((YEAR(A$2:A$463)=YEAR(TODAY()))*(MONTH(A$2:A$463)=MONTH(TODAY()))*(B$2:B$463=$B$523)*(F$2:F$463),"")</f>
        <v/>
      </c>
    </row>
    <row r="524">
      <c r="B524" s="2" t="inlineStr">
        <is>
          <t>电池级金属锂</t>
        </is>
      </c>
      <c r="C524" s="10">
        <f>IFERROR(AVERAGEIFS(C$2:C$463,A$2:A$463,"&gt;="&amp;DATE(YEAR(TODAY()),MONTH(TODAY()),1),A$2:A$463,"&lt;"&amp;DATE(YEAR(TODAY()),MONTH(TODAY())+1,1),B$2:B$463,$B$524),"")</f>
        <v/>
      </c>
      <c r="D524" s="10">
        <f>IFERROR(AVERAGEIFS(D$2:D$463,A$2:A$463,"&gt;="&amp;DATE(YEAR(TODAY()),MONTH(TODAY()),1),A$2:A$463,"&lt;"&amp;DATE(YEAR(TODAY()),MONTH(TODAY())+1,1),B$2:B$463,$B$524),"")</f>
        <v/>
      </c>
      <c r="E524" s="10">
        <f>IFERROR(AVERAGEIFS(E$2:E$463,A$2:A$463,"&gt;="&amp;DATE(YEAR(TODAY()),MONTH(TODAY()),1),A$2:A$463,"&lt;"&amp;DATE(YEAR(TODAY()),MONTH(TODAY())+1,1),B$2:B$463,$B$524),"")</f>
        <v/>
      </c>
      <c r="F524" s="11">
        <f>IFERROR(SUMPRODUCT((YEAR(A$2:A$463)=YEAR(TODAY()))*(MONTH(A$2:A$463)=MONTH(TODAY()))*(B$2:B$463=$B$524)*(F$2:F$463),"")</f>
        <v/>
      </c>
    </row>
    <row r="525">
      <c r="B525" s="2" t="inlineStr">
        <is>
          <t>电解钴</t>
        </is>
      </c>
      <c r="C525" s="10">
        <f>IFERROR(AVERAGEIFS(C$2:C$463,A$2:A$463,"&gt;="&amp;DATE(YEAR(TODAY()),MONTH(TODAY()),1),A$2:A$463,"&lt;"&amp;DATE(YEAR(TODAY()),MONTH(TODAY())+1,1),B$2:B$463,$B$525),"")</f>
        <v/>
      </c>
      <c r="D525" s="10">
        <f>IFERROR(AVERAGEIFS(D$2:D$463,A$2:A$463,"&gt;="&amp;DATE(YEAR(TODAY()),MONTH(TODAY()),1),A$2:A$463,"&lt;"&amp;DATE(YEAR(TODAY()),MONTH(TODAY())+1,1),B$2:B$463,$B$525),"")</f>
        <v/>
      </c>
      <c r="E525" s="10">
        <f>IFERROR(AVERAGEIFS(E$2:E$463,A$2:A$463,"&gt;="&amp;DATE(YEAR(TODAY()),MONTH(TODAY()),1),A$2:A$463,"&lt;"&amp;DATE(YEAR(TODAY()),MONTH(TODAY())+1,1),B$2:B$463,$B$525),"")</f>
        <v/>
      </c>
      <c r="F525" s="11">
        <f>IFERROR(SUMPRODUCT((YEAR(A$2:A$463)=YEAR(TODAY()))*(MONTH(A$2:A$463)=MONTH(TODAY()))*(B$2:B$463=$B$525)*(F$2:F$463),"")</f>
        <v/>
      </c>
    </row>
    <row r="526">
      <c r="B526" s="2" t="inlineStr">
        <is>
          <t>电解钴（鹿特丹仓库）</t>
        </is>
      </c>
      <c r="C526" s="10">
        <f>IFERROR(AVERAGEIFS(C$2:C$463,A$2:A$463,"&gt;="&amp;DATE(YEAR(TODAY()),MONTH(TODAY()),1),A$2:A$463,"&lt;"&amp;DATE(YEAR(TODAY()),MONTH(TODAY())+1,1),B$2:B$463,$B$526),"")</f>
        <v/>
      </c>
      <c r="D526" s="10">
        <f>IFERROR(AVERAGEIFS(D$2:D$463,A$2:A$463,"&gt;="&amp;DATE(YEAR(TODAY()),MONTH(TODAY()),1),A$2:A$463,"&lt;"&amp;DATE(YEAR(TODAY()),MONTH(TODAY())+1,1),B$2:B$463,$B$526),"")</f>
        <v/>
      </c>
      <c r="E526" s="10">
        <f>IFERROR(AVERAGEIFS(E$2:E$463,A$2:A$463,"&gt;="&amp;DATE(YEAR(TODAY()),MONTH(TODAY()),1),A$2:A$463,"&lt;"&amp;DATE(YEAR(TODAY()),MONTH(TODAY())+1,1),B$2:B$463,$B$526),"")</f>
        <v/>
      </c>
      <c r="F526" s="11">
        <f>IFERROR(SUMPRODUCT((YEAR(A$2:A$463)=YEAR(TODAY()))*(MONTH(A$2:A$463)=MONTH(TODAY()))*(B$2:B$463=$B$526)*(F$2:F$463),"")</f>
        <v/>
      </c>
    </row>
    <row r="527">
      <c r="B527" s="2" t="inlineStr">
        <is>
          <t>电镀级硫酸镍</t>
        </is>
      </c>
      <c r="C527" s="10">
        <f>IFERROR(AVERAGEIFS(C$2:C$463,A$2:A$463,"&gt;="&amp;DATE(YEAR(TODAY()),MONTH(TODAY()),1),A$2:A$463,"&lt;"&amp;DATE(YEAR(TODAY()),MONTH(TODAY())+1,1),B$2:B$463,$B$527),"")</f>
        <v/>
      </c>
      <c r="D527" s="10">
        <f>IFERROR(AVERAGEIFS(D$2:D$463,A$2:A$463,"&gt;="&amp;DATE(YEAR(TODAY()),MONTH(TODAY()),1),A$2:A$463,"&lt;"&amp;DATE(YEAR(TODAY()),MONTH(TODAY())+1,1),B$2:B$463,$B$527),"")</f>
        <v/>
      </c>
      <c r="E527" s="10">
        <f>IFERROR(AVERAGEIFS(E$2:E$463,A$2:A$463,"&gt;="&amp;DATE(YEAR(TODAY()),MONTH(TODAY()),1),A$2:A$463,"&lt;"&amp;DATE(YEAR(TODAY()),MONTH(TODAY())+1,1),B$2:B$463,$B$527),"")</f>
        <v/>
      </c>
      <c r="F527" s="11">
        <f>IFERROR(SUMPRODUCT((YEAR(A$2:A$463)=YEAR(TODAY()))*(MONTH(A$2:A$463)=MONTH(TODAY()))*(B$2:B$463=$B$527)*(F$2:F$463),"")</f>
        <v/>
      </c>
    </row>
    <row r="528">
      <c r="B528" s="2" t="inlineStr">
        <is>
          <t>硫酸钴</t>
        </is>
      </c>
      <c r="C528" s="10">
        <f>IFERROR(AVERAGEIFS(C$2:C$463,A$2:A$463,"&gt;="&amp;DATE(YEAR(TODAY()),MONTH(TODAY()),1),A$2:A$463,"&lt;"&amp;DATE(YEAR(TODAY()),MONTH(TODAY())+1,1),B$2:B$463,$B$528),"")</f>
        <v/>
      </c>
      <c r="D528" s="10">
        <f>IFERROR(AVERAGEIFS(D$2:D$463,A$2:A$463,"&gt;="&amp;DATE(YEAR(TODAY()),MONTH(TODAY()),1),A$2:A$463,"&lt;"&amp;DATE(YEAR(TODAY()),MONTH(TODAY())+1,1),B$2:B$463,$B$528),"")</f>
        <v/>
      </c>
      <c r="E528" s="10">
        <f>IFERROR(AVERAGEIFS(E$2:E$463,A$2:A$463,"&gt;="&amp;DATE(YEAR(TODAY()),MONTH(TODAY()),1),A$2:A$463,"&lt;"&amp;DATE(YEAR(TODAY()),MONTH(TODAY())+1,1),B$2:B$463,$B$528),"")</f>
        <v/>
      </c>
      <c r="F528" s="11">
        <f>IFERROR(SUMPRODUCT((YEAR(A$2:A$463)=YEAR(TODAY()))*(MONTH(A$2:A$463)=MONTH(TODAY()))*(B$2:B$463=$B$528)*(F$2:F$463),"")</f>
        <v/>
      </c>
    </row>
    <row r="529">
      <c r="B529" s="2" t="inlineStr">
        <is>
          <t>碳酸钴</t>
        </is>
      </c>
      <c r="C529" s="10">
        <f>IFERROR(AVERAGEIFS(C$2:C$463,A$2:A$463,"&gt;="&amp;DATE(YEAR(TODAY()),MONTH(TODAY()),1),A$2:A$463,"&lt;"&amp;DATE(YEAR(TODAY()),MONTH(TODAY())+1,1),B$2:B$463,$B$529),"")</f>
        <v/>
      </c>
      <c r="D529" s="10">
        <f>IFERROR(AVERAGEIFS(D$2:D$463,A$2:A$463,"&gt;="&amp;DATE(YEAR(TODAY()),MONTH(TODAY()),1),A$2:A$463,"&lt;"&amp;DATE(YEAR(TODAY()),MONTH(TODAY())+1,1),B$2:B$463,$B$529),"")</f>
        <v/>
      </c>
      <c r="E529" s="10">
        <f>IFERROR(AVERAGEIFS(E$2:E$463,A$2:A$463,"&gt;="&amp;DATE(YEAR(TODAY()),MONTH(TODAY()),1),A$2:A$463,"&lt;"&amp;DATE(YEAR(TODAY()),MONTH(TODAY())+1,1),B$2:B$463,$B$529),"")</f>
        <v/>
      </c>
      <c r="F529" s="11">
        <f>IFERROR(SUMPRODUCT((YEAR(A$2:A$463)=YEAR(TODAY()))*(MONTH(A$2:A$463)=MONTH(TODAY()))*(B$2:B$463=$B$529)*(F$2:F$463),"")</f>
        <v/>
      </c>
    </row>
    <row r="530">
      <c r="B530" s="2" t="inlineStr">
        <is>
          <t>磷酸铁锂</t>
        </is>
      </c>
      <c r="C530" s="10">
        <f>IFERROR(AVERAGEIFS(C$2:C$463,A$2:A$463,"&gt;="&amp;DATE(YEAR(TODAY()),MONTH(TODAY()),1),A$2:A$463,"&lt;"&amp;DATE(YEAR(TODAY()),MONTH(TODAY())+1,1),B$2:B$463,$B$530),"")</f>
        <v/>
      </c>
      <c r="D530" s="10">
        <f>IFERROR(AVERAGEIFS(D$2:D$463,A$2:A$463,"&gt;="&amp;DATE(YEAR(TODAY()),MONTH(TODAY()),1),A$2:A$463,"&lt;"&amp;DATE(YEAR(TODAY()),MONTH(TODAY())+1,1),B$2:B$463,$B$530),"")</f>
        <v/>
      </c>
      <c r="E530" s="10">
        <f>IFERROR(AVERAGEIFS(E$2:E$463,A$2:A$463,"&gt;="&amp;DATE(YEAR(TODAY()),MONTH(TODAY()),1),A$2:A$463,"&lt;"&amp;DATE(YEAR(TODAY()),MONTH(TODAY())+1,1),B$2:B$463,$B$530),"")</f>
        <v/>
      </c>
      <c r="F530" s="11">
        <f>IFERROR(SUMPRODUCT((YEAR(A$2:A$463)=YEAR(TODAY()))*(MONTH(A$2:A$463)=MONTH(TODAY()))*(B$2:B$463=$B$530)*(F$2:F$463),"")</f>
        <v/>
      </c>
    </row>
    <row r="531">
      <c r="B531" s="2" t="inlineStr">
        <is>
          <t>磷酸锰铁锂</t>
        </is>
      </c>
      <c r="C531" s="10">
        <f>IFERROR(AVERAGEIFS(C$2:C$463,A$2:A$463,"&gt;="&amp;DATE(YEAR(TODAY()),MONTH(TODAY()),1),A$2:A$463,"&lt;"&amp;DATE(YEAR(TODAY()),MONTH(TODAY())+1,1),B$2:B$463,$B$531),"")</f>
        <v/>
      </c>
      <c r="D531" s="10">
        <f>IFERROR(AVERAGEIFS(D$2:D$463,A$2:A$463,"&gt;="&amp;DATE(YEAR(TODAY()),MONTH(TODAY()),1),A$2:A$463,"&lt;"&amp;DATE(YEAR(TODAY()),MONTH(TODAY())+1,1),B$2:B$463,$B$531),"")</f>
        <v/>
      </c>
      <c r="E531" s="10">
        <f>IFERROR(AVERAGEIFS(E$2:E$463,A$2:A$463,"&gt;="&amp;DATE(YEAR(TODAY()),MONTH(TODAY()),1),A$2:A$463,"&lt;"&amp;DATE(YEAR(TODAY()),MONTH(TODAY())+1,1),B$2:B$463,$B$531),"")</f>
        <v/>
      </c>
      <c r="F531" s="11">
        <f>IFERROR(SUMPRODUCT((YEAR(A$2:A$463)=YEAR(TODAY()))*(MONTH(A$2:A$463)=MONTH(TODAY()))*(B$2:B$463=$B$531)*(F$2:F$463),"")</f>
        <v/>
      </c>
    </row>
    <row r="532">
      <c r="B532" s="2" t="inlineStr">
        <is>
          <t>金属钴FOB</t>
        </is>
      </c>
      <c r="C532" s="10">
        <f>IFERROR(AVERAGEIFS(C$2:C$463,A$2:A$463,"&gt;="&amp;DATE(YEAR(TODAY()),MONTH(TODAY()),1),A$2:A$463,"&lt;"&amp;DATE(YEAR(TODAY()),MONTH(TODAY())+1,1),B$2:B$463,$B$532),"")</f>
        <v/>
      </c>
      <c r="D532" s="10">
        <f>IFERROR(AVERAGEIFS(D$2:D$463,A$2:A$463,"&gt;="&amp;DATE(YEAR(TODAY()),MONTH(TODAY()),1),A$2:A$463,"&lt;"&amp;DATE(YEAR(TODAY()),MONTH(TODAY())+1,1),B$2:B$463,$B$532),"")</f>
        <v/>
      </c>
      <c r="E532" s="10">
        <f>IFERROR(AVERAGEIFS(E$2:E$463,A$2:A$463,"&gt;="&amp;DATE(YEAR(TODAY()),MONTH(TODAY()),1),A$2:A$463,"&lt;"&amp;DATE(YEAR(TODAY()),MONTH(TODAY())+1,1),B$2:B$463,$B$532),"")</f>
        <v/>
      </c>
      <c r="F532" s="11">
        <f>IFERROR(SUMPRODUCT((YEAR(A$2:A$463)=YEAR(TODAY()))*(MONTH(A$2:A$463)=MONTH(TODAY()))*(B$2:B$463=$B$532)*(F$2:F$463),"")</f>
        <v/>
      </c>
    </row>
    <row r="533">
      <c r="B533" s="2" t="inlineStr">
        <is>
          <t>钴中间品中钴含量≥30%</t>
        </is>
      </c>
      <c r="C533" s="10">
        <f>IFERROR(AVERAGEIFS(C$2:C$463,A$2:A$463,"&gt;="&amp;DATE(YEAR(TODAY()),MONTH(TODAY()),1),A$2:A$463,"&lt;"&amp;DATE(YEAR(TODAY()),MONTH(TODAY())+1,1),B$2:B$463,$B$533),"")</f>
        <v/>
      </c>
      <c r="D533" s="10">
        <f>IFERROR(AVERAGEIFS(D$2:D$463,A$2:A$463,"&gt;="&amp;DATE(YEAR(TODAY()),MONTH(TODAY()),1),A$2:A$463,"&lt;"&amp;DATE(YEAR(TODAY()),MONTH(TODAY())+1,1),B$2:B$463,$B$533),"")</f>
        <v/>
      </c>
      <c r="E533" s="10">
        <f>IFERROR(AVERAGEIFS(E$2:E$463,A$2:A$463,"&gt;="&amp;DATE(YEAR(TODAY()),MONTH(TODAY()),1),A$2:A$463,"&lt;"&amp;DATE(YEAR(TODAY()),MONTH(TODAY())+1,1),B$2:B$463,$B$533),"")</f>
        <v/>
      </c>
      <c r="F533" s="11">
        <f>IFERROR(SUMPRODUCT((YEAR(A$2:A$463)=YEAR(TODAY()))*(MONTH(A$2:A$463)=MONTH(TODAY()))*(B$2:B$463=$B$533)*(F$2:F$463),"")</f>
        <v/>
      </c>
    </row>
    <row r="534">
      <c r="B534" s="2" t="inlineStr">
        <is>
          <t>钴中间品原料计价系数（对SMM硫酸钴均价）</t>
        </is>
      </c>
      <c r="C534" s="10">
        <f>IFERROR(AVERAGEIFS(C$2:C$463,A$2:A$463,"&gt;="&amp;DATE(YEAR(TODAY()),MONTH(TODAY()),1),A$2:A$463,"&lt;"&amp;DATE(YEAR(TODAY()),MONTH(TODAY())+1,1),B$2:B$463,$B$534),"")</f>
        <v/>
      </c>
      <c r="D534" s="10">
        <f>IFERROR(AVERAGEIFS(D$2:D$463,A$2:A$463,"&gt;="&amp;DATE(YEAR(TODAY()),MONTH(TODAY()),1),A$2:A$463,"&lt;"&amp;DATE(YEAR(TODAY()),MONTH(TODAY())+1,1),B$2:B$463,$B$534),"")</f>
        <v/>
      </c>
      <c r="E534" s="10">
        <f>IFERROR(AVERAGEIFS(E$2:E$463,A$2:A$463,"&gt;="&amp;DATE(YEAR(TODAY()),MONTH(TODAY()),1),A$2:A$463,"&lt;"&amp;DATE(YEAR(TODAY()),MONTH(TODAY())+1,1),B$2:B$463,$B$534),"")</f>
        <v/>
      </c>
      <c r="F534" s="11">
        <f>IFERROR(SUMPRODUCT((YEAR(A$2:A$463)=YEAR(TODAY()))*(MONTH(A$2:A$463)=MONTH(TODAY()))*(B$2:B$463=$B$534)*(F$2:F$463),"")</f>
        <v/>
      </c>
    </row>
    <row r="535">
      <c r="B535" s="2" t="inlineStr">
        <is>
          <t>钴酸锂</t>
        </is>
      </c>
      <c r="C535" s="10">
        <f>IFERROR(AVERAGEIFS(C$2:C$463,A$2:A$463,"&gt;="&amp;DATE(YEAR(TODAY()),MONTH(TODAY()),1),A$2:A$463,"&lt;"&amp;DATE(YEAR(TODAY()),MONTH(TODAY())+1,1),B$2:B$463,$B$535),"")</f>
        <v/>
      </c>
      <c r="D535" s="10">
        <f>IFERROR(AVERAGEIFS(D$2:D$463,A$2:A$463,"&gt;="&amp;DATE(YEAR(TODAY()),MONTH(TODAY()),1),A$2:A$463,"&lt;"&amp;DATE(YEAR(TODAY()),MONTH(TODAY())+1,1),B$2:B$463,$B$535),"")</f>
        <v/>
      </c>
      <c r="E535" s="10">
        <f>IFERROR(AVERAGEIFS(E$2:E$463,A$2:A$463,"&gt;="&amp;DATE(YEAR(TODAY()),MONTH(TODAY()),1),A$2:A$463,"&lt;"&amp;DATE(YEAR(TODAY()),MONTH(TODAY())+1,1),B$2:B$463,$B$535),"")</f>
        <v/>
      </c>
      <c r="F535" s="11">
        <f>IFERROR(SUMPRODUCT((YEAR(A$2:A$463)=YEAR(TODAY()))*(MONTH(A$2:A$463)=MONTH(TODAY()))*(B$2:B$463=$B$535)*(F$2:F$463),"")</f>
        <v/>
      </c>
    </row>
    <row r="536">
      <c r="B536" s="2" t="inlineStr">
        <is>
          <t>钴酸锂聚合物软包</t>
        </is>
      </c>
      <c r="C536" s="10">
        <f>IFERROR(AVERAGEIFS(C$2:C$463,A$2:A$463,"&gt;="&amp;DATE(YEAR(TODAY()),MONTH(TODAY()),1),A$2:A$463,"&lt;"&amp;DATE(YEAR(TODAY()),MONTH(TODAY())+1,1),B$2:B$463,$B$536),"")</f>
        <v/>
      </c>
      <c r="D536" s="10">
        <f>IFERROR(AVERAGEIFS(D$2:D$463,A$2:A$463,"&gt;="&amp;DATE(YEAR(TODAY()),MONTH(TODAY()),1),A$2:A$463,"&lt;"&amp;DATE(YEAR(TODAY()),MONTH(TODAY())+1,1),B$2:B$463,$B$536),"")</f>
        <v/>
      </c>
      <c r="E536" s="10">
        <f>IFERROR(AVERAGEIFS(E$2:E$463,A$2:A$463,"&gt;="&amp;DATE(YEAR(TODAY()),MONTH(TODAY()),1),A$2:A$463,"&lt;"&amp;DATE(YEAR(TODAY()),MONTH(TODAY())+1,1),B$2:B$463,$B$536),"")</f>
        <v/>
      </c>
      <c r="F536" s="11">
        <f>IFERROR(SUMPRODUCT((YEAR(A$2:A$463)=YEAR(TODAY()))*(MONTH(A$2:A$463)=MONTH(TODAY()))*(B$2:B$463=$B$536)*(F$2:F$463),"")</f>
        <v/>
      </c>
    </row>
    <row r="537">
      <c r="B537" s="2" t="inlineStr">
        <is>
          <t>钴酸锂铝壳</t>
        </is>
      </c>
      <c r="C537" s="10">
        <f>IFERROR(AVERAGEIFS(C$2:C$463,A$2:A$463,"&gt;="&amp;DATE(YEAR(TODAY()),MONTH(TODAY()),1),A$2:A$463,"&lt;"&amp;DATE(YEAR(TODAY()),MONTH(TODAY())+1,1),B$2:B$463,$B$537),"")</f>
        <v/>
      </c>
      <c r="D537" s="10">
        <f>IFERROR(AVERAGEIFS(D$2:D$463,A$2:A$463,"&gt;="&amp;DATE(YEAR(TODAY()),MONTH(TODAY()),1),A$2:A$463,"&lt;"&amp;DATE(YEAR(TODAY()),MONTH(TODAY())+1,1),B$2:B$463,$B$537),"")</f>
        <v/>
      </c>
      <c r="E537" s="10">
        <f>IFERROR(AVERAGEIFS(E$2:E$463,A$2:A$463,"&gt;="&amp;DATE(YEAR(TODAY()),MONTH(TODAY()),1),A$2:A$463,"&lt;"&amp;DATE(YEAR(TODAY()),MONTH(TODAY())+1,1),B$2:B$463,$B$537),"")</f>
        <v/>
      </c>
      <c r="F537" s="11">
        <f>IFERROR(SUMPRODUCT((YEAR(A$2:A$463)=YEAR(TODAY()))*(MONTH(A$2:A$463)=MONTH(TODAY()))*(B$2:B$463=$B$537)*(F$2:F$463),"")</f>
        <v/>
      </c>
    </row>
    <row r="538">
      <c r="B538" s="2" t="inlineStr">
        <is>
          <t>锰酸锂圆柱钢壳</t>
        </is>
      </c>
      <c r="C538" s="10">
        <f>IFERROR(AVERAGEIFS(C$2:C$463,A$2:A$463,"&gt;="&amp;DATE(YEAR(TODAY()),MONTH(TODAY()),1),A$2:A$463,"&lt;"&amp;DATE(YEAR(TODAY()),MONTH(TODAY())+1,1),B$2:B$463,$B$538),"")</f>
        <v/>
      </c>
      <c r="D538" s="10">
        <f>IFERROR(AVERAGEIFS(D$2:D$463,A$2:A$463,"&gt;="&amp;DATE(YEAR(TODAY()),MONTH(TODAY()),1),A$2:A$463,"&lt;"&amp;DATE(YEAR(TODAY()),MONTH(TODAY())+1,1),B$2:B$463,$B$538),"")</f>
        <v/>
      </c>
      <c r="E538" s="10">
        <f>IFERROR(AVERAGEIFS(E$2:E$463,A$2:A$463,"&gt;="&amp;DATE(YEAR(TODAY()),MONTH(TODAY()),1),A$2:A$463,"&lt;"&amp;DATE(YEAR(TODAY()),MONTH(TODAY())+1,1),B$2:B$463,$B$538),"")</f>
        <v/>
      </c>
      <c r="F538" s="11">
        <f>IFERROR(SUMPRODUCT((YEAR(A$2:A$463)=YEAR(TODAY()))*(MONTH(A$2:A$463)=MONTH(TODAY()))*(B$2:B$463=$B$538)*(F$2:F$463),"")</f>
        <v/>
      </c>
    </row>
    <row r="539">
      <c r="B539" s="2" t="inlineStr">
        <is>
          <t>非洲硫酸锂(CIF中国)</t>
        </is>
      </c>
      <c r="C539" s="10">
        <f>IFERROR(AVERAGEIFS(C$2:C$463,A$2:A$463,"&gt;="&amp;DATE(YEAR(TODAY()),MONTH(TODAY()),1),A$2:A$463,"&lt;"&amp;DATE(YEAR(TODAY()),MONTH(TODAY())+1,1),B$2:B$463,$B$539),"")</f>
        <v/>
      </c>
      <c r="D539" s="10">
        <f>IFERROR(AVERAGEIFS(D$2:D$463,A$2:A$463,"&gt;="&amp;DATE(YEAR(TODAY()),MONTH(TODAY()),1),A$2:A$463,"&lt;"&amp;DATE(YEAR(TODAY()),MONTH(TODAY())+1,1),B$2:B$463,$B$539),"")</f>
        <v/>
      </c>
      <c r="E539" s="10">
        <f>IFERROR(AVERAGEIFS(E$2:E$463,A$2:A$463,"&gt;="&amp;DATE(YEAR(TODAY()),MONTH(TODAY()),1),A$2:A$463,"&lt;"&amp;DATE(YEAR(TODAY()),MONTH(TODAY())+1,1),B$2:B$463,$B$539),"")</f>
        <v/>
      </c>
      <c r="F539" s="11">
        <f>IFERROR(SUMPRODUCT((YEAR(A$2:A$463)=YEAR(TODAY()))*(MONTH(A$2:A$463)=MONTH(TODAY()))*(B$2:B$463=$B$539)*(F$2:F$463),"")</f>
        <v/>
      </c>
    </row>
    <row r="540">
      <c r="B540" s="2" t="inlineStr">
        <is>
          <t>非洲锂辉石精矿（CIF中国）指数</t>
        </is>
      </c>
      <c r="C540" s="10">
        <f>IFERROR(AVERAGEIFS(C$2:C$463,A$2:A$463,"&gt;="&amp;DATE(YEAR(TODAY()),MONTH(TODAY()),1),A$2:A$463,"&lt;"&amp;DATE(YEAR(TODAY()),MONTH(TODAY())+1,1),B$2:B$463,$B$540),"")</f>
        <v/>
      </c>
      <c r="D540" s="10">
        <f>IFERROR(AVERAGEIFS(D$2:D$463,A$2:A$463,"&gt;="&amp;DATE(YEAR(TODAY()),MONTH(TODAY()),1),A$2:A$463,"&lt;"&amp;DATE(YEAR(TODAY()),MONTH(TODAY())+1,1),B$2:B$463,$B$540),"")</f>
        <v/>
      </c>
      <c r="E540" s="10">
        <f>IFERROR(AVERAGEIFS(E$2:E$463,A$2:A$463,"&gt;="&amp;DATE(YEAR(TODAY()),MONTH(TODAY()),1),A$2:A$463,"&lt;"&amp;DATE(YEAR(TODAY()),MONTH(TODAY())+1,1),B$2:B$463,$B$540),"")</f>
        <v/>
      </c>
      <c r="F540" s="11">
        <f>IFERROR(SUMPRODUCT((YEAR(A$2:A$463)=YEAR(TODAY()))*(MONTH(A$2:A$463)=MONTH(TODAY()))*(B$2:B$463=$B$540)*(F$2:F$463),"")</f>
        <v/>
      </c>
    </row>
  </sheetData>
  <autoFilter ref="A1:H463"/>
  <mergeCells count="1">
    <mergeCell ref="A465:H4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6.8008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6">
      <c r="A36" s="8" t="inlineStr">
        <is>
          <t>当月均价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C37" s="2" t="inlineStr">
        <is>
          <t>CME氢氧化锂</t>
        </is>
      </c>
      <c r="D37" s="10">
        <f>IFERROR(AVERAGEIFS(D$2:D$34,A$2:A$34,"&gt;="&amp;DATE(YEAR(TODAY()),MONTH(TODAY()),1),A$2:A$34,"&lt;"&amp;DATE(YEAR(TODAY()),MONTH(TODAY())+1,1),C$2:C$34,$C$37),"")</f>
        <v/>
      </c>
      <c r="E37" s="10">
        <f>IFERROR(AVERAGEIFS(E$2:E$34,A$2:A$34,"&gt;="&amp;DATE(YEAR(TODAY()),MONTH(TODAY()),1),A$2:A$34,"&lt;"&amp;DATE(YEAR(TODAY()),MONTH(TODAY())+1,1),C$2:C$34,$C$37),"")</f>
        <v/>
      </c>
      <c r="F37" s="10">
        <f>IFERROR(AVERAGEIFS(F$2:F$34,A$2:A$34,"&gt;="&amp;DATE(YEAR(TODAY()),MONTH(TODAY()),1),A$2:A$34,"&lt;"&amp;DATE(YEAR(TODAY()),MONTH(TODAY())+1,1),C$2:C$34,$C$37),"")</f>
        <v/>
      </c>
      <c r="G37" s="10">
        <f>IFERROR(AVERAGEIFS(G$2:G$34,A$2:A$34,"&gt;="&amp;DATE(YEAR(TODAY()),MONTH(TODAY()),1),A$2:A$34,"&lt;"&amp;DATE(YEAR(TODAY()),MONTH(TODAY())+1,1),C$2:C$34,$C$37),"")</f>
        <v/>
      </c>
      <c r="H37" s="11">
        <f>IFERROR(SUMPRODUCT((YEAR(A$2:A$34)=YEAR(TODAY()))*(MONTH(A$2:A$34)=MONTH(TODAY()))*(C$2:C$34=$C$37)*(H$2:H$34),"")</f>
        <v/>
      </c>
    </row>
    <row r="38">
      <c r="C38" s="2" t="inlineStr">
        <is>
          <t>CME钴</t>
        </is>
      </c>
      <c r="D38" s="10">
        <f>IFERROR(AVERAGEIFS(D$2:D$34,A$2:A$34,"&gt;="&amp;DATE(YEAR(TODAY()),MONTH(TODAY()),1),A$2:A$34,"&lt;"&amp;DATE(YEAR(TODAY()),MONTH(TODAY())+1,1),C$2:C$34,$C$38),"")</f>
        <v/>
      </c>
      <c r="E38" s="10">
        <f>IFERROR(AVERAGEIFS(E$2:E$34,A$2:A$34,"&gt;="&amp;DATE(YEAR(TODAY()),MONTH(TODAY()),1),A$2:A$34,"&lt;"&amp;DATE(YEAR(TODAY()),MONTH(TODAY())+1,1),C$2:C$34,$C$38),"")</f>
        <v/>
      </c>
      <c r="F38" s="10">
        <f>IFERROR(AVERAGEIFS(F$2:F$34,A$2:A$34,"&gt;="&amp;DATE(YEAR(TODAY()),MONTH(TODAY()),1),A$2:A$34,"&lt;"&amp;DATE(YEAR(TODAY()),MONTH(TODAY())+1,1),C$2:C$34,$C$38),"")</f>
        <v/>
      </c>
      <c r="G38" s="10">
        <f>IFERROR(AVERAGEIFS(G$2:G$34,A$2:A$34,"&gt;="&amp;DATE(YEAR(TODAY()),MONTH(TODAY()),1),A$2:A$34,"&lt;"&amp;DATE(YEAR(TODAY()),MONTH(TODAY())+1,1),C$2:C$34,$C$38),"")</f>
        <v/>
      </c>
      <c r="H38" s="11">
        <f>IFERROR(SUMPRODUCT((YEAR(A$2:A$34)=YEAR(TODAY()))*(MONTH(A$2:A$34)=MONTH(TODAY()))*(C$2:C$34=$C$38)*(H$2:H$34),"")</f>
        <v/>
      </c>
    </row>
    <row r="39">
      <c r="C39" s="2" t="inlineStr">
        <is>
          <t>沪镍(NI)连续</t>
        </is>
      </c>
      <c r="D39" s="10">
        <f>IFERROR(AVERAGEIFS(D$2:D$34,A$2:A$34,"&gt;="&amp;DATE(YEAR(TODAY()),MONTH(TODAY()),1),A$2:A$34,"&lt;"&amp;DATE(YEAR(TODAY()),MONTH(TODAY())+1,1),C$2:C$34,$C$39),"")</f>
        <v/>
      </c>
      <c r="E39" s="10">
        <f>IFERROR(AVERAGEIFS(E$2:E$34,A$2:A$34,"&gt;="&amp;DATE(YEAR(TODAY()),MONTH(TODAY()),1),A$2:A$34,"&lt;"&amp;DATE(YEAR(TODAY()),MONTH(TODAY())+1,1),C$2:C$34,$C$39),"")</f>
        <v/>
      </c>
      <c r="F39" s="10">
        <f>IFERROR(AVERAGEIFS(F$2:F$34,A$2:A$34,"&gt;="&amp;DATE(YEAR(TODAY()),MONTH(TODAY()),1),A$2:A$34,"&lt;"&amp;DATE(YEAR(TODAY()),MONTH(TODAY())+1,1),C$2:C$34,$C$39),"")</f>
        <v/>
      </c>
      <c r="G39" s="10">
        <f>IFERROR(AVERAGEIFS(G$2:G$34,A$2:A$34,"&gt;="&amp;DATE(YEAR(TODAY()),MONTH(TODAY()),1),A$2:A$34,"&lt;"&amp;DATE(YEAR(TODAY()),MONTH(TODAY())+1,1),C$2:C$34,$C$39),"")</f>
        <v/>
      </c>
      <c r="H39" s="11">
        <f>IFERROR(SUMPRODUCT((YEAR(A$2:A$34)=YEAR(TODAY()))*(MONTH(A$2:A$34)=MONTH(TODAY()))*(C$2:C$34=$C$39)*(H$2:H$34),"")</f>
        <v/>
      </c>
    </row>
    <row r="40">
      <c r="C40" s="2" t="inlineStr">
        <is>
          <t>碳酸锂(LC)连续</t>
        </is>
      </c>
      <c r="D40" s="10">
        <f>IFERROR(AVERAGEIFS(D$2:D$34,A$2:A$34,"&gt;="&amp;DATE(YEAR(TODAY()),MONTH(TODAY()),1),A$2:A$34,"&lt;"&amp;DATE(YEAR(TODAY()),MONTH(TODAY())+1,1),C$2:C$34,$C$40),"")</f>
        <v/>
      </c>
      <c r="E40" s="10">
        <f>IFERROR(AVERAGEIFS(E$2:E$34,A$2:A$34,"&gt;="&amp;DATE(YEAR(TODAY()),MONTH(TODAY()),1),A$2:A$34,"&lt;"&amp;DATE(YEAR(TODAY()),MONTH(TODAY())+1,1),C$2:C$34,$C$40),"")</f>
        <v/>
      </c>
      <c r="F40" s="10">
        <f>IFERROR(AVERAGEIFS(F$2:F$34,A$2:A$34,"&gt;="&amp;DATE(YEAR(TODAY()),MONTH(TODAY()),1),A$2:A$34,"&lt;"&amp;DATE(YEAR(TODAY()),MONTH(TODAY())+1,1),C$2:C$34,$C$40),"")</f>
        <v/>
      </c>
      <c r="G40" s="10">
        <f>IFERROR(AVERAGEIFS(G$2:G$34,A$2:A$34,"&gt;="&amp;DATE(YEAR(TODAY()),MONTH(TODAY()),1),A$2:A$34,"&lt;"&amp;DATE(YEAR(TODAY()),MONTH(TODAY())+1,1),C$2:C$34,$C$40),"")</f>
        <v/>
      </c>
      <c r="H40" s="11">
        <f>IFERROR(SUMPRODUCT((YEAR(A$2:A$34)=YEAR(TODAY()))*(MONTH(A$2:A$34)=MONTH(TODAY()))*(C$2:C$34=$C$40)*(H$2:H$34),"")</f>
        <v/>
      </c>
    </row>
    <row r="41">
      <c r="C41" s="2" t="inlineStr">
        <is>
          <t>美元/人民币(USDCNY)</t>
        </is>
      </c>
      <c r="D41" s="10">
        <f>IFERROR(AVERAGEIFS(D$2:D$34,A$2:A$34,"&gt;="&amp;DATE(YEAR(TODAY()),MONTH(TODAY()),1),A$2:A$34,"&lt;"&amp;DATE(YEAR(TODAY()),MONTH(TODAY())+1,1),C$2:C$34,$C$41),"")</f>
        <v/>
      </c>
      <c r="E41" s="10">
        <f>IFERROR(AVERAGEIFS(E$2:E$34,A$2:A$34,"&gt;="&amp;DATE(YEAR(TODAY()),MONTH(TODAY()),1),A$2:A$34,"&lt;"&amp;DATE(YEAR(TODAY()),MONTH(TODAY())+1,1),C$2:C$34,$C$41),"")</f>
        <v/>
      </c>
      <c r="F41" s="10">
        <f>IFERROR(AVERAGEIFS(F$2:F$34,A$2:A$34,"&gt;="&amp;DATE(YEAR(TODAY()),MONTH(TODAY()),1),A$2:A$34,"&lt;"&amp;DATE(YEAR(TODAY()),MONTH(TODAY())+1,1),C$2:C$34,$C$41),"")</f>
        <v/>
      </c>
      <c r="G41" s="10">
        <f>IFERROR(AVERAGEIFS(G$2:G$34,A$2:A$34,"&gt;="&amp;DATE(YEAR(TODAY()),MONTH(TODAY()),1),A$2:A$34,"&lt;"&amp;DATE(YEAR(TODAY()),MONTH(TODAY())+1,1),C$2:C$34,$C$41),"")</f>
        <v/>
      </c>
      <c r="H41" s="11">
        <f>IFERROR(SUMPRODUCT((YEAR(A$2:A$34)=YEAR(TODAY()))*(MONTH(A$2:A$34)=MONTH(TODAY()))*(C$2:C$34=$C$41)*(H$2:H$34),"")</f>
        <v/>
      </c>
    </row>
  </sheetData>
  <autoFilter ref="A1:J34"/>
  <mergeCells count="1">
    <mergeCell ref="A36:J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2026-06-24T08:30:20Z</dcterms:created>
  <dcterms:modified xmlns:dcterms="http://purl.org/dc/terms/" xmlns:xsi="http://www.w3.org/2001/XMLSchema-instance" xsi:type="dcterms:W3CDTF">2026-06-24T08:30:21Z</dcterms:modified>
</cp:coreProperties>
</file>