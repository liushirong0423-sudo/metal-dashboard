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'现货'!$A$1:$H$388</definedName>
    <definedName name="_xlnm._FilterDatabase" localSheetId="1" hidden="1">'期货'!$A$1:$J$29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90">
      <c r="A390" s="8" t="inlineStr">
        <is>
          <t>当月均价</t>
        </is>
      </c>
      <c r="B390" s="9" t="n"/>
      <c r="C390" s="9" t="n"/>
      <c r="D390" s="9" t="n"/>
      <c r="E390" s="9" t="n"/>
      <c r="F390" s="9" t="n"/>
      <c r="G390" s="9" t="n"/>
      <c r="H390" s="9" t="n"/>
    </row>
    <row r="391">
      <c r="B391" s="2" t="inlineStr">
        <is>
          <t>5系三元前驱体</t>
        </is>
      </c>
      <c r="C391" s="10">
        <f>IFERROR(AVERAGEIFS(C$2:C$388,A$2:A$388,"&gt;="&amp;DATE(YEAR(TODAY()),MONTH(TODAY()),1),A$2:A$388,"&lt;"&amp;DATE(YEAR(TODAY()),MONTH(TODAY())+1,1),B$2:B$388,$B$391),"")</f>
        <v/>
      </c>
      <c r="D391" s="10">
        <f>IFERROR(AVERAGEIFS(D$2:D$388,A$2:A$388,"&gt;="&amp;DATE(YEAR(TODAY()),MONTH(TODAY()),1),A$2:A$388,"&lt;"&amp;DATE(YEAR(TODAY()),MONTH(TODAY())+1,1),B$2:B$388,$B$391),"")</f>
        <v/>
      </c>
      <c r="E391" s="10">
        <f>IFERROR(AVERAGEIFS(E$2:E$388,A$2:A$388,"&gt;="&amp;DATE(YEAR(TODAY()),MONTH(TODAY()),1),A$2:A$388,"&lt;"&amp;DATE(YEAR(TODAY()),MONTH(TODAY())+1,1),B$2:B$388,$B$391),"")</f>
        <v/>
      </c>
      <c r="F391" s="11">
        <f>IFERROR(SUMPRODUCT((YEAR(A$2:A$388)=YEAR(TODAY()))*(MONTH(A$2:A$388)=MONTH(TODAY()))*(B$2:B$388=$B$391)*(F$2:F$388),"")</f>
        <v/>
      </c>
    </row>
    <row r="392">
      <c r="B392" s="2" t="inlineStr">
        <is>
          <t>5系三元材料</t>
        </is>
      </c>
      <c r="C392" s="10">
        <f>IFERROR(AVERAGEIFS(C$2:C$388,A$2:A$388,"&gt;="&amp;DATE(YEAR(TODAY()),MONTH(TODAY()),1),A$2:A$388,"&lt;"&amp;DATE(YEAR(TODAY()),MONTH(TODAY())+1,1),B$2:B$388,$B$392),"")</f>
        <v/>
      </c>
      <c r="D392" s="10">
        <f>IFERROR(AVERAGEIFS(D$2:D$388,A$2:A$388,"&gt;="&amp;DATE(YEAR(TODAY()),MONTH(TODAY()),1),A$2:A$388,"&lt;"&amp;DATE(YEAR(TODAY()),MONTH(TODAY())+1,1),B$2:B$388,$B$392),"")</f>
        <v/>
      </c>
      <c r="E392" s="10">
        <f>IFERROR(AVERAGEIFS(E$2:E$388,A$2:A$388,"&gt;="&amp;DATE(YEAR(TODAY()),MONTH(TODAY()),1),A$2:A$388,"&lt;"&amp;DATE(YEAR(TODAY()),MONTH(TODAY())+1,1),B$2:B$388,$B$392),"")</f>
        <v/>
      </c>
      <c r="F392" s="11">
        <f>IFERROR(SUMPRODUCT((YEAR(A$2:A$388)=YEAR(TODAY()))*(MONTH(A$2:A$388)=MONTH(TODAY()))*(B$2:B$388=$B$392)*(F$2:F$388),"")</f>
        <v/>
      </c>
    </row>
    <row r="393">
      <c r="B393" s="2" t="inlineStr">
        <is>
          <t>6系三元前驱体（单晶/动力型）</t>
        </is>
      </c>
      <c r="C393" s="10">
        <f>IFERROR(AVERAGEIFS(C$2:C$388,A$2:A$388,"&gt;="&amp;DATE(YEAR(TODAY()),MONTH(TODAY()),1),A$2:A$388,"&lt;"&amp;DATE(YEAR(TODAY()),MONTH(TODAY())+1,1),B$2:B$388,$B$393),"")</f>
        <v/>
      </c>
      <c r="D393" s="10">
        <f>IFERROR(AVERAGEIFS(D$2:D$388,A$2:A$388,"&gt;="&amp;DATE(YEAR(TODAY()),MONTH(TODAY()),1),A$2:A$388,"&lt;"&amp;DATE(YEAR(TODAY()),MONTH(TODAY())+1,1),B$2:B$388,$B$393),"")</f>
        <v/>
      </c>
      <c r="E393" s="10">
        <f>IFERROR(AVERAGEIFS(E$2:E$388,A$2:A$388,"&gt;="&amp;DATE(YEAR(TODAY()),MONTH(TODAY()),1),A$2:A$388,"&lt;"&amp;DATE(YEAR(TODAY()),MONTH(TODAY())+1,1),B$2:B$388,$B$393),"")</f>
        <v/>
      </c>
      <c r="F393" s="11">
        <f>IFERROR(SUMPRODUCT((YEAR(A$2:A$388)=YEAR(TODAY()))*(MONTH(A$2:A$388)=MONTH(TODAY()))*(B$2:B$388=$B$393)*(F$2:F$388),"")</f>
        <v/>
      </c>
    </row>
    <row r="394">
      <c r="B394" s="2" t="inlineStr">
        <is>
          <t>6系三元材料（单晶/动力型）</t>
        </is>
      </c>
      <c r="C394" s="10">
        <f>IFERROR(AVERAGEIFS(C$2:C$388,A$2:A$388,"&gt;="&amp;DATE(YEAR(TODAY()),MONTH(TODAY()),1),A$2:A$388,"&lt;"&amp;DATE(YEAR(TODAY()),MONTH(TODAY())+1,1),B$2:B$388,$B$394),"")</f>
        <v/>
      </c>
      <c r="D394" s="10">
        <f>IFERROR(AVERAGEIFS(D$2:D$388,A$2:A$388,"&gt;="&amp;DATE(YEAR(TODAY()),MONTH(TODAY()),1),A$2:A$388,"&lt;"&amp;DATE(YEAR(TODAY()),MONTH(TODAY())+1,1),B$2:B$388,$B$394),"")</f>
        <v/>
      </c>
      <c r="E394" s="10">
        <f>IFERROR(AVERAGEIFS(E$2:E$388,A$2:A$388,"&gt;="&amp;DATE(YEAR(TODAY()),MONTH(TODAY()),1),A$2:A$388,"&lt;"&amp;DATE(YEAR(TODAY()),MONTH(TODAY())+1,1),B$2:B$388,$B$394),"")</f>
        <v/>
      </c>
      <c r="F394" s="11">
        <f>IFERROR(SUMPRODUCT((YEAR(A$2:A$388)=YEAR(TODAY()))*(MONTH(A$2:A$388)=MONTH(TODAY()))*(B$2:B$388=$B$394)*(F$2:F$388),"")</f>
        <v/>
      </c>
    </row>
    <row r="395">
      <c r="B395" s="2" t="inlineStr">
        <is>
          <t>8系三元前驱体（多晶/动力型）</t>
        </is>
      </c>
      <c r="C395" s="10">
        <f>IFERROR(AVERAGEIFS(C$2:C$388,A$2:A$388,"&gt;="&amp;DATE(YEAR(TODAY()),MONTH(TODAY()),1),A$2:A$388,"&lt;"&amp;DATE(YEAR(TODAY()),MONTH(TODAY())+1,1),B$2:B$388,$B$395),"")</f>
        <v/>
      </c>
      <c r="D395" s="10">
        <f>IFERROR(AVERAGEIFS(D$2:D$388,A$2:A$388,"&gt;="&amp;DATE(YEAR(TODAY()),MONTH(TODAY()),1),A$2:A$388,"&lt;"&amp;DATE(YEAR(TODAY()),MONTH(TODAY())+1,1),B$2:B$388,$B$395),"")</f>
        <v/>
      </c>
      <c r="E395" s="10">
        <f>IFERROR(AVERAGEIFS(E$2:E$388,A$2:A$388,"&gt;="&amp;DATE(YEAR(TODAY()),MONTH(TODAY()),1),A$2:A$388,"&lt;"&amp;DATE(YEAR(TODAY()),MONTH(TODAY())+1,1),B$2:B$388,$B$395),"")</f>
        <v/>
      </c>
      <c r="F395" s="11">
        <f>IFERROR(SUMPRODUCT((YEAR(A$2:A$388)=YEAR(TODAY()))*(MONTH(A$2:A$388)=MONTH(TODAY()))*(B$2:B$388=$B$395)*(F$2:F$388),"")</f>
        <v/>
      </c>
    </row>
    <row r="396">
      <c r="B396" s="2" t="inlineStr">
        <is>
          <t>8系三元材料</t>
        </is>
      </c>
      <c r="C396" s="10">
        <f>IFERROR(AVERAGEIFS(C$2:C$388,A$2:A$388,"&gt;="&amp;DATE(YEAR(TODAY()),MONTH(TODAY()),1),A$2:A$388,"&lt;"&amp;DATE(YEAR(TODAY()),MONTH(TODAY())+1,1),B$2:B$388,$B$396),"")</f>
        <v/>
      </c>
      <c r="D396" s="10">
        <f>IFERROR(AVERAGEIFS(D$2:D$388,A$2:A$388,"&gt;="&amp;DATE(YEAR(TODAY()),MONTH(TODAY()),1),A$2:A$388,"&lt;"&amp;DATE(YEAR(TODAY()),MONTH(TODAY())+1,1),B$2:B$388,$B$396),"")</f>
        <v/>
      </c>
      <c r="E396" s="10">
        <f>IFERROR(AVERAGEIFS(E$2:E$388,A$2:A$388,"&gt;="&amp;DATE(YEAR(TODAY()),MONTH(TODAY()),1),A$2:A$388,"&lt;"&amp;DATE(YEAR(TODAY()),MONTH(TODAY())+1,1),B$2:B$388,$B$396),"")</f>
        <v/>
      </c>
      <c r="F396" s="11">
        <f>IFERROR(SUMPRODUCT((YEAR(A$2:A$388)=YEAR(TODAY()))*(MONTH(A$2:A$388)=MONTH(TODAY()))*(B$2:B$388=$B$396)*(F$2:F$388),"")</f>
        <v/>
      </c>
    </row>
    <row r="397">
      <c r="B397" s="2" t="inlineStr">
        <is>
          <t>MHP系数（对SMM电池级硫酸镍指数）</t>
        </is>
      </c>
      <c r="C397" s="10">
        <f>IFERROR(AVERAGEIFS(C$2:C$388,A$2:A$388,"&gt;="&amp;DATE(YEAR(TODAY()),MONTH(TODAY()),1),A$2:A$388,"&lt;"&amp;DATE(YEAR(TODAY()),MONTH(TODAY())+1,1),B$2:B$388,$B$397),"")</f>
        <v/>
      </c>
      <c r="D397" s="10">
        <f>IFERROR(AVERAGEIFS(D$2:D$388,A$2:A$388,"&gt;="&amp;DATE(YEAR(TODAY()),MONTH(TODAY()),1),A$2:A$388,"&lt;"&amp;DATE(YEAR(TODAY()),MONTH(TODAY())+1,1),B$2:B$388,$B$397),"")</f>
        <v/>
      </c>
      <c r="E397" s="10">
        <f>IFERROR(AVERAGEIFS(E$2:E$388,A$2:A$388,"&gt;="&amp;DATE(YEAR(TODAY()),MONTH(TODAY()),1),A$2:A$388,"&lt;"&amp;DATE(YEAR(TODAY()),MONTH(TODAY())+1,1),B$2:B$388,$B$397),"")</f>
        <v/>
      </c>
      <c r="F397" s="11">
        <f>IFERROR(SUMPRODUCT((YEAR(A$2:A$388)=YEAR(TODAY()))*(MONTH(A$2:A$388)=MONTH(TODAY()))*(B$2:B$388=$B$397)*(F$2:F$388),"")</f>
        <v/>
      </c>
    </row>
    <row r="398">
      <c r="B398" s="2" t="inlineStr">
        <is>
          <t>MHP钴元素计价系数（对SMM硫酸钴均价）</t>
        </is>
      </c>
      <c r="C398" s="10">
        <f>IFERROR(AVERAGEIFS(C$2:C$388,A$2:A$388,"&gt;="&amp;DATE(YEAR(TODAY()),MONTH(TODAY()),1),A$2:A$388,"&lt;"&amp;DATE(YEAR(TODAY()),MONTH(TODAY())+1,1),B$2:B$388,$B$398),"")</f>
        <v/>
      </c>
      <c r="D398" s="10">
        <f>IFERROR(AVERAGEIFS(D$2:D$388,A$2:A$388,"&gt;="&amp;DATE(YEAR(TODAY()),MONTH(TODAY()),1),A$2:A$388,"&lt;"&amp;DATE(YEAR(TODAY()),MONTH(TODAY())+1,1),B$2:B$388,$B$398),"")</f>
        <v/>
      </c>
      <c r="E398" s="10">
        <f>IFERROR(AVERAGEIFS(E$2:E$388,A$2:A$388,"&gt;="&amp;DATE(YEAR(TODAY()),MONTH(TODAY()),1),A$2:A$388,"&lt;"&amp;DATE(YEAR(TODAY()),MONTH(TODAY())+1,1),B$2:B$388,$B$398),"")</f>
        <v/>
      </c>
      <c r="F398" s="11">
        <f>IFERROR(SUMPRODUCT((YEAR(A$2:A$388)=YEAR(TODAY()))*(MONTH(A$2:A$388)=MONTH(TODAY()))*(B$2:B$388=$B$398)*(F$2:F$388),"")</f>
        <v/>
      </c>
    </row>
    <row r="399">
      <c r="B399" s="2" t="inlineStr">
        <is>
          <t>NCA三元材料</t>
        </is>
      </c>
      <c r="C399" s="10">
        <f>IFERROR(AVERAGEIFS(C$2:C$388,A$2:A$388,"&gt;="&amp;DATE(YEAR(TODAY()),MONTH(TODAY()),1),A$2:A$388,"&lt;"&amp;DATE(YEAR(TODAY()),MONTH(TODAY())+1,1),B$2:B$388,$B$399),"")</f>
        <v/>
      </c>
      <c r="D399" s="10">
        <f>IFERROR(AVERAGEIFS(D$2:D$388,A$2:A$388,"&gt;="&amp;DATE(YEAR(TODAY()),MONTH(TODAY()),1),A$2:A$388,"&lt;"&amp;DATE(YEAR(TODAY()),MONTH(TODAY())+1,1),B$2:B$388,$B$399),"")</f>
        <v/>
      </c>
      <c r="E399" s="10">
        <f>IFERROR(AVERAGEIFS(E$2:E$388,A$2:A$388,"&gt;="&amp;DATE(YEAR(TODAY()),MONTH(TODAY()),1),A$2:A$388,"&lt;"&amp;DATE(YEAR(TODAY()),MONTH(TODAY())+1,1),B$2:B$388,$B$399),"")</f>
        <v/>
      </c>
      <c r="F399" s="11">
        <f>IFERROR(SUMPRODUCT((YEAR(A$2:A$388)=YEAR(TODAY()))*(MONTH(A$2:A$388)=MONTH(TODAY()))*(B$2:B$388=$B$399)*(F$2:F$388),"")</f>
        <v/>
      </c>
    </row>
    <row r="400">
      <c r="B400" s="2" t="inlineStr">
        <is>
          <t>SMM三元极片粉钴系数指数</t>
        </is>
      </c>
      <c r="C400" s="10">
        <f>IFERROR(AVERAGEIFS(C$2:C$388,A$2:A$388,"&gt;="&amp;DATE(YEAR(TODAY()),MONTH(TODAY()),1),A$2:A$388,"&lt;"&amp;DATE(YEAR(TODAY()),MONTH(TODAY())+1,1),B$2:B$388,$B$400),"")</f>
        <v/>
      </c>
      <c r="D400" s="10">
        <f>IFERROR(AVERAGEIFS(D$2:D$388,A$2:A$388,"&gt;="&amp;DATE(YEAR(TODAY()),MONTH(TODAY()),1),A$2:A$388,"&lt;"&amp;DATE(YEAR(TODAY()),MONTH(TODAY())+1,1),B$2:B$388,$B$400),"")</f>
        <v/>
      </c>
      <c r="E400" s="10">
        <f>IFERROR(AVERAGEIFS(E$2:E$388,A$2:A$388,"&gt;="&amp;DATE(YEAR(TODAY()),MONTH(TODAY()),1),A$2:A$388,"&lt;"&amp;DATE(YEAR(TODAY()),MONTH(TODAY())+1,1),B$2:B$388,$B$400),"")</f>
        <v/>
      </c>
      <c r="F400" s="11">
        <f>IFERROR(SUMPRODUCT((YEAR(A$2:A$388)=YEAR(TODAY()))*(MONTH(A$2:A$388)=MONTH(TODAY()))*(B$2:B$388=$B$400)*(F$2:F$388),"")</f>
        <v/>
      </c>
    </row>
    <row r="401">
      <c r="B401" s="2" t="inlineStr">
        <is>
          <t>SMM三元极片粉锂系数指数</t>
        </is>
      </c>
      <c r="C401" s="10">
        <f>IFERROR(AVERAGEIFS(C$2:C$388,A$2:A$388,"&gt;="&amp;DATE(YEAR(TODAY()),MONTH(TODAY()),1),A$2:A$388,"&lt;"&amp;DATE(YEAR(TODAY()),MONTH(TODAY())+1,1),B$2:B$388,$B$401),"")</f>
        <v/>
      </c>
      <c r="D401" s="10">
        <f>IFERROR(AVERAGEIFS(D$2:D$388,A$2:A$388,"&gt;="&amp;DATE(YEAR(TODAY()),MONTH(TODAY()),1),A$2:A$388,"&lt;"&amp;DATE(YEAR(TODAY()),MONTH(TODAY())+1,1),B$2:B$388,$B$401),"")</f>
        <v/>
      </c>
      <c r="E401" s="10">
        <f>IFERROR(AVERAGEIFS(E$2:E$388,A$2:A$388,"&gt;="&amp;DATE(YEAR(TODAY()),MONTH(TODAY()),1),A$2:A$388,"&lt;"&amp;DATE(YEAR(TODAY()),MONTH(TODAY())+1,1),B$2:B$388,$B$401),"")</f>
        <v/>
      </c>
      <c r="F401" s="11">
        <f>IFERROR(SUMPRODUCT((YEAR(A$2:A$388)=YEAR(TODAY()))*(MONTH(A$2:A$388)=MONTH(TODAY()))*(B$2:B$388=$B$401)*(F$2:F$388),"")</f>
        <v/>
      </c>
    </row>
    <row r="402">
      <c r="B402" s="2" t="inlineStr">
        <is>
          <t>SMM三元极片粉镍系数指数</t>
        </is>
      </c>
      <c r="C402" s="10">
        <f>IFERROR(AVERAGEIFS(C$2:C$388,A$2:A$388,"&gt;="&amp;DATE(YEAR(TODAY()),MONTH(TODAY()),1),A$2:A$388,"&lt;"&amp;DATE(YEAR(TODAY()),MONTH(TODAY())+1,1),B$2:B$388,$B$402),"")</f>
        <v/>
      </c>
      <c r="D402" s="10">
        <f>IFERROR(AVERAGEIFS(D$2:D$388,A$2:A$388,"&gt;="&amp;DATE(YEAR(TODAY()),MONTH(TODAY()),1),A$2:A$388,"&lt;"&amp;DATE(YEAR(TODAY()),MONTH(TODAY())+1,1),B$2:B$388,$B$402),"")</f>
        <v/>
      </c>
      <c r="E402" s="10">
        <f>IFERROR(AVERAGEIFS(E$2:E$388,A$2:A$388,"&gt;="&amp;DATE(YEAR(TODAY()),MONTH(TODAY()),1),A$2:A$388,"&lt;"&amp;DATE(YEAR(TODAY()),MONTH(TODAY())+1,1),B$2:B$388,$B$402),"")</f>
        <v/>
      </c>
      <c r="F402" s="11">
        <f>IFERROR(SUMPRODUCT((YEAR(A$2:A$388)=YEAR(TODAY()))*(MONTH(A$2:A$388)=MONTH(TODAY()))*(B$2:B$388=$B$402)*(F$2:F$388),"")</f>
        <v/>
      </c>
    </row>
    <row r="403">
      <c r="B403" s="2" t="inlineStr">
        <is>
          <t>SMM三元电池粉钴系数指数</t>
        </is>
      </c>
      <c r="C403" s="10">
        <f>IFERROR(AVERAGEIFS(C$2:C$388,A$2:A$388,"&gt;="&amp;DATE(YEAR(TODAY()),MONTH(TODAY()),1),A$2:A$388,"&lt;"&amp;DATE(YEAR(TODAY()),MONTH(TODAY())+1,1),B$2:B$388,$B$403),"")</f>
        <v/>
      </c>
      <c r="D403" s="10">
        <f>IFERROR(AVERAGEIFS(D$2:D$388,A$2:A$388,"&gt;="&amp;DATE(YEAR(TODAY()),MONTH(TODAY()),1),A$2:A$388,"&lt;"&amp;DATE(YEAR(TODAY()),MONTH(TODAY())+1,1),B$2:B$388,$B$403),"")</f>
        <v/>
      </c>
      <c r="E403" s="10">
        <f>IFERROR(AVERAGEIFS(E$2:E$388,A$2:A$388,"&gt;="&amp;DATE(YEAR(TODAY()),MONTH(TODAY()),1),A$2:A$388,"&lt;"&amp;DATE(YEAR(TODAY()),MONTH(TODAY())+1,1),B$2:B$388,$B$403),"")</f>
        <v/>
      </c>
      <c r="F403" s="11">
        <f>IFERROR(SUMPRODUCT((YEAR(A$2:A$388)=YEAR(TODAY()))*(MONTH(A$2:A$388)=MONTH(TODAY()))*(B$2:B$388=$B$403)*(F$2:F$388),"")</f>
        <v/>
      </c>
    </row>
    <row r="404">
      <c r="B404" s="2" t="inlineStr">
        <is>
          <t>SMM三元电池粉锂系数指数</t>
        </is>
      </c>
      <c r="C404" s="10">
        <f>IFERROR(AVERAGEIFS(C$2:C$388,A$2:A$388,"&gt;="&amp;DATE(YEAR(TODAY()),MONTH(TODAY()),1),A$2:A$388,"&lt;"&amp;DATE(YEAR(TODAY()),MONTH(TODAY())+1,1),B$2:B$388,$B$404),"")</f>
        <v/>
      </c>
      <c r="D404" s="10">
        <f>IFERROR(AVERAGEIFS(D$2:D$388,A$2:A$388,"&gt;="&amp;DATE(YEAR(TODAY()),MONTH(TODAY()),1),A$2:A$388,"&lt;"&amp;DATE(YEAR(TODAY()),MONTH(TODAY())+1,1),B$2:B$388,$B$404),"")</f>
        <v/>
      </c>
      <c r="E404" s="10">
        <f>IFERROR(AVERAGEIFS(E$2:E$388,A$2:A$388,"&gt;="&amp;DATE(YEAR(TODAY()),MONTH(TODAY()),1),A$2:A$388,"&lt;"&amp;DATE(YEAR(TODAY()),MONTH(TODAY())+1,1),B$2:B$388,$B$404),"")</f>
        <v/>
      </c>
      <c r="F404" s="11">
        <f>IFERROR(SUMPRODUCT((YEAR(A$2:A$388)=YEAR(TODAY()))*(MONTH(A$2:A$388)=MONTH(TODAY()))*(B$2:B$388=$B$404)*(F$2:F$388),"")</f>
        <v/>
      </c>
    </row>
    <row r="405">
      <c r="B405" s="2" t="inlineStr">
        <is>
          <t>SMM三元电池粉镍系数指数</t>
        </is>
      </c>
      <c r="C405" s="10">
        <f>IFERROR(AVERAGEIFS(C$2:C$388,A$2:A$388,"&gt;="&amp;DATE(YEAR(TODAY()),MONTH(TODAY()),1),A$2:A$388,"&lt;"&amp;DATE(YEAR(TODAY()),MONTH(TODAY())+1,1),B$2:B$388,$B$405),"")</f>
        <v/>
      </c>
      <c r="D405" s="10">
        <f>IFERROR(AVERAGEIFS(D$2:D$388,A$2:A$388,"&gt;="&amp;DATE(YEAR(TODAY()),MONTH(TODAY()),1),A$2:A$388,"&lt;"&amp;DATE(YEAR(TODAY()),MONTH(TODAY())+1,1),B$2:B$388,$B$405),"")</f>
        <v/>
      </c>
      <c r="E405" s="10">
        <f>IFERROR(AVERAGEIFS(E$2:E$388,A$2:A$388,"&gt;="&amp;DATE(YEAR(TODAY()),MONTH(TODAY()),1),A$2:A$388,"&lt;"&amp;DATE(YEAR(TODAY()),MONTH(TODAY())+1,1),B$2:B$388,$B$405),"")</f>
        <v/>
      </c>
      <c r="F405" s="11">
        <f>IFERROR(SUMPRODUCT((YEAR(A$2:A$388)=YEAR(TODAY()))*(MONTH(A$2:A$388)=MONTH(TODAY()))*(B$2:B$388=$B$405)*(F$2:F$388),"")</f>
        <v/>
      </c>
    </row>
    <row r="406">
      <c r="B406" s="2" t="inlineStr">
        <is>
          <t>SMM六氟磷酸锂指数</t>
        </is>
      </c>
      <c r="C406" s="10">
        <f>IFERROR(AVERAGEIFS(C$2:C$388,A$2:A$388,"&gt;="&amp;DATE(YEAR(TODAY()),MONTH(TODAY()),1),A$2:A$388,"&lt;"&amp;DATE(YEAR(TODAY()),MONTH(TODAY())+1,1),B$2:B$388,$B$406),"")</f>
        <v/>
      </c>
      <c r="D406" s="10">
        <f>IFERROR(AVERAGEIFS(D$2:D$388,A$2:A$388,"&gt;="&amp;DATE(YEAR(TODAY()),MONTH(TODAY()),1),A$2:A$388,"&lt;"&amp;DATE(YEAR(TODAY()),MONTH(TODAY())+1,1),B$2:B$388,$B$406),"")</f>
        <v/>
      </c>
      <c r="E406" s="10">
        <f>IFERROR(AVERAGEIFS(E$2:E$388,A$2:A$388,"&gt;="&amp;DATE(YEAR(TODAY()),MONTH(TODAY()),1),A$2:A$388,"&lt;"&amp;DATE(YEAR(TODAY()),MONTH(TODAY())+1,1),B$2:B$388,$B$406),"")</f>
        <v/>
      </c>
      <c r="F406" s="11">
        <f>IFERROR(SUMPRODUCT((YEAR(A$2:A$388)=YEAR(TODAY()))*(MONTH(A$2:A$388)=MONTH(TODAY()))*(B$2:B$388=$B$406)*(F$2:F$388),"")</f>
        <v/>
      </c>
    </row>
    <row r="407">
      <c r="B407" s="2" t="inlineStr">
        <is>
          <t>SMM电池级氢氧化锂指数</t>
        </is>
      </c>
      <c r="C407" s="10">
        <f>IFERROR(AVERAGEIFS(C$2:C$388,A$2:A$388,"&gt;="&amp;DATE(YEAR(TODAY()),MONTH(TODAY()),1),A$2:A$388,"&lt;"&amp;DATE(YEAR(TODAY()),MONTH(TODAY())+1,1),B$2:B$388,$B$407),"")</f>
        <v/>
      </c>
      <c r="D407" s="10">
        <f>IFERROR(AVERAGEIFS(D$2:D$388,A$2:A$388,"&gt;="&amp;DATE(YEAR(TODAY()),MONTH(TODAY()),1),A$2:A$388,"&lt;"&amp;DATE(YEAR(TODAY()),MONTH(TODAY())+1,1),B$2:B$388,$B$407),"")</f>
        <v/>
      </c>
      <c r="E407" s="10">
        <f>IFERROR(AVERAGEIFS(E$2:E$388,A$2:A$388,"&gt;="&amp;DATE(YEAR(TODAY()),MONTH(TODAY()),1),A$2:A$388,"&lt;"&amp;DATE(YEAR(TODAY()),MONTH(TODAY())+1,1),B$2:B$388,$B$407),"")</f>
        <v/>
      </c>
      <c r="F407" s="11">
        <f>IFERROR(SUMPRODUCT((YEAR(A$2:A$388)=YEAR(TODAY()))*(MONTH(A$2:A$388)=MONTH(TODAY()))*(B$2:B$388=$B$407)*(F$2:F$388),"")</f>
        <v/>
      </c>
    </row>
    <row r="408">
      <c r="B408" s="2" t="inlineStr">
        <is>
          <t>SMM电池级硫酸锰指数</t>
        </is>
      </c>
      <c r="C408" s="10">
        <f>IFERROR(AVERAGEIFS(C$2:C$388,A$2:A$388,"&gt;="&amp;DATE(YEAR(TODAY()),MONTH(TODAY()),1),A$2:A$388,"&lt;"&amp;DATE(YEAR(TODAY()),MONTH(TODAY())+1,1),B$2:B$388,$B$408),"")</f>
        <v/>
      </c>
      <c r="D408" s="10">
        <f>IFERROR(AVERAGEIFS(D$2:D$388,A$2:A$388,"&gt;="&amp;DATE(YEAR(TODAY()),MONTH(TODAY()),1),A$2:A$388,"&lt;"&amp;DATE(YEAR(TODAY()),MONTH(TODAY())+1,1),B$2:B$388,$B$408),"")</f>
        <v/>
      </c>
      <c r="E408" s="10">
        <f>IFERROR(AVERAGEIFS(E$2:E$388,A$2:A$388,"&gt;="&amp;DATE(YEAR(TODAY()),MONTH(TODAY()),1),A$2:A$388,"&lt;"&amp;DATE(YEAR(TODAY()),MONTH(TODAY())+1,1),B$2:B$388,$B$408),"")</f>
        <v/>
      </c>
      <c r="F408" s="11">
        <f>IFERROR(SUMPRODUCT((YEAR(A$2:A$388)=YEAR(TODAY()))*(MONTH(A$2:A$388)=MONTH(TODAY()))*(B$2:B$388=$B$408)*(F$2:F$388),"")</f>
        <v/>
      </c>
    </row>
    <row r="409">
      <c r="B409" s="2" t="inlineStr">
        <is>
          <t>SMM电池级硫酸镍指数</t>
        </is>
      </c>
      <c r="C409" s="10">
        <f>IFERROR(AVERAGEIFS(C$2:C$388,A$2:A$388,"&gt;="&amp;DATE(YEAR(TODAY()),MONTH(TODAY()),1),A$2:A$388,"&lt;"&amp;DATE(YEAR(TODAY()),MONTH(TODAY())+1,1),B$2:B$388,$B$409),"")</f>
        <v/>
      </c>
      <c r="D409" s="10">
        <f>IFERROR(AVERAGEIFS(D$2:D$388,A$2:A$388,"&gt;="&amp;DATE(YEAR(TODAY()),MONTH(TODAY()),1),A$2:A$388,"&lt;"&amp;DATE(YEAR(TODAY()),MONTH(TODAY())+1,1),B$2:B$388,$B$409),"")</f>
        <v/>
      </c>
      <c r="E409" s="10">
        <f>IFERROR(AVERAGEIFS(E$2:E$388,A$2:A$388,"&gt;="&amp;DATE(YEAR(TODAY()),MONTH(TODAY()),1),A$2:A$388,"&lt;"&amp;DATE(YEAR(TODAY()),MONTH(TODAY())+1,1),B$2:B$388,$B$409),"")</f>
        <v/>
      </c>
      <c r="F409" s="11">
        <f>IFERROR(SUMPRODUCT((YEAR(A$2:A$388)=YEAR(TODAY()))*(MONTH(A$2:A$388)=MONTH(TODAY()))*(B$2:B$388=$B$409)*(F$2:F$388),"")</f>
        <v/>
      </c>
    </row>
    <row r="410">
      <c r="B410" s="2" t="inlineStr">
        <is>
          <t>SMM电池级碳酸锂指数</t>
        </is>
      </c>
      <c r="C410" s="10">
        <f>IFERROR(AVERAGEIFS(C$2:C$388,A$2:A$388,"&gt;="&amp;DATE(YEAR(TODAY()),MONTH(TODAY()),1),A$2:A$388,"&lt;"&amp;DATE(YEAR(TODAY()),MONTH(TODAY())+1,1),B$2:B$388,$B$410),"")</f>
        <v/>
      </c>
      <c r="D410" s="10">
        <f>IFERROR(AVERAGEIFS(D$2:D$388,A$2:A$388,"&gt;="&amp;DATE(YEAR(TODAY()),MONTH(TODAY()),1),A$2:A$388,"&lt;"&amp;DATE(YEAR(TODAY()),MONTH(TODAY())+1,1),B$2:B$388,$B$410),"")</f>
        <v/>
      </c>
      <c r="E410" s="10">
        <f>IFERROR(AVERAGEIFS(E$2:E$388,A$2:A$388,"&gt;="&amp;DATE(YEAR(TODAY()),MONTH(TODAY()),1),A$2:A$388,"&lt;"&amp;DATE(YEAR(TODAY()),MONTH(TODAY())+1,1),B$2:B$388,$B$410),"")</f>
        <v/>
      </c>
      <c r="F410" s="11">
        <f>IFERROR(SUMPRODUCT((YEAR(A$2:A$388)=YEAR(TODAY()))*(MONTH(A$2:A$388)=MONTH(TODAY()))*(B$2:B$388=$B$410)*(F$2:F$388),"")</f>
        <v/>
      </c>
    </row>
    <row r="411">
      <c r="B411" s="2" t="inlineStr">
        <is>
          <t>SMM硫酸钴指数</t>
        </is>
      </c>
      <c r="C411" s="10">
        <f>IFERROR(AVERAGEIFS(C$2:C$388,A$2:A$388,"&gt;="&amp;DATE(YEAR(TODAY()),MONTH(TODAY()),1),A$2:A$388,"&lt;"&amp;DATE(YEAR(TODAY()),MONTH(TODAY())+1,1),B$2:B$388,$B$411),"")</f>
        <v/>
      </c>
      <c r="D411" s="10">
        <f>IFERROR(AVERAGEIFS(D$2:D$388,A$2:A$388,"&gt;="&amp;DATE(YEAR(TODAY()),MONTH(TODAY()),1),A$2:A$388,"&lt;"&amp;DATE(YEAR(TODAY()),MONTH(TODAY())+1,1),B$2:B$388,$B$411),"")</f>
        <v/>
      </c>
      <c r="E411" s="10">
        <f>IFERROR(AVERAGEIFS(E$2:E$388,A$2:A$388,"&gt;="&amp;DATE(YEAR(TODAY()),MONTH(TODAY()),1),A$2:A$388,"&lt;"&amp;DATE(YEAR(TODAY()),MONTH(TODAY())+1,1),B$2:B$388,$B$411),"")</f>
        <v/>
      </c>
      <c r="F411" s="11">
        <f>IFERROR(SUMPRODUCT((YEAR(A$2:A$388)=YEAR(TODAY()))*(MONTH(A$2:A$388)=MONTH(TODAY()))*(B$2:B$388=$B$411)*(F$2:F$388),"")</f>
        <v/>
      </c>
    </row>
    <row r="412">
      <c r="B412" s="2" t="inlineStr">
        <is>
          <t>SMM磷酸铁锂极片粉指数</t>
        </is>
      </c>
      <c r="C412" s="10">
        <f>IFERROR(AVERAGEIFS(C$2:C$388,A$2:A$388,"&gt;="&amp;DATE(YEAR(TODAY()),MONTH(TODAY()),1),A$2:A$388,"&lt;"&amp;DATE(YEAR(TODAY()),MONTH(TODAY())+1,1),B$2:B$388,$B$412),"")</f>
        <v/>
      </c>
      <c r="D412" s="10">
        <f>IFERROR(AVERAGEIFS(D$2:D$388,A$2:A$388,"&gt;="&amp;DATE(YEAR(TODAY()),MONTH(TODAY()),1),A$2:A$388,"&lt;"&amp;DATE(YEAR(TODAY()),MONTH(TODAY())+1,1),B$2:B$388,$B$412),"")</f>
        <v/>
      </c>
      <c r="E412" s="10">
        <f>IFERROR(AVERAGEIFS(E$2:E$388,A$2:A$388,"&gt;="&amp;DATE(YEAR(TODAY()),MONTH(TODAY()),1),A$2:A$388,"&lt;"&amp;DATE(YEAR(TODAY()),MONTH(TODAY())+1,1),B$2:B$388,$B$412),"")</f>
        <v/>
      </c>
      <c r="F412" s="11">
        <f>IFERROR(SUMPRODUCT((YEAR(A$2:A$388)=YEAR(TODAY()))*(MONTH(A$2:A$388)=MONTH(TODAY()))*(B$2:B$388=$B$412)*(F$2:F$388),"")</f>
        <v/>
      </c>
    </row>
    <row r="413">
      <c r="B413" s="2" t="inlineStr">
        <is>
          <t>SMM磷酸铁锂电池粉指数</t>
        </is>
      </c>
      <c r="C413" s="10">
        <f>IFERROR(AVERAGEIFS(C$2:C$388,A$2:A$388,"&gt;="&amp;DATE(YEAR(TODAY()),MONTH(TODAY()),1),A$2:A$388,"&lt;"&amp;DATE(YEAR(TODAY()),MONTH(TODAY())+1,1),B$2:B$388,$B$413),"")</f>
        <v/>
      </c>
      <c r="D413" s="10">
        <f>IFERROR(AVERAGEIFS(D$2:D$388,A$2:A$388,"&gt;="&amp;DATE(YEAR(TODAY()),MONTH(TODAY()),1),A$2:A$388,"&lt;"&amp;DATE(YEAR(TODAY()),MONTH(TODAY())+1,1),B$2:B$388,$B$413),"")</f>
        <v/>
      </c>
      <c r="E413" s="10">
        <f>IFERROR(AVERAGEIFS(E$2:E$388,A$2:A$388,"&gt;="&amp;DATE(YEAR(TODAY()),MONTH(TODAY()),1),A$2:A$388,"&lt;"&amp;DATE(YEAR(TODAY()),MONTH(TODAY())+1,1),B$2:B$388,$B$413),"")</f>
        <v/>
      </c>
      <c r="F413" s="11">
        <f>IFERROR(SUMPRODUCT((YEAR(A$2:A$388)=YEAR(TODAY()))*(MONTH(A$2:A$388)=MONTH(TODAY()))*(B$2:B$388=$B$413)*(F$2:F$388),"")</f>
        <v/>
      </c>
    </row>
    <row r="414">
      <c r="B414" s="2" t="inlineStr">
        <is>
          <t>SMM钴酸锂极片粉钴系数指数</t>
        </is>
      </c>
      <c r="C414" s="10">
        <f>IFERROR(AVERAGEIFS(C$2:C$388,A$2:A$388,"&gt;="&amp;DATE(YEAR(TODAY()),MONTH(TODAY()),1),A$2:A$388,"&lt;"&amp;DATE(YEAR(TODAY()),MONTH(TODAY())+1,1),B$2:B$388,$B$414),"")</f>
        <v/>
      </c>
      <c r="D414" s="10">
        <f>IFERROR(AVERAGEIFS(D$2:D$388,A$2:A$388,"&gt;="&amp;DATE(YEAR(TODAY()),MONTH(TODAY()),1),A$2:A$388,"&lt;"&amp;DATE(YEAR(TODAY()),MONTH(TODAY())+1,1),B$2:B$388,$B$414),"")</f>
        <v/>
      </c>
      <c r="E414" s="10">
        <f>IFERROR(AVERAGEIFS(E$2:E$388,A$2:A$388,"&gt;="&amp;DATE(YEAR(TODAY()),MONTH(TODAY()),1),A$2:A$388,"&lt;"&amp;DATE(YEAR(TODAY()),MONTH(TODAY())+1,1),B$2:B$388,$B$414),"")</f>
        <v/>
      </c>
      <c r="F414" s="11">
        <f>IFERROR(SUMPRODUCT((YEAR(A$2:A$388)=YEAR(TODAY()))*(MONTH(A$2:A$388)=MONTH(TODAY()))*(B$2:B$388=$B$414)*(F$2:F$388),"")</f>
        <v/>
      </c>
    </row>
    <row r="415">
      <c r="B415" s="2" t="inlineStr">
        <is>
          <t>SMM钴酸锂极片粉锂系数指数</t>
        </is>
      </c>
      <c r="C415" s="10">
        <f>IFERROR(AVERAGEIFS(C$2:C$388,A$2:A$388,"&gt;="&amp;DATE(YEAR(TODAY()),MONTH(TODAY()),1),A$2:A$388,"&lt;"&amp;DATE(YEAR(TODAY()),MONTH(TODAY())+1,1),B$2:B$388,$B$415),"")</f>
        <v/>
      </c>
      <c r="D415" s="10">
        <f>IFERROR(AVERAGEIFS(D$2:D$388,A$2:A$388,"&gt;="&amp;DATE(YEAR(TODAY()),MONTH(TODAY()),1),A$2:A$388,"&lt;"&amp;DATE(YEAR(TODAY()),MONTH(TODAY())+1,1),B$2:B$388,$B$415),"")</f>
        <v/>
      </c>
      <c r="E415" s="10">
        <f>IFERROR(AVERAGEIFS(E$2:E$388,A$2:A$388,"&gt;="&amp;DATE(YEAR(TODAY()),MONTH(TODAY()),1),A$2:A$388,"&lt;"&amp;DATE(YEAR(TODAY()),MONTH(TODAY())+1,1),B$2:B$388,$B$415),"")</f>
        <v/>
      </c>
      <c r="F415" s="11">
        <f>IFERROR(SUMPRODUCT((YEAR(A$2:A$388)=YEAR(TODAY()))*(MONTH(A$2:A$388)=MONTH(TODAY()))*(B$2:B$388=$B$415)*(F$2:F$388),"")</f>
        <v/>
      </c>
    </row>
    <row r="416">
      <c r="B416" s="2" t="inlineStr">
        <is>
          <t>SMM钴酸锂电池粉钴系数指数</t>
        </is>
      </c>
      <c r="C416" s="10">
        <f>IFERROR(AVERAGEIFS(C$2:C$388,A$2:A$388,"&gt;="&amp;DATE(YEAR(TODAY()),MONTH(TODAY()),1),A$2:A$388,"&lt;"&amp;DATE(YEAR(TODAY()),MONTH(TODAY())+1,1),B$2:B$388,$B$416),"")</f>
        <v/>
      </c>
      <c r="D416" s="10">
        <f>IFERROR(AVERAGEIFS(D$2:D$388,A$2:A$388,"&gt;="&amp;DATE(YEAR(TODAY()),MONTH(TODAY()),1),A$2:A$388,"&lt;"&amp;DATE(YEAR(TODAY()),MONTH(TODAY())+1,1),B$2:B$388,$B$416),"")</f>
        <v/>
      </c>
      <c r="E416" s="10">
        <f>IFERROR(AVERAGEIFS(E$2:E$388,A$2:A$388,"&gt;="&amp;DATE(YEAR(TODAY()),MONTH(TODAY()),1),A$2:A$388,"&lt;"&amp;DATE(YEAR(TODAY()),MONTH(TODAY())+1,1),B$2:B$388,$B$416),"")</f>
        <v/>
      </c>
      <c r="F416" s="11">
        <f>IFERROR(SUMPRODUCT((YEAR(A$2:A$388)=YEAR(TODAY()))*(MONTH(A$2:A$388)=MONTH(TODAY()))*(B$2:B$388=$B$416)*(F$2:F$388),"")</f>
        <v/>
      </c>
    </row>
    <row r="417">
      <c r="B417" s="2" t="inlineStr">
        <is>
          <t>SMM钴酸锂电池粉锂系数指数</t>
        </is>
      </c>
      <c r="C417" s="10">
        <f>IFERROR(AVERAGEIFS(C$2:C$388,A$2:A$388,"&gt;="&amp;DATE(YEAR(TODAY()),MONTH(TODAY()),1),A$2:A$388,"&lt;"&amp;DATE(YEAR(TODAY()),MONTH(TODAY())+1,1),B$2:B$388,$B$417),"")</f>
        <v/>
      </c>
      <c r="D417" s="10">
        <f>IFERROR(AVERAGEIFS(D$2:D$388,A$2:A$388,"&gt;="&amp;DATE(YEAR(TODAY()),MONTH(TODAY()),1),A$2:A$388,"&lt;"&amp;DATE(YEAR(TODAY()),MONTH(TODAY())+1,1),B$2:B$388,$B$417),"")</f>
        <v/>
      </c>
      <c r="E417" s="10">
        <f>IFERROR(AVERAGEIFS(E$2:E$388,A$2:A$388,"&gt;="&amp;DATE(YEAR(TODAY()),MONTH(TODAY()),1),A$2:A$388,"&lt;"&amp;DATE(YEAR(TODAY()),MONTH(TODAY())+1,1),B$2:B$388,$B$417),"")</f>
        <v/>
      </c>
      <c r="F417" s="11">
        <f>IFERROR(SUMPRODUCT((YEAR(A$2:A$388)=YEAR(TODAY()))*(MONTH(A$2:A$388)=MONTH(TODAY()))*(B$2:B$388=$B$417)*(F$2:F$388),"")</f>
        <v/>
      </c>
    </row>
    <row r="418">
      <c r="B418" s="2" t="inlineStr">
        <is>
          <t>三元方壳锂电B品</t>
        </is>
      </c>
      <c r="C418" s="10">
        <f>IFERROR(AVERAGEIFS(C$2:C$388,A$2:A$388,"&gt;="&amp;DATE(YEAR(TODAY()),MONTH(TODAY()),1),A$2:A$388,"&lt;"&amp;DATE(YEAR(TODAY()),MONTH(TODAY())+1,1),B$2:B$388,$B$418),"")</f>
        <v/>
      </c>
      <c r="D418" s="10">
        <f>IFERROR(AVERAGEIFS(D$2:D$388,A$2:A$388,"&gt;="&amp;DATE(YEAR(TODAY()),MONTH(TODAY()),1),A$2:A$388,"&lt;"&amp;DATE(YEAR(TODAY()),MONTH(TODAY())+1,1),B$2:B$388,$B$418),"")</f>
        <v/>
      </c>
      <c r="E418" s="10">
        <f>IFERROR(AVERAGEIFS(E$2:E$388,A$2:A$388,"&gt;="&amp;DATE(YEAR(TODAY()),MONTH(TODAY()),1),A$2:A$388,"&lt;"&amp;DATE(YEAR(TODAY()),MONTH(TODAY())+1,1),B$2:B$388,$B$418),"")</f>
        <v/>
      </c>
      <c r="F418" s="11">
        <f>IFERROR(SUMPRODUCT((YEAR(A$2:A$388)=YEAR(TODAY()))*(MONTH(A$2:A$388)=MONTH(TODAY()))*(B$2:B$388=$B$418)*(F$2:F$388),"")</f>
        <v/>
      </c>
    </row>
    <row r="419">
      <c r="B419" s="2" t="inlineStr">
        <is>
          <t>六氟磷酸锂（国产）</t>
        </is>
      </c>
      <c r="C419" s="10">
        <f>IFERROR(AVERAGEIFS(C$2:C$388,A$2:A$388,"&gt;="&amp;DATE(YEAR(TODAY()),MONTH(TODAY()),1),A$2:A$388,"&lt;"&amp;DATE(YEAR(TODAY()),MONTH(TODAY())+1,1),B$2:B$388,$B$419),"")</f>
        <v/>
      </c>
      <c r="D419" s="10">
        <f>IFERROR(AVERAGEIFS(D$2:D$388,A$2:A$388,"&gt;="&amp;DATE(YEAR(TODAY()),MONTH(TODAY()),1),A$2:A$388,"&lt;"&amp;DATE(YEAR(TODAY()),MONTH(TODAY())+1,1),B$2:B$388,$B$419),"")</f>
        <v/>
      </c>
      <c r="E419" s="10">
        <f>IFERROR(AVERAGEIFS(E$2:E$388,A$2:A$388,"&gt;="&amp;DATE(YEAR(TODAY()),MONTH(TODAY()),1),A$2:A$388,"&lt;"&amp;DATE(YEAR(TODAY()),MONTH(TODAY())+1,1),B$2:B$388,$B$419),"")</f>
        <v/>
      </c>
      <c r="F419" s="11">
        <f>IFERROR(SUMPRODUCT((YEAR(A$2:A$388)=YEAR(TODAY()))*(MONTH(A$2:A$388)=MONTH(TODAY()))*(B$2:B$388=$B$419)*(F$2:F$388),"")</f>
        <v/>
      </c>
    </row>
    <row r="420">
      <c r="B420" s="2" t="inlineStr">
        <is>
          <t>四氧化三钴</t>
        </is>
      </c>
      <c r="C420" s="10">
        <f>IFERROR(AVERAGEIFS(C$2:C$388,A$2:A$388,"&gt;="&amp;DATE(YEAR(TODAY()),MONTH(TODAY()),1),A$2:A$388,"&lt;"&amp;DATE(YEAR(TODAY()),MONTH(TODAY())+1,1),B$2:B$388,$B$420),"")</f>
        <v/>
      </c>
      <c r="D420" s="10">
        <f>IFERROR(AVERAGEIFS(D$2:D$388,A$2:A$388,"&gt;="&amp;DATE(YEAR(TODAY()),MONTH(TODAY()),1),A$2:A$388,"&lt;"&amp;DATE(YEAR(TODAY()),MONTH(TODAY())+1,1),B$2:B$388,$B$420),"")</f>
        <v/>
      </c>
      <c r="E420" s="10">
        <f>IFERROR(AVERAGEIFS(E$2:E$388,A$2:A$388,"&gt;="&amp;DATE(YEAR(TODAY()),MONTH(TODAY()),1),A$2:A$388,"&lt;"&amp;DATE(YEAR(TODAY()),MONTH(TODAY())+1,1),B$2:B$388,$B$420),"")</f>
        <v/>
      </c>
      <c r="F420" s="11">
        <f>IFERROR(SUMPRODUCT((YEAR(A$2:A$388)=YEAR(TODAY()))*(MONTH(A$2:A$388)=MONTH(TODAY()))*(B$2:B$388=$B$420)*(F$2:F$388),"")</f>
        <v/>
      </c>
    </row>
    <row r="421">
      <c r="B421" s="2" t="inlineStr">
        <is>
          <t>四氧化三锰（电池级）</t>
        </is>
      </c>
      <c r="C421" s="10">
        <f>IFERROR(AVERAGEIFS(C$2:C$388,A$2:A$388,"&gt;="&amp;DATE(YEAR(TODAY()),MONTH(TODAY()),1),A$2:A$388,"&lt;"&amp;DATE(YEAR(TODAY()),MONTH(TODAY())+1,1),B$2:B$388,$B$421),"")</f>
        <v/>
      </c>
      <c r="D421" s="10">
        <f>IFERROR(AVERAGEIFS(D$2:D$388,A$2:A$388,"&gt;="&amp;DATE(YEAR(TODAY()),MONTH(TODAY()),1),A$2:A$388,"&lt;"&amp;DATE(YEAR(TODAY()),MONTH(TODAY())+1,1),B$2:B$388,$B$421),"")</f>
        <v/>
      </c>
      <c r="E421" s="10">
        <f>IFERROR(AVERAGEIFS(E$2:E$388,A$2:A$388,"&gt;="&amp;DATE(YEAR(TODAY()),MONTH(TODAY()),1),A$2:A$388,"&lt;"&amp;DATE(YEAR(TODAY()),MONTH(TODAY())+1,1),B$2:B$388,$B$421),"")</f>
        <v/>
      </c>
      <c r="F421" s="11">
        <f>IFERROR(SUMPRODUCT((YEAR(A$2:A$388)=YEAR(TODAY()))*(MONTH(A$2:A$388)=MONTH(TODAY()))*(B$2:B$388=$B$421)*(F$2:F$388),"")</f>
        <v/>
      </c>
    </row>
    <row r="422">
      <c r="B422" s="2" t="inlineStr">
        <is>
          <t>工业级氢氧化锂</t>
        </is>
      </c>
      <c r="C422" s="10">
        <f>IFERROR(AVERAGEIFS(C$2:C$388,A$2:A$388,"&gt;="&amp;DATE(YEAR(TODAY()),MONTH(TODAY()),1),A$2:A$388,"&lt;"&amp;DATE(YEAR(TODAY()),MONTH(TODAY())+1,1),B$2:B$388,$B$422),"")</f>
        <v/>
      </c>
      <c r="D422" s="10">
        <f>IFERROR(AVERAGEIFS(D$2:D$388,A$2:A$388,"&gt;="&amp;DATE(YEAR(TODAY()),MONTH(TODAY()),1),A$2:A$388,"&lt;"&amp;DATE(YEAR(TODAY()),MONTH(TODAY())+1,1),B$2:B$388,$B$422),"")</f>
        <v/>
      </c>
      <c r="E422" s="10">
        <f>IFERROR(AVERAGEIFS(E$2:E$388,A$2:A$388,"&gt;="&amp;DATE(YEAR(TODAY()),MONTH(TODAY()),1),A$2:A$388,"&lt;"&amp;DATE(YEAR(TODAY()),MONTH(TODAY())+1,1),B$2:B$388,$B$422),"")</f>
        <v/>
      </c>
      <c r="F422" s="11">
        <f>IFERROR(SUMPRODUCT((YEAR(A$2:A$388)=YEAR(TODAY()))*(MONTH(A$2:A$388)=MONTH(TODAY()))*(B$2:B$388=$B$422)*(F$2:F$388),"")</f>
        <v/>
      </c>
    </row>
    <row r="423">
      <c r="B423" s="2" t="inlineStr">
        <is>
          <t>工业级碳酸锂</t>
        </is>
      </c>
      <c r="C423" s="10">
        <f>IFERROR(AVERAGEIFS(C$2:C$388,A$2:A$388,"&gt;="&amp;DATE(YEAR(TODAY()),MONTH(TODAY()),1),A$2:A$388,"&lt;"&amp;DATE(YEAR(TODAY()),MONTH(TODAY())+1,1),B$2:B$388,$B$423),"")</f>
        <v/>
      </c>
      <c r="D423" s="10">
        <f>IFERROR(AVERAGEIFS(D$2:D$388,A$2:A$388,"&gt;="&amp;DATE(YEAR(TODAY()),MONTH(TODAY()),1),A$2:A$388,"&lt;"&amp;DATE(YEAR(TODAY()),MONTH(TODAY())+1,1),B$2:B$388,$B$423),"")</f>
        <v/>
      </c>
      <c r="E423" s="10">
        <f>IFERROR(AVERAGEIFS(E$2:E$388,A$2:A$388,"&gt;="&amp;DATE(YEAR(TODAY()),MONTH(TODAY()),1),A$2:A$388,"&lt;"&amp;DATE(YEAR(TODAY()),MONTH(TODAY())+1,1),B$2:B$388,$B$423),"")</f>
        <v/>
      </c>
      <c r="F423" s="11">
        <f>IFERROR(SUMPRODUCT((YEAR(A$2:A$388)=YEAR(TODAY()))*(MONTH(A$2:A$388)=MONTH(TODAY()))*(B$2:B$388=$B$423)*(F$2:F$388),"")</f>
        <v/>
      </c>
    </row>
    <row r="424">
      <c r="B424" s="2" t="inlineStr">
        <is>
          <t>工业级金属锂</t>
        </is>
      </c>
      <c r="C424" s="10">
        <f>IFERROR(AVERAGEIFS(C$2:C$388,A$2:A$388,"&gt;="&amp;DATE(YEAR(TODAY()),MONTH(TODAY()),1),A$2:A$388,"&lt;"&amp;DATE(YEAR(TODAY()),MONTH(TODAY())+1,1),B$2:B$388,$B$424),"")</f>
        <v/>
      </c>
      <c r="D424" s="10">
        <f>IFERROR(AVERAGEIFS(D$2:D$388,A$2:A$388,"&gt;="&amp;DATE(YEAR(TODAY()),MONTH(TODAY()),1),A$2:A$388,"&lt;"&amp;DATE(YEAR(TODAY()),MONTH(TODAY())+1,1),B$2:B$388,$B$424),"")</f>
        <v/>
      </c>
      <c r="E424" s="10">
        <f>IFERROR(AVERAGEIFS(E$2:E$388,A$2:A$388,"&gt;="&amp;DATE(YEAR(TODAY()),MONTH(TODAY()),1),A$2:A$388,"&lt;"&amp;DATE(YEAR(TODAY()),MONTH(TODAY())+1,1),B$2:B$388,$B$424),"")</f>
        <v/>
      </c>
      <c r="F424" s="11">
        <f>IFERROR(SUMPRODUCT((YEAR(A$2:A$388)=YEAR(TODAY()))*(MONTH(A$2:A$388)=MONTH(TODAY()))*(B$2:B$388=$B$424)*(F$2:F$388),"")</f>
        <v/>
      </c>
    </row>
    <row r="425">
      <c r="B425" s="2" t="inlineStr">
        <is>
          <t>巴西锂辉石精矿（CIF中国）现货</t>
        </is>
      </c>
      <c r="C425" s="10">
        <f>IFERROR(AVERAGEIFS(C$2:C$388,A$2:A$388,"&gt;="&amp;DATE(YEAR(TODAY()),MONTH(TODAY()),1),A$2:A$388,"&lt;"&amp;DATE(YEAR(TODAY()),MONTH(TODAY())+1,1),B$2:B$388,$B$425),"")</f>
        <v/>
      </c>
      <c r="D425" s="10">
        <f>IFERROR(AVERAGEIFS(D$2:D$388,A$2:A$388,"&gt;="&amp;DATE(YEAR(TODAY()),MONTH(TODAY()),1),A$2:A$388,"&lt;"&amp;DATE(YEAR(TODAY()),MONTH(TODAY())+1,1),B$2:B$388,$B$425),"")</f>
        <v/>
      </c>
      <c r="E425" s="10">
        <f>IFERROR(AVERAGEIFS(E$2:E$388,A$2:A$388,"&gt;="&amp;DATE(YEAR(TODAY()),MONTH(TODAY()),1),A$2:A$388,"&lt;"&amp;DATE(YEAR(TODAY()),MONTH(TODAY())+1,1),B$2:B$388,$B$425),"")</f>
        <v/>
      </c>
      <c r="F425" s="11">
        <f>IFERROR(SUMPRODUCT((YEAR(A$2:A$388)=YEAR(TODAY()))*(MONTH(A$2:A$388)=MONTH(TODAY()))*(B$2:B$388=$B$425)*(F$2:F$388),"")</f>
        <v/>
      </c>
    </row>
    <row r="426">
      <c r="B426" s="2" t="inlineStr">
        <is>
          <t>废旧磷酸铁锂储能正极片</t>
        </is>
      </c>
      <c r="C426" s="10">
        <f>IFERROR(AVERAGEIFS(C$2:C$388,A$2:A$388,"&gt;="&amp;DATE(YEAR(TODAY()),MONTH(TODAY()),1),A$2:A$388,"&lt;"&amp;DATE(YEAR(TODAY()),MONTH(TODAY())+1,1),B$2:B$388,$B$426),"")</f>
        <v/>
      </c>
      <c r="D426" s="10">
        <f>IFERROR(AVERAGEIFS(D$2:D$388,A$2:A$388,"&gt;="&amp;DATE(YEAR(TODAY()),MONTH(TODAY()),1),A$2:A$388,"&lt;"&amp;DATE(YEAR(TODAY()),MONTH(TODAY())+1,1),B$2:B$388,$B$426),"")</f>
        <v/>
      </c>
      <c r="E426" s="10">
        <f>IFERROR(AVERAGEIFS(E$2:E$388,A$2:A$388,"&gt;="&amp;DATE(YEAR(TODAY()),MONTH(TODAY()),1),A$2:A$388,"&lt;"&amp;DATE(YEAR(TODAY()),MONTH(TODAY())+1,1),B$2:B$388,$B$426),"")</f>
        <v/>
      </c>
      <c r="F426" s="11">
        <f>IFERROR(SUMPRODUCT((YEAR(A$2:A$388)=YEAR(TODAY()))*(MONTH(A$2:A$388)=MONTH(TODAY()))*(B$2:B$388=$B$426)*(F$2:F$388),"")</f>
        <v/>
      </c>
    </row>
    <row r="427">
      <c r="B427" s="2" t="inlineStr">
        <is>
          <t>废旧磷酸铁锂动力正极片</t>
        </is>
      </c>
      <c r="C427" s="10">
        <f>IFERROR(AVERAGEIFS(C$2:C$388,A$2:A$388,"&gt;="&amp;DATE(YEAR(TODAY()),MONTH(TODAY()),1),A$2:A$388,"&lt;"&amp;DATE(YEAR(TODAY()),MONTH(TODAY())+1,1),B$2:B$388,$B$427),"")</f>
        <v/>
      </c>
      <c r="D427" s="10">
        <f>IFERROR(AVERAGEIFS(D$2:D$388,A$2:A$388,"&gt;="&amp;DATE(YEAR(TODAY()),MONTH(TODAY()),1),A$2:A$388,"&lt;"&amp;DATE(YEAR(TODAY()),MONTH(TODAY())+1,1),B$2:B$388,$B$427),"")</f>
        <v/>
      </c>
      <c r="E427" s="10">
        <f>IFERROR(AVERAGEIFS(E$2:E$388,A$2:A$388,"&gt;="&amp;DATE(YEAR(TODAY()),MONTH(TODAY()),1),A$2:A$388,"&lt;"&amp;DATE(YEAR(TODAY()),MONTH(TODAY())+1,1),B$2:B$388,$B$427),"")</f>
        <v/>
      </c>
      <c r="F427" s="11">
        <f>IFERROR(SUMPRODUCT((YEAR(A$2:A$388)=YEAR(TODAY()))*(MONTH(A$2:A$388)=MONTH(TODAY()))*(B$2:B$388=$B$427)*(F$2:F$388),"")</f>
        <v/>
      </c>
    </row>
    <row r="428">
      <c r="B428" s="2" t="inlineStr">
        <is>
          <t>废旧磷酸铁锂软包电池</t>
        </is>
      </c>
      <c r="C428" s="10">
        <f>IFERROR(AVERAGEIFS(C$2:C$388,A$2:A$388,"&gt;="&amp;DATE(YEAR(TODAY()),MONTH(TODAY()),1),A$2:A$388,"&lt;"&amp;DATE(YEAR(TODAY()),MONTH(TODAY())+1,1),B$2:B$388,$B$428),"")</f>
        <v/>
      </c>
      <c r="D428" s="10">
        <f>IFERROR(AVERAGEIFS(D$2:D$388,A$2:A$388,"&gt;="&amp;DATE(YEAR(TODAY()),MONTH(TODAY()),1),A$2:A$388,"&lt;"&amp;DATE(YEAR(TODAY()),MONTH(TODAY())+1,1),B$2:B$388,$B$428),"")</f>
        <v/>
      </c>
      <c r="E428" s="10">
        <f>IFERROR(AVERAGEIFS(E$2:E$388,A$2:A$388,"&gt;="&amp;DATE(YEAR(TODAY()),MONTH(TODAY()),1),A$2:A$388,"&lt;"&amp;DATE(YEAR(TODAY()),MONTH(TODAY())+1,1),B$2:B$388,$B$428),"")</f>
        <v/>
      </c>
      <c r="F428" s="11">
        <f>IFERROR(SUMPRODUCT((YEAR(A$2:A$388)=YEAR(TODAY()))*(MONTH(A$2:A$388)=MONTH(TODAY()))*(B$2:B$388=$B$428)*(F$2:F$388),"")</f>
        <v/>
      </c>
    </row>
    <row r="429">
      <c r="B429" s="2" t="inlineStr">
        <is>
          <t>废旧磷酸铁锂钢壳电池</t>
        </is>
      </c>
      <c r="C429" s="10">
        <f>IFERROR(AVERAGEIFS(C$2:C$388,A$2:A$388,"&gt;="&amp;DATE(YEAR(TODAY()),MONTH(TODAY()),1),A$2:A$388,"&lt;"&amp;DATE(YEAR(TODAY()),MONTH(TODAY())+1,1),B$2:B$388,$B$429),"")</f>
        <v/>
      </c>
      <c r="D429" s="10">
        <f>IFERROR(AVERAGEIFS(D$2:D$388,A$2:A$388,"&gt;="&amp;DATE(YEAR(TODAY()),MONTH(TODAY()),1),A$2:A$388,"&lt;"&amp;DATE(YEAR(TODAY()),MONTH(TODAY())+1,1),B$2:B$388,$B$429),"")</f>
        <v/>
      </c>
      <c r="E429" s="10">
        <f>IFERROR(AVERAGEIFS(E$2:E$388,A$2:A$388,"&gt;="&amp;DATE(YEAR(TODAY()),MONTH(TODAY()),1),A$2:A$388,"&lt;"&amp;DATE(YEAR(TODAY()),MONTH(TODAY())+1,1),B$2:B$388,$B$429),"")</f>
        <v/>
      </c>
      <c r="F429" s="11">
        <f>IFERROR(SUMPRODUCT((YEAR(A$2:A$388)=YEAR(TODAY()))*(MONTH(A$2:A$388)=MONTH(TODAY()))*(B$2:B$388=$B$429)*(F$2:F$388),"")</f>
        <v/>
      </c>
    </row>
    <row r="430">
      <c r="B430" s="2" t="inlineStr">
        <is>
          <t>废旧磷酸铁锂铝壳电池</t>
        </is>
      </c>
      <c r="C430" s="10">
        <f>IFERROR(AVERAGEIFS(C$2:C$388,A$2:A$388,"&gt;="&amp;DATE(YEAR(TODAY()),MONTH(TODAY()),1),A$2:A$388,"&lt;"&amp;DATE(YEAR(TODAY()),MONTH(TODAY())+1,1),B$2:B$388,$B$430),"")</f>
        <v/>
      </c>
      <c r="D430" s="10">
        <f>IFERROR(AVERAGEIFS(D$2:D$388,A$2:A$388,"&gt;="&amp;DATE(YEAR(TODAY()),MONTH(TODAY()),1),A$2:A$388,"&lt;"&amp;DATE(YEAR(TODAY()),MONTH(TODAY())+1,1),B$2:B$388,$B$430),"")</f>
        <v/>
      </c>
      <c r="E430" s="10">
        <f>IFERROR(AVERAGEIFS(E$2:E$388,A$2:A$388,"&gt;="&amp;DATE(YEAR(TODAY()),MONTH(TODAY()),1),A$2:A$388,"&lt;"&amp;DATE(YEAR(TODAY()),MONTH(TODAY())+1,1),B$2:B$388,$B$430),"")</f>
        <v/>
      </c>
      <c r="F430" s="11">
        <f>IFERROR(SUMPRODUCT((YEAR(A$2:A$388)=YEAR(TODAY()))*(MONTH(A$2:A$388)=MONTH(TODAY()))*(B$2:B$388=$B$430)*(F$2:F$388),"")</f>
        <v/>
      </c>
    </row>
    <row r="431">
      <c r="B431" s="2" t="inlineStr">
        <is>
          <t>方形磷酸铁锂电池B品</t>
        </is>
      </c>
      <c r="C431" s="10">
        <f>IFERROR(AVERAGEIFS(C$2:C$388,A$2:A$388,"&gt;="&amp;DATE(YEAR(TODAY()),MONTH(TODAY()),1),A$2:A$388,"&lt;"&amp;DATE(YEAR(TODAY()),MONTH(TODAY())+1,1),B$2:B$388,$B$431),"")</f>
        <v/>
      </c>
      <c r="D431" s="10">
        <f>IFERROR(AVERAGEIFS(D$2:D$388,A$2:A$388,"&gt;="&amp;DATE(YEAR(TODAY()),MONTH(TODAY()),1),A$2:A$388,"&lt;"&amp;DATE(YEAR(TODAY()),MONTH(TODAY())+1,1),B$2:B$388,$B$431),"")</f>
        <v/>
      </c>
      <c r="E431" s="10">
        <f>IFERROR(AVERAGEIFS(E$2:E$388,A$2:A$388,"&gt;="&amp;DATE(YEAR(TODAY()),MONTH(TODAY()),1),A$2:A$388,"&lt;"&amp;DATE(YEAR(TODAY()),MONTH(TODAY())+1,1),B$2:B$388,$B$431),"")</f>
        <v/>
      </c>
      <c r="F431" s="11">
        <f>IFERROR(SUMPRODUCT((YEAR(A$2:A$388)=YEAR(TODAY()))*(MONTH(A$2:A$388)=MONTH(TODAY()))*(B$2:B$388=$B$431)*(F$2:F$388),"")</f>
        <v/>
      </c>
    </row>
    <row r="432">
      <c r="B432" s="2" t="inlineStr">
        <is>
          <t>氧化亚镍</t>
        </is>
      </c>
      <c r="C432" s="10">
        <f>IFERROR(AVERAGEIFS(C$2:C$388,A$2:A$388,"&gt;="&amp;DATE(YEAR(TODAY()),MONTH(TODAY()),1),A$2:A$388,"&lt;"&amp;DATE(YEAR(TODAY()),MONTH(TODAY())+1,1),B$2:B$388,$B$432),"")</f>
        <v/>
      </c>
      <c r="D432" s="10">
        <f>IFERROR(AVERAGEIFS(D$2:D$388,A$2:A$388,"&gt;="&amp;DATE(YEAR(TODAY()),MONTH(TODAY()),1),A$2:A$388,"&lt;"&amp;DATE(YEAR(TODAY()),MONTH(TODAY())+1,1),B$2:B$388,$B$432),"")</f>
        <v/>
      </c>
      <c r="E432" s="10">
        <f>IFERROR(AVERAGEIFS(E$2:E$388,A$2:A$388,"&gt;="&amp;DATE(YEAR(TODAY()),MONTH(TODAY()),1),A$2:A$388,"&lt;"&amp;DATE(YEAR(TODAY()),MONTH(TODAY())+1,1),B$2:B$388,$B$432),"")</f>
        <v/>
      </c>
      <c r="F432" s="11">
        <f>IFERROR(SUMPRODUCT((YEAR(A$2:A$388)=YEAR(TODAY()))*(MONTH(A$2:A$388)=MONTH(TODAY()))*(B$2:B$388=$B$432)*(F$2:F$388),"")</f>
        <v/>
      </c>
    </row>
    <row r="433">
      <c r="B433" s="2" t="inlineStr">
        <is>
          <t>氧化钴</t>
        </is>
      </c>
      <c r="C433" s="10">
        <f>IFERROR(AVERAGEIFS(C$2:C$388,A$2:A$388,"&gt;="&amp;DATE(YEAR(TODAY()),MONTH(TODAY()),1),A$2:A$388,"&lt;"&amp;DATE(YEAR(TODAY()),MONTH(TODAY())+1,1),B$2:B$388,$B$433),"")</f>
        <v/>
      </c>
      <c r="D433" s="10">
        <f>IFERROR(AVERAGEIFS(D$2:D$388,A$2:A$388,"&gt;="&amp;DATE(YEAR(TODAY()),MONTH(TODAY()),1),A$2:A$388,"&lt;"&amp;DATE(YEAR(TODAY()),MONTH(TODAY())+1,1),B$2:B$388,$B$433),"")</f>
        <v/>
      </c>
      <c r="E433" s="10">
        <f>IFERROR(AVERAGEIFS(E$2:E$388,A$2:A$388,"&gt;="&amp;DATE(YEAR(TODAY()),MONTH(TODAY()),1),A$2:A$388,"&lt;"&amp;DATE(YEAR(TODAY()),MONTH(TODAY())+1,1),B$2:B$388,$B$433),"")</f>
        <v/>
      </c>
      <c r="F433" s="11">
        <f>IFERROR(SUMPRODUCT((YEAR(A$2:A$388)=YEAR(TODAY()))*(MONTH(A$2:A$388)=MONTH(TODAY()))*(B$2:B$388=$B$433)*(F$2:F$388),"")</f>
        <v/>
      </c>
    </row>
    <row r="434">
      <c r="B434" s="2" t="inlineStr">
        <is>
          <t>氯化钴</t>
        </is>
      </c>
      <c r="C434" s="10">
        <f>IFERROR(AVERAGEIFS(C$2:C$388,A$2:A$388,"&gt;="&amp;DATE(YEAR(TODAY()),MONTH(TODAY()),1),A$2:A$388,"&lt;"&amp;DATE(YEAR(TODAY()),MONTH(TODAY())+1,1),B$2:B$388,$B$434),"")</f>
        <v/>
      </c>
      <c r="D434" s="10">
        <f>IFERROR(AVERAGEIFS(D$2:D$388,A$2:A$388,"&gt;="&amp;DATE(YEAR(TODAY()),MONTH(TODAY()),1),A$2:A$388,"&lt;"&amp;DATE(YEAR(TODAY()),MONTH(TODAY())+1,1),B$2:B$388,$B$434),"")</f>
        <v/>
      </c>
      <c r="E434" s="10">
        <f>IFERROR(AVERAGEIFS(E$2:E$388,A$2:A$388,"&gt;="&amp;DATE(YEAR(TODAY()),MONTH(TODAY()),1),A$2:A$388,"&lt;"&amp;DATE(YEAR(TODAY()),MONTH(TODAY())+1,1),B$2:B$388,$B$434),"")</f>
        <v/>
      </c>
      <c r="F434" s="11">
        <f>IFERROR(SUMPRODUCT((YEAR(A$2:A$388)=YEAR(TODAY()))*(MONTH(A$2:A$388)=MONTH(TODAY()))*(B$2:B$388=$B$434)*(F$2:F$388),"")</f>
        <v/>
      </c>
    </row>
    <row r="435">
      <c r="B435" s="2" t="inlineStr">
        <is>
          <t>氯化镍NiCl₂·6H₂O</t>
        </is>
      </c>
      <c r="C435" s="10">
        <f>IFERROR(AVERAGEIFS(C$2:C$388,A$2:A$388,"&gt;="&amp;DATE(YEAR(TODAY()),MONTH(TODAY()),1),A$2:A$388,"&lt;"&amp;DATE(YEAR(TODAY()),MONTH(TODAY())+1,1),B$2:B$388,$B$435),"")</f>
        <v/>
      </c>
      <c r="D435" s="10">
        <f>IFERROR(AVERAGEIFS(D$2:D$388,A$2:A$388,"&gt;="&amp;DATE(YEAR(TODAY()),MONTH(TODAY()),1),A$2:A$388,"&lt;"&amp;DATE(YEAR(TODAY()),MONTH(TODAY())+1,1),B$2:B$388,$B$435),"")</f>
        <v/>
      </c>
      <c r="E435" s="10">
        <f>IFERROR(AVERAGEIFS(E$2:E$388,A$2:A$388,"&gt;="&amp;DATE(YEAR(TODAY()),MONTH(TODAY()),1),A$2:A$388,"&lt;"&amp;DATE(YEAR(TODAY()),MONTH(TODAY())+1,1),B$2:B$388,$B$435),"")</f>
        <v/>
      </c>
      <c r="F435" s="11">
        <f>IFERROR(SUMPRODUCT((YEAR(A$2:A$388)=YEAR(TODAY()))*(MONTH(A$2:A$388)=MONTH(TODAY()))*(B$2:B$388=$B$435)*(F$2:F$388),"")</f>
        <v/>
      </c>
    </row>
    <row r="436">
      <c r="B436" s="2" t="inlineStr">
        <is>
          <t>津巴布韦锂辉石精矿（CIF中国）现货</t>
        </is>
      </c>
      <c r="C436" s="10">
        <f>IFERROR(AVERAGEIFS(C$2:C$388,A$2:A$388,"&gt;="&amp;DATE(YEAR(TODAY()),MONTH(TODAY()),1),A$2:A$388,"&lt;"&amp;DATE(YEAR(TODAY()),MONTH(TODAY())+1,1),B$2:B$388,$B$436),"")</f>
        <v/>
      </c>
      <c r="D436" s="10">
        <f>IFERROR(AVERAGEIFS(D$2:D$388,A$2:A$388,"&gt;="&amp;DATE(YEAR(TODAY()),MONTH(TODAY()),1),A$2:A$388,"&lt;"&amp;DATE(YEAR(TODAY()),MONTH(TODAY())+1,1),B$2:B$388,$B$436),"")</f>
        <v/>
      </c>
      <c r="E436" s="10">
        <f>IFERROR(AVERAGEIFS(E$2:E$388,A$2:A$388,"&gt;="&amp;DATE(YEAR(TODAY()),MONTH(TODAY()),1),A$2:A$388,"&lt;"&amp;DATE(YEAR(TODAY()),MONTH(TODAY())+1,1),B$2:B$388,$B$436),"")</f>
        <v/>
      </c>
      <c r="F436" s="11">
        <f>IFERROR(SUMPRODUCT((YEAR(A$2:A$388)=YEAR(TODAY()))*(MONTH(A$2:A$388)=MONTH(TODAY()))*(B$2:B$388=$B$436)*(F$2:F$388),"")</f>
        <v/>
      </c>
    </row>
    <row r="437">
      <c r="B437" s="2" t="inlineStr">
        <is>
          <t>澳大利亚锂辉石精矿（CIF中国）现货</t>
        </is>
      </c>
      <c r="C437" s="10">
        <f>IFERROR(AVERAGEIFS(C$2:C$388,A$2:A$388,"&gt;="&amp;DATE(YEAR(TODAY()),MONTH(TODAY()),1),A$2:A$388,"&lt;"&amp;DATE(YEAR(TODAY()),MONTH(TODAY())+1,1),B$2:B$388,$B$437),"")</f>
        <v/>
      </c>
      <c r="D437" s="10">
        <f>IFERROR(AVERAGEIFS(D$2:D$388,A$2:A$388,"&gt;="&amp;DATE(YEAR(TODAY()),MONTH(TODAY()),1),A$2:A$388,"&lt;"&amp;DATE(YEAR(TODAY()),MONTH(TODAY())+1,1),B$2:B$388,$B$437),"")</f>
        <v/>
      </c>
      <c r="E437" s="10">
        <f>IFERROR(AVERAGEIFS(E$2:E$388,A$2:A$388,"&gt;="&amp;DATE(YEAR(TODAY()),MONTH(TODAY()),1),A$2:A$388,"&lt;"&amp;DATE(YEAR(TODAY()),MONTH(TODAY())+1,1),B$2:B$388,$B$437),"")</f>
        <v/>
      </c>
      <c r="F437" s="11">
        <f>IFERROR(SUMPRODUCT((YEAR(A$2:A$388)=YEAR(TODAY()))*(MONTH(A$2:A$388)=MONTH(TODAY()))*(B$2:B$388=$B$437)*(F$2:F$388),"")</f>
        <v/>
      </c>
    </row>
    <row r="438">
      <c r="B438" s="2" t="inlineStr">
        <is>
          <t>电池级无水氯化锂</t>
        </is>
      </c>
      <c r="C438" s="10">
        <f>IFERROR(AVERAGEIFS(C$2:C$388,A$2:A$388,"&gt;="&amp;DATE(YEAR(TODAY()),MONTH(TODAY()),1),A$2:A$388,"&lt;"&amp;DATE(YEAR(TODAY()),MONTH(TODAY())+1,1),B$2:B$388,$B$438),"")</f>
        <v/>
      </c>
      <c r="D438" s="10">
        <f>IFERROR(AVERAGEIFS(D$2:D$388,A$2:A$388,"&gt;="&amp;DATE(YEAR(TODAY()),MONTH(TODAY()),1),A$2:A$388,"&lt;"&amp;DATE(YEAR(TODAY()),MONTH(TODAY())+1,1),B$2:B$388,$B$438),"")</f>
        <v/>
      </c>
      <c r="E438" s="10">
        <f>IFERROR(AVERAGEIFS(E$2:E$388,A$2:A$388,"&gt;="&amp;DATE(YEAR(TODAY()),MONTH(TODAY()),1),A$2:A$388,"&lt;"&amp;DATE(YEAR(TODAY()),MONTH(TODAY())+1,1),B$2:B$388,$B$438),"")</f>
        <v/>
      </c>
      <c r="F438" s="11">
        <f>IFERROR(SUMPRODUCT((YEAR(A$2:A$388)=YEAR(TODAY()))*(MONTH(A$2:A$388)=MONTH(TODAY()))*(B$2:B$388=$B$438)*(F$2:F$388),"")</f>
        <v/>
      </c>
    </row>
    <row r="439">
      <c r="B439" s="2" t="inlineStr">
        <is>
          <t>电池级氟化锂</t>
        </is>
      </c>
      <c r="C439" s="10">
        <f>IFERROR(AVERAGEIFS(C$2:C$388,A$2:A$388,"&gt;="&amp;DATE(YEAR(TODAY()),MONTH(TODAY()),1),A$2:A$388,"&lt;"&amp;DATE(YEAR(TODAY()),MONTH(TODAY())+1,1),B$2:B$388,$B$439),"")</f>
        <v/>
      </c>
      <c r="D439" s="10">
        <f>IFERROR(AVERAGEIFS(D$2:D$388,A$2:A$388,"&gt;="&amp;DATE(YEAR(TODAY()),MONTH(TODAY()),1),A$2:A$388,"&lt;"&amp;DATE(YEAR(TODAY()),MONTH(TODAY())+1,1),B$2:B$388,$B$439),"")</f>
        <v/>
      </c>
      <c r="E439" s="10">
        <f>IFERROR(AVERAGEIFS(E$2:E$388,A$2:A$388,"&gt;="&amp;DATE(YEAR(TODAY()),MONTH(TODAY()),1),A$2:A$388,"&lt;"&amp;DATE(YEAR(TODAY()),MONTH(TODAY())+1,1),B$2:B$388,$B$439),"")</f>
        <v/>
      </c>
      <c r="F439" s="11">
        <f>IFERROR(SUMPRODUCT((YEAR(A$2:A$388)=YEAR(TODAY()))*(MONTH(A$2:A$388)=MONTH(TODAY()))*(B$2:B$388=$B$439)*(F$2:F$388),"")</f>
        <v/>
      </c>
    </row>
    <row r="440">
      <c r="B440" s="2" t="inlineStr">
        <is>
          <t>电池级氢氧化锂(CIF中日韩)</t>
        </is>
      </c>
      <c r="C440" s="10">
        <f>IFERROR(AVERAGEIFS(C$2:C$388,A$2:A$388,"&gt;="&amp;DATE(YEAR(TODAY()),MONTH(TODAY()),1),A$2:A$388,"&lt;"&amp;DATE(YEAR(TODAY()),MONTH(TODAY())+1,1),B$2:B$388,$B$440),"")</f>
        <v/>
      </c>
      <c r="D440" s="10">
        <f>IFERROR(AVERAGEIFS(D$2:D$388,A$2:A$388,"&gt;="&amp;DATE(YEAR(TODAY()),MONTH(TODAY()),1),A$2:A$388,"&lt;"&amp;DATE(YEAR(TODAY()),MONTH(TODAY())+1,1),B$2:B$388,$B$440),"")</f>
        <v/>
      </c>
      <c r="E440" s="10">
        <f>IFERROR(AVERAGEIFS(E$2:E$388,A$2:A$388,"&gt;="&amp;DATE(YEAR(TODAY()),MONTH(TODAY()),1),A$2:A$388,"&lt;"&amp;DATE(YEAR(TODAY()),MONTH(TODAY())+1,1),B$2:B$388,$B$440),"")</f>
        <v/>
      </c>
      <c r="F440" s="11">
        <f>IFERROR(SUMPRODUCT((YEAR(A$2:A$388)=YEAR(TODAY()))*(MONTH(A$2:A$388)=MONTH(TODAY()))*(B$2:B$388=$B$440)*(F$2:F$388),"")</f>
        <v/>
      </c>
    </row>
    <row r="441">
      <c r="B441" s="2" t="inlineStr">
        <is>
          <t>电池级氢氧化锂(CIF韩国)</t>
        </is>
      </c>
      <c r="C441" s="10">
        <f>IFERROR(AVERAGEIFS(C$2:C$388,A$2:A$388,"&gt;="&amp;DATE(YEAR(TODAY()),MONTH(TODAY()),1),A$2:A$388,"&lt;"&amp;DATE(YEAR(TODAY()),MONTH(TODAY())+1,1),B$2:B$388,$B$441),"")</f>
        <v/>
      </c>
      <c r="D441" s="10">
        <f>IFERROR(AVERAGEIFS(D$2:D$388,A$2:A$388,"&gt;="&amp;DATE(YEAR(TODAY()),MONTH(TODAY()),1),A$2:A$388,"&lt;"&amp;DATE(YEAR(TODAY()),MONTH(TODAY())+1,1),B$2:B$388,$B$441),"")</f>
        <v/>
      </c>
      <c r="E441" s="10">
        <f>IFERROR(AVERAGEIFS(E$2:E$388,A$2:A$388,"&gt;="&amp;DATE(YEAR(TODAY()),MONTH(TODAY()),1),A$2:A$388,"&lt;"&amp;DATE(YEAR(TODAY()),MONTH(TODAY())+1,1),B$2:B$388,$B$441),"")</f>
        <v/>
      </c>
      <c r="F441" s="11">
        <f>IFERROR(SUMPRODUCT((YEAR(A$2:A$388)=YEAR(TODAY()))*(MONTH(A$2:A$388)=MONTH(TODAY()))*(B$2:B$388=$B$441)*(F$2:F$388),"")</f>
        <v/>
      </c>
    </row>
    <row r="442">
      <c r="B442" s="2" t="inlineStr">
        <is>
          <t>电池级氢氧化锂(微粉）</t>
        </is>
      </c>
      <c r="C442" s="10">
        <f>IFERROR(AVERAGEIFS(C$2:C$388,A$2:A$388,"&gt;="&amp;DATE(YEAR(TODAY()),MONTH(TODAY()),1),A$2:A$388,"&lt;"&amp;DATE(YEAR(TODAY()),MONTH(TODAY())+1,1),B$2:B$388,$B$442),"")</f>
        <v/>
      </c>
      <c r="D442" s="10">
        <f>IFERROR(AVERAGEIFS(D$2:D$388,A$2:A$388,"&gt;="&amp;DATE(YEAR(TODAY()),MONTH(TODAY()),1),A$2:A$388,"&lt;"&amp;DATE(YEAR(TODAY()),MONTH(TODAY())+1,1),B$2:B$388,$B$442),"")</f>
        <v/>
      </c>
      <c r="E442" s="10">
        <f>IFERROR(AVERAGEIFS(E$2:E$388,A$2:A$388,"&gt;="&amp;DATE(YEAR(TODAY()),MONTH(TODAY()),1),A$2:A$388,"&lt;"&amp;DATE(YEAR(TODAY()),MONTH(TODAY())+1,1),B$2:B$388,$B$442),"")</f>
        <v/>
      </c>
      <c r="F442" s="11">
        <f>IFERROR(SUMPRODUCT((YEAR(A$2:A$388)=YEAR(TODAY()))*(MONTH(A$2:A$388)=MONTH(TODAY()))*(B$2:B$388=$B$442)*(F$2:F$388),"")</f>
        <v/>
      </c>
    </row>
    <row r="443">
      <c r="B443" s="2" t="inlineStr">
        <is>
          <t>电池级氢氧化锂（粗颗粒）</t>
        </is>
      </c>
      <c r="C443" s="10">
        <f>IFERROR(AVERAGEIFS(C$2:C$388,A$2:A$388,"&gt;="&amp;DATE(YEAR(TODAY()),MONTH(TODAY()),1),A$2:A$388,"&lt;"&amp;DATE(YEAR(TODAY()),MONTH(TODAY())+1,1),B$2:B$388,$B$443),"")</f>
        <v/>
      </c>
      <c r="D443" s="10">
        <f>IFERROR(AVERAGEIFS(D$2:D$388,A$2:A$388,"&gt;="&amp;DATE(YEAR(TODAY()),MONTH(TODAY()),1),A$2:A$388,"&lt;"&amp;DATE(YEAR(TODAY()),MONTH(TODAY())+1,1),B$2:B$388,$B$443),"")</f>
        <v/>
      </c>
      <c r="E443" s="10">
        <f>IFERROR(AVERAGEIFS(E$2:E$388,A$2:A$388,"&gt;="&amp;DATE(YEAR(TODAY()),MONTH(TODAY()),1),A$2:A$388,"&lt;"&amp;DATE(YEAR(TODAY()),MONTH(TODAY())+1,1),B$2:B$388,$B$443),"")</f>
        <v/>
      </c>
      <c r="F443" s="11">
        <f>IFERROR(SUMPRODUCT((YEAR(A$2:A$388)=YEAR(TODAY()))*(MONTH(A$2:A$388)=MONTH(TODAY()))*(B$2:B$388=$B$443)*(F$2:F$388),"")</f>
        <v/>
      </c>
    </row>
    <row r="444">
      <c r="B444" s="2" t="inlineStr">
        <is>
          <t>电池级硫酸锰（出厂价）</t>
        </is>
      </c>
      <c r="C444" s="10">
        <f>IFERROR(AVERAGEIFS(C$2:C$388,A$2:A$388,"&gt;="&amp;DATE(YEAR(TODAY()),MONTH(TODAY()),1),A$2:A$388,"&lt;"&amp;DATE(YEAR(TODAY()),MONTH(TODAY())+1,1),B$2:B$388,$B$444),"")</f>
        <v/>
      </c>
      <c r="D444" s="10">
        <f>IFERROR(AVERAGEIFS(D$2:D$388,A$2:A$388,"&gt;="&amp;DATE(YEAR(TODAY()),MONTH(TODAY()),1),A$2:A$388,"&lt;"&amp;DATE(YEAR(TODAY()),MONTH(TODAY())+1,1),B$2:B$388,$B$444),"")</f>
        <v/>
      </c>
      <c r="E444" s="10">
        <f>IFERROR(AVERAGEIFS(E$2:E$388,A$2:A$388,"&gt;="&amp;DATE(YEAR(TODAY()),MONTH(TODAY()),1),A$2:A$388,"&lt;"&amp;DATE(YEAR(TODAY()),MONTH(TODAY())+1,1),B$2:B$388,$B$444),"")</f>
        <v/>
      </c>
      <c r="F444" s="11">
        <f>IFERROR(SUMPRODUCT((YEAR(A$2:A$388)=YEAR(TODAY()))*(MONTH(A$2:A$388)=MONTH(TODAY()))*(B$2:B$388=$B$444)*(F$2:F$388),"")</f>
        <v/>
      </c>
    </row>
    <row r="445">
      <c r="B445" s="2" t="inlineStr">
        <is>
          <t>电池级硫酸镍</t>
        </is>
      </c>
      <c r="C445" s="10">
        <f>IFERROR(AVERAGEIFS(C$2:C$388,A$2:A$388,"&gt;="&amp;DATE(YEAR(TODAY()),MONTH(TODAY()),1),A$2:A$388,"&lt;"&amp;DATE(YEAR(TODAY()),MONTH(TODAY())+1,1),B$2:B$388,$B$445),"")</f>
        <v/>
      </c>
      <c r="D445" s="10">
        <f>IFERROR(AVERAGEIFS(D$2:D$388,A$2:A$388,"&gt;="&amp;DATE(YEAR(TODAY()),MONTH(TODAY()),1),A$2:A$388,"&lt;"&amp;DATE(YEAR(TODAY()),MONTH(TODAY())+1,1),B$2:B$388,$B$445),"")</f>
        <v/>
      </c>
      <c r="E445" s="10">
        <f>IFERROR(AVERAGEIFS(E$2:E$388,A$2:A$388,"&gt;="&amp;DATE(YEAR(TODAY()),MONTH(TODAY()),1),A$2:A$388,"&lt;"&amp;DATE(YEAR(TODAY()),MONTH(TODAY())+1,1),B$2:B$388,$B$445),"")</f>
        <v/>
      </c>
      <c r="F445" s="11">
        <f>IFERROR(SUMPRODUCT((YEAR(A$2:A$388)=YEAR(TODAY()))*(MONTH(A$2:A$388)=MONTH(TODAY()))*(B$2:B$388=$B$445)*(F$2:F$388),"")</f>
        <v/>
      </c>
    </row>
    <row r="446">
      <c r="B446" s="2" t="inlineStr">
        <is>
          <t>电池级碳酸锂</t>
        </is>
      </c>
      <c r="C446" s="10">
        <f>IFERROR(AVERAGEIFS(C$2:C$388,A$2:A$388,"&gt;="&amp;DATE(YEAR(TODAY()),MONTH(TODAY()),1),A$2:A$388,"&lt;"&amp;DATE(YEAR(TODAY()),MONTH(TODAY())+1,1),B$2:B$388,$B$446),"")</f>
        <v/>
      </c>
      <c r="D446" s="10">
        <f>IFERROR(AVERAGEIFS(D$2:D$388,A$2:A$388,"&gt;="&amp;DATE(YEAR(TODAY()),MONTH(TODAY()),1),A$2:A$388,"&lt;"&amp;DATE(YEAR(TODAY()),MONTH(TODAY())+1,1),B$2:B$388,$B$446),"")</f>
        <v/>
      </c>
      <c r="E446" s="10">
        <f>IFERROR(AVERAGEIFS(E$2:E$388,A$2:A$388,"&gt;="&amp;DATE(YEAR(TODAY()),MONTH(TODAY()),1),A$2:A$388,"&lt;"&amp;DATE(YEAR(TODAY()),MONTH(TODAY())+1,1),B$2:B$388,$B$446),"")</f>
        <v/>
      </c>
      <c r="F446" s="11">
        <f>IFERROR(SUMPRODUCT((YEAR(A$2:A$388)=YEAR(TODAY()))*(MONTH(A$2:A$388)=MONTH(TODAY()))*(B$2:B$388=$B$446)*(F$2:F$388),"")</f>
        <v/>
      </c>
    </row>
    <row r="447">
      <c r="B447" s="2" t="inlineStr">
        <is>
          <t>电池级碳酸锂(CIF韩国)</t>
        </is>
      </c>
      <c r="C447" s="10">
        <f>IFERROR(AVERAGEIFS(C$2:C$388,A$2:A$388,"&gt;="&amp;DATE(YEAR(TODAY()),MONTH(TODAY()),1),A$2:A$388,"&lt;"&amp;DATE(YEAR(TODAY()),MONTH(TODAY())+1,1),B$2:B$388,$B$447),"")</f>
        <v/>
      </c>
      <c r="D447" s="10">
        <f>IFERROR(AVERAGEIFS(D$2:D$388,A$2:A$388,"&gt;="&amp;DATE(YEAR(TODAY()),MONTH(TODAY()),1),A$2:A$388,"&lt;"&amp;DATE(YEAR(TODAY()),MONTH(TODAY())+1,1),B$2:B$388,$B$447),"")</f>
        <v/>
      </c>
      <c r="E447" s="10">
        <f>IFERROR(AVERAGEIFS(E$2:E$388,A$2:A$388,"&gt;="&amp;DATE(YEAR(TODAY()),MONTH(TODAY()),1),A$2:A$388,"&lt;"&amp;DATE(YEAR(TODAY()),MONTH(TODAY())+1,1),B$2:B$388,$B$447),"")</f>
        <v/>
      </c>
      <c r="F447" s="11">
        <f>IFERROR(SUMPRODUCT((YEAR(A$2:A$388)=YEAR(TODAY()))*(MONTH(A$2:A$388)=MONTH(TODAY()))*(B$2:B$388=$B$447)*(F$2:F$388),"")</f>
        <v/>
      </c>
    </row>
    <row r="448">
      <c r="B448" s="2" t="inlineStr">
        <is>
          <t>电池级碳酸锂（CIF中日韩）</t>
        </is>
      </c>
      <c r="C448" s="10">
        <f>IFERROR(AVERAGEIFS(C$2:C$388,A$2:A$388,"&gt;="&amp;DATE(YEAR(TODAY()),MONTH(TODAY()),1),A$2:A$388,"&lt;"&amp;DATE(YEAR(TODAY()),MONTH(TODAY())+1,1),B$2:B$388,$B$448),"")</f>
        <v/>
      </c>
      <c r="D448" s="10">
        <f>IFERROR(AVERAGEIFS(D$2:D$388,A$2:A$388,"&gt;="&amp;DATE(YEAR(TODAY()),MONTH(TODAY()),1),A$2:A$388,"&lt;"&amp;DATE(YEAR(TODAY()),MONTH(TODAY())+1,1),B$2:B$388,$B$448),"")</f>
        <v/>
      </c>
      <c r="E448" s="10">
        <f>IFERROR(AVERAGEIFS(E$2:E$388,A$2:A$388,"&gt;="&amp;DATE(YEAR(TODAY()),MONTH(TODAY()),1),A$2:A$388,"&lt;"&amp;DATE(YEAR(TODAY()),MONTH(TODAY())+1,1),B$2:B$388,$B$448),"")</f>
        <v/>
      </c>
      <c r="F448" s="11">
        <f>IFERROR(SUMPRODUCT((YEAR(A$2:A$388)=YEAR(TODAY()))*(MONTH(A$2:A$388)=MONTH(TODAY()))*(B$2:B$388=$B$448)*(F$2:F$388),"")</f>
        <v/>
      </c>
    </row>
    <row r="449">
      <c r="B449" s="2" t="inlineStr">
        <is>
          <t>电池级金属锂</t>
        </is>
      </c>
      <c r="C449" s="10">
        <f>IFERROR(AVERAGEIFS(C$2:C$388,A$2:A$388,"&gt;="&amp;DATE(YEAR(TODAY()),MONTH(TODAY()),1),A$2:A$388,"&lt;"&amp;DATE(YEAR(TODAY()),MONTH(TODAY())+1,1),B$2:B$388,$B$449),"")</f>
        <v/>
      </c>
      <c r="D449" s="10">
        <f>IFERROR(AVERAGEIFS(D$2:D$388,A$2:A$388,"&gt;="&amp;DATE(YEAR(TODAY()),MONTH(TODAY()),1),A$2:A$388,"&lt;"&amp;DATE(YEAR(TODAY()),MONTH(TODAY())+1,1),B$2:B$388,$B$449),"")</f>
        <v/>
      </c>
      <c r="E449" s="10">
        <f>IFERROR(AVERAGEIFS(E$2:E$388,A$2:A$388,"&gt;="&amp;DATE(YEAR(TODAY()),MONTH(TODAY()),1),A$2:A$388,"&lt;"&amp;DATE(YEAR(TODAY()),MONTH(TODAY())+1,1),B$2:B$388,$B$449),"")</f>
        <v/>
      </c>
      <c r="F449" s="11">
        <f>IFERROR(SUMPRODUCT((YEAR(A$2:A$388)=YEAR(TODAY()))*(MONTH(A$2:A$388)=MONTH(TODAY()))*(B$2:B$388=$B$449)*(F$2:F$388),"")</f>
        <v/>
      </c>
    </row>
    <row r="450">
      <c r="B450" s="2" t="inlineStr">
        <is>
          <t>电解钴</t>
        </is>
      </c>
      <c r="C450" s="10">
        <f>IFERROR(AVERAGEIFS(C$2:C$388,A$2:A$388,"&gt;="&amp;DATE(YEAR(TODAY()),MONTH(TODAY()),1),A$2:A$388,"&lt;"&amp;DATE(YEAR(TODAY()),MONTH(TODAY())+1,1),B$2:B$388,$B$450),"")</f>
        <v/>
      </c>
      <c r="D450" s="10">
        <f>IFERROR(AVERAGEIFS(D$2:D$388,A$2:A$388,"&gt;="&amp;DATE(YEAR(TODAY()),MONTH(TODAY()),1),A$2:A$388,"&lt;"&amp;DATE(YEAR(TODAY()),MONTH(TODAY())+1,1),B$2:B$388,$B$450),"")</f>
        <v/>
      </c>
      <c r="E450" s="10">
        <f>IFERROR(AVERAGEIFS(E$2:E$388,A$2:A$388,"&gt;="&amp;DATE(YEAR(TODAY()),MONTH(TODAY()),1),A$2:A$388,"&lt;"&amp;DATE(YEAR(TODAY()),MONTH(TODAY())+1,1),B$2:B$388,$B$450),"")</f>
        <v/>
      </c>
      <c r="F450" s="11">
        <f>IFERROR(SUMPRODUCT((YEAR(A$2:A$388)=YEAR(TODAY()))*(MONTH(A$2:A$388)=MONTH(TODAY()))*(B$2:B$388=$B$450)*(F$2:F$388),"")</f>
        <v/>
      </c>
    </row>
    <row r="451">
      <c r="B451" s="2" t="inlineStr">
        <is>
          <t>电解钴（鹿特丹仓库）</t>
        </is>
      </c>
      <c r="C451" s="10">
        <f>IFERROR(AVERAGEIFS(C$2:C$388,A$2:A$388,"&gt;="&amp;DATE(YEAR(TODAY()),MONTH(TODAY()),1),A$2:A$388,"&lt;"&amp;DATE(YEAR(TODAY()),MONTH(TODAY())+1,1),B$2:B$388,$B$451),"")</f>
        <v/>
      </c>
      <c r="D451" s="10">
        <f>IFERROR(AVERAGEIFS(D$2:D$388,A$2:A$388,"&gt;="&amp;DATE(YEAR(TODAY()),MONTH(TODAY()),1),A$2:A$388,"&lt;"&amp;DATE(YEAR(TODAY()),MONTH(TODAY())+1,1),B$2:B$388,$B$451),"")</f>
        <v/>
      </c>
      <c r="E451" s="10">
        <f>IFERROR(AVERAGEIFS(E$2:E$388,A$2:A$388,"&gt;="&amp;DATE(YEAR(TODAY()),MONTH(TODAY()),1),A$2:A$388,"&lt;"&amp;DATE(YEAR(TODAY()),MONTH(TODAY())+1,1),B$2:B$388,$B$451),"")</f>
        <v/>
      </c>
      <c r="F451" s="11">
        <f>IFERROR(SUMPRODUCT((YEAR(A$2:A$388)=YEAR(TODAY()))*(MONTH(A$2:A$388)=MONTH(TODAY()))*(B$2:B$388=$B$451)*(F$2:F$388),"")</f>
        <v/>
      </c>
    </row>
    <row r="452">
      <c r="B452" s="2" t="inlineStr">
        <is>
          <t>电镀级硫酸镍</t>
        </is>
      </c>
      <c r="C452" s="10">
        <f>IFERROR(AVERAGEIFS(C$2:C$388,A$2:A$388,"&gt;="&amp;DATE(YEAR(TODAY()),MONTH(TODAY()),1),A$2:A$388,"&lt;"&amp;DATE(YEAR(TODAY()),MONTH(TODAY())+1,1),B$2:B$388,$B$452),"")</f>
        <v/>
      </c>
      <c r="D452" s="10">
        <f>IFERROR(AVERAGEIFS(D$2:D$388,A$2:A$388,"&gt;="&amp;DATE(YEAR(TODAY()),MONTH(TODAY()),1),A$2:A$388,"&lt;"&amp;DATE(YEAR(TODAY()),MONTH(TODAY())+1,1),B$2:B$388,$B$452),"")</f>
        <v/>
      </c>
      <c r="E452" s="10">
        <f>IFERROR(AVERAGEIFS(E$2:E$388,A$2:A$388,"&gt;="&amp;DATE(YEAR(TODAY()),MONTH(TODAY()),1),A$2:A$388,"&lt;"&amp;DATE(YEAR(TODAY()),MONTH(TODAY())+1,1),B$2:B$388,$B$452),"")</f>
        <v/>
      </c>
      <c r="F452" s="11">
        <f>IFERROR(SUMPRODUCT((YEAR(A$2:A$388)=YEAR(TODAY()))*(MONTH(A$2:A$388)=MONTH(TODAY()))*(B$2:B$388=$B$452)*(F$2:F$388),"")</f>
        <v/>
      </c>
    </row>
    <row r="453">
      <c r="B453" s="2" t="inlineStr">
        <is>
          <t>硫酸钴</t>
        </is>
      </c>
      <c r="C453" s="10">
        <f>IFERROR(AVERAGEIFS(C$2:C$388,A$2:A$388,"&gt;="&amp;DATE(YEAR(TODAY()),MONTH(TODAY()),1),A$2:A$388,"&lt;"&amp;DATE(YEAR(TODAY()),MONTH(TODAY())+1,1),B$2:B$388,$B$453),"")</f>
        <v/>
      </c>
      <c r="D453" s="10">
        <f>IFERROR(AVERAGEIFS(D$2:D$388,A$2:A$388,"&gt;="&amp;DATE(YEAR(TODAY()),MONTH(TODAY()),1),A$2:A$388,"&lt;"&amp;DATE(YEAR(TODAY()),MONTH(TODAY())+1,1),B$2:B$388,$B$453),"")</f>
        <v/>
      </c>
      <c r="E453" s="10">
        <f>IFERROR(AVERAGEIFS(E$2:E$388,A$2:A$388,"&gt;="&amp;DATE(YEAR(TODAY()),MONTH(TODAY()),1),A$2:A$388,"&lt;"&amp;DATE(YEAR(TODAY()),MONTH(TODAY())+1,1),B$2:B$388,$B$453),"")</f>
        <v/>
      </c>
      <c r="F453" s="11">
        <f>IFERROR(SUMPRODUCT((YEAR(A$2:A$388)=YEAR(TODAY()))*(MONTH(A$2:A$388)=MONTH(TODAY()))*(B$2:B$388=$B$453)*(F$2:F$388),"")</f>
        <v/>
      </c>
    </row>
    <row r="454">
      <c r="B454" s="2" t="inlineStr">
        <is>
          <t>碳酸钴</t>
        </is>
      </c>
      <c r="C454" s="10">
        <f>IFERROR(AVERAGEIFS(C$2:C$388,A$2:A$388,"&gt;="&amp;DATE(YEAR(TODAY()),MONTH(TODAY()),1),A$2:A$388,"&lt;"&amp;DATE(YEAR(TODAY()),MONTH(TODAY())+1,1),B$2:B$388,$B$454),"")</f>
        <v/>
      </c>
      <c r="D454" s="10">
        <f>IFERROR(AVERAGEIFS(D$2:D$388,A$2:A$388,"&gt;="&amp;DATE(YEAR(TODAY()),MONTH(TODAY()),1),A$2:A$388,"&lt;"&amp;DATE(YEAR(TODAY()),MONTH(TODAY())+1,1),B$2:B$388,$B$454),"")</f>
        <v/>
      </c>
      <c r="E454" s="10">
        <f>IFERROR(AVERAGEIFS(E$2:E$388,A$2:A$388,"&gt;="&amp;DATE(YEAR(TODAY()),MONTH(TODAY()),1),A$2:A$388,"&lt;"&amp;DATE(YEAR(TODAY()),MONTH(TODAY())+1,1),B$2:B$388,$B$454),"")</f>
        <v/>
      </c>
      <c r="F454" s="11">
        <f>IFERROR(SUMPRODUCT((YEAR(A$2:A$388)=YEAR(TODAY()))*(MONTH(A$2:A$388)=MONTH(TODAY()))*(B$2:B$388=$B$454)*(F$2:F$388),"")</f>
        <v/>
      </c>
    </row>
    <row r="455">
      <c r="B455" s="2" t="inlineStr">
        <is>
          <t>磷酸铁锂</t>
        </is>
      </c>
      <c r="C455" s="10">
        <f>IFERROR(AVERAGEIFS(C$2:C$388,A$2:A$388,"&gt;="&amp;DATE(YEAR(TODAY()),MONTH(TODAY()),1),A$2:A$388,"&lt;"&amp;DATE(YEAR(TODAY()),MONTH(TODAY())+1,1),B$2:B$388,$B$455),"")</f>
        <v/>
      </c>
      <c r="D455" s="10">
        <f>IFERROR(AVERAGEIFS(D$2:D$388,A$2:A$388,"&gt;="&amp;DATE(YEAR(TODAY()),MONTH(TODAY()),1),A$2:A$388,"&lt;"&amp;DATE(YEAR(TODAY()),MONTH(TODAY())+1,1),B$2:B$388,$B$455),"")</f>
        <v/>
      </c>
      <c r="E455" s="10">
        <f>IFERROR(AVERAGEIFS(E$2:E$388,A$2:A$388,"&gt;="&amp;DATE(YEAR(TODAY()),MONTH(TODAY()),1),A$2:A$388,"&lt;"&amp;DATE(YEAR(TODAY()),MONTH(TODAY())+1,1),B$2:B$388,$B$455),"")</f>
        <v/>
      </c>
      <c r="F455" s="11">
        <f>IFERROR(SUMPRODUCT((YEAR(A$2:A$388)=YEAR(TODAY()))*(MONTH(A$2:A$388)=MONTH(TODAY()))*(B$2:B$388=$B$455)*(F$2:F$388),"")</f>
        <v/>
      </c>
    </row>
    <row r="456">
      <c r="B456" s="2" t="inlineStr">
        <is>
          <t>磷酸锰铁锂</t>
        </is>
      </c>
      <c r="C456" s="10">
        <f>IFERROR(AVERAGEIFS(C$2:C$388,A$2:A$388,"&gt;="&amp;DATE(YEAR(TODAY()),MONTH(TODAY()),1),A$2:A$388,"&lt;"&amp;DATE(YEAR(TODAY()),MONTH(TODAY())+1,1),B$2:B$388,$B$456),"")</f>
        <v/>
      </c>
      <c r="D456" s="10">
        <f>IFERROR(AVERAGEIFS(D$2:D$388,A$2:A$388,"&gt;="&amp;DATE(YEAR(TODAY()),MONTH(TODAY()),1),A$2:A$388,"&lt;"&amp;DATE(YEAR(TODAY()),MONTH(TODAY())+1,1),B$2:B$388,$B$456),"")</f>
        <v/>
      </c>
      <c r="E456" s="10">
        <f>IFERROR(AVERAGEIFS(E$2:E$388,A$2:A$388,"&gt;="&amp;DATE(YEAR(TODAY()),MONTH(TODAY()),1),A$2:A$388,"&lt;"&amp;DATE(YEAR(TODAY()),MONTH(TODAY())+1,1),B$2:B$388,$B$456),"")</f>
        <v/>
      </c>
      <c r="F456" s="11">
        <f>IFERROR(SUMPRODUCT((YEAR(A$2:A$388)=YEAR(TODAY()))*(MONTH(A$2:A$388)=MONTH(TODAY()))*(B$2:B$388=$B$456)*(F$2:F$388),"")</f>
        <v/>
      </c>
    </row>
    <row r="457">
      <c r="B457" s="2" t="inlineStr">
        <is>
          <t>金属钴FOB</t>
        </is>
      </c>
      <c r="C457" s="10">
        <f>IFERROR(AVERAGEIFS(C$2:C$388,A$2:A$388,"&gt;="&amp;DATE(YEAR(TODAY()),MONTH(TODAY()),1),A$2:A$388,"&lt;"&amp;DATE(YEAR(TODAY()),MONTH(TODAY())+1,1),B$2:B$388,$B$457),"")</f>
        <v/>
      </c>
      <c r="D457" s="10">
        <f>IFERROR(AVERAGEIFS(D$2:D$388,A$2:A$388,"&gt;="&amp;DATE(YEAR(TODAY()),MONTH(TODAY()),1),A$2:A$388,"&lt;"&amp;DATE(YEAR(TODAY()),MONTH(TODAY())+1,1),B$2:B$388,$B$457),"")</f>
        <v/>
      </c>
      <c r="E457" s="10">
        <f>IFERROR(AVERAGEIFS(E$2:E$388,A$2:A$388,"&gt;="&amp;DATE(YEAR(TODAY()),MONTH(TODAY()),1),A$2:A$388,"&lt;"&amp;DATE(YEAR(TODAY()),MONTH(TODAY())+1,1),B$2:B$388,$B$457),"")</f>
        <v/>
      </c>
      <c r="F457" s="11">
        <f>IFERROR(SUMPRODUCT((YEAR(A$2:A$388)=YEAR(TODAY()))*(MONTH(A$2:A$388)=MONTH(TODAY()))*(B$2:B$388=$B$457)*(F$2:F$388),"")</f>
        <v/>
      </c>
    </row>
    <row r="458">
      <c r="B458" s="2" t="inlineStr">
        <is>
          <t>钴中间品中钴含量≥30%</t>
        </is>
      </c>
      <c r="C458" s="10">
        <f>IFERROR(AVERAGEIFS(C$2:C$388,A$2:A$388,"&gt;="&amp;DATE(YEAR(TODAY()),MONTH(TODAY()),1),A$2:A$388,"&lt;"&amp;DATE(YEAR(TODAY()),MONTH(TODAY())+1,1),B$2:B$388,$B$458),"")</f>
        <v/>
      </c>
      <c r="D458" s="10">
        <f>IFERROR(AVERAGEIFS(D$2:D$388,A$2:A$388,"&gt;="&amp;DATE(YEAR(TODAY()),MONTH(TODAY()),1),A$2:A$388,"&lt;"&amp;DATE(YEAR(TODAY()),MONTH(TODAY())+1,1),B$2:B$388,$B$458),"")</f>
        <v/>
      </c>
      <c r="E458" s="10">
        <f>IFERROR(AVERAGEIFS(E$2:E$388,A$2:A$388,"&gt;="&amp;DATE(YEAR(TODAY()),MONTH(TODAY()),1),A$2:A$388,"&lt;"&amp;DATE(YEAR(TODAY()),MONTH(TODAY())+1,1),B$2:B$388,$B$458),"")</f>
        <v/>
      </c>
      <c r="F458" s="11">
        <f>IFERROR(SUMPRODUCT((YEAR(A$2:A$388)=YEAR(TODAY()))*(MONTH(A$2:A$388)=MONTH(TODAY()))*(B$2:B$388=$B$458)*(F$2:F$388),"")</f>
        <v/>
      </c>
    </row>
    <row r="459">
      <c r="B459" s="2" t="inlineStr">
        <is>
          <t>钴中间品原料计价系数（对SMM硫酸钴均价）</t>
        </is>
      </c>
      <c r="C459" s="10">
        <f>IFERROR(AVERAGEIFS(C$2:C$388,A$2:A$388,"&gt;="&amp;DATE(YEAR(TODAY()),MONTH(TODAY()),1),A$2:A$388,"&lt;"&amp;DATE(YEAR(TODAY()),MONTH(TODAY())+1,1),B$2:B$388,$B$459),"")</f>
        <v/>
      </c>
      <c r="D459" s="10">
        <f>IFERROR(AVERAGEIFS(D$2:D$388,A$2:A$388,"&gt;="&amp;DATE(YEAR(TODAY()),MONTH(TODAY()),1),A$2:A$388,"&lt;"&amp;DATE(YEAR(TODAY()),MONTH(TODAY())+1,1),B$2:B$388,$B$459),"")</f>
        <v/>
      </c>
      <c r="E459" s="10">
        <f>IFERROR(AVERAGEIFS(E$2:E$388,A$2:A$388,"&gt;="&amp;DATE(YEAR(TODAY()),MONTH(TODAY()),1),A$2:A$388,"&lt;"&amp;DATE(YEAR(TODAY()),MONTH(TODAY())+1,1),B$2:B$388,$B$459),"")</f>
        <v/>
      </c>
      <c r="F459" s="11">
        <f>IFERROR(SUMPRODUCT((YEAR(A$2:A$388)=YEAR(TODAY()))*(MONTH(A$2:A$388)=MONTH(TODAY()))*(B$2:B$388=$B$459)*(F$2:F$388),"")</f>
        <v/>
      </c>
    </row>
    <row r="460">
      <c r="B460" s="2" t="inlineStr">
        <is>
          <t>钴酸锂</t>
        </is>
      </c>
      <c r="C460" s="10">
        <f>IFERROR(AVERAGEIFS(C$2:C$388,A$2:A$388,"&gt;="&amp;DATE(YEAR(TODAY()),MONTH(TODAY()),1),A$2:A$388,"&lt;"&amp;DATE(YEAR(TODAY()),MONTH(TODAY())+1,1),B$2:B$388,$B$460),"")</f>
        <v/>
      </c>
      <c r="D460" s="10">
        <f>IFERROR(AVERAGEIFS(D$2:D$388,A$2:A$388,"&gt;="&amp;DATE(YEAR(TODAY()),MONTH(TODAY()),1),A$2:A$388,"&lt;"&amp;DATE(YEAR(TODAY()),MONTH(TODAY())+1,1),B$2:B$388,$B$460),"")</f>
        <v/>
      </c>
      <c r="E460" s="10">
        <f>IFERROR(AVERAGEIFS(E$2:E$388,A$2:A$388,"&gt;="&amp;DATE(YEAR(TODAY()),MONTH(TODAY()),1),A$2:A$388,"&lt;"&amp;DATE(YEAR(TODAY()),MONTH(TODAY())+1,1),B$2:B$388,$B$460),"")</f>
        <v/>
      </c>
      <c r="F460" s="11">
        <f>IFERROR(SUMPRODUCT((YEAR(A$2:A$388)=YEAR(TODAY()))*(MONTH(A$2:A$388)=MONTH(TODAY()))*(B$2:B$388=$B$460)*(F$2:F$388),"")</f>
        <v/>
      </c>
    </row>
    <row r="461">
      <c r="B461" s="2" t="inlineStr">
        <is>
          <t>钴酸锂聚合物软包</t>
        </is>
      </c>
      <c r="C461" s="10">
        <f>IFERROR(AVERAGEIFS(C$2:C$388,A$2:A$388,"&gt;="&amp;DATE(YEAR(TODAY()),MONTH(TODAY()),1),A$2:A$388,"&lt;"&amp;DATE(YEAR(TODAY()),MONTH(TODAY())+1,1),B$2:B$388,$B$461),"")</f>
        <v/>
      </c>
      <c r="D461" s="10">
        <f>IFERROR(AVERAGEIFS(D$2:D$388,A$2:A$388,"&gt;="&amp;DATE(YEAR(TODAY()),MONTH(TODAY()),1),A$2:A$388,"&lt;"&amp;DATE(YEAR(TODAY()),MONTH(TODAY())+1,1),B$2:B$388,$B$461),"")</f>
        <v/>
      </c>
      <c r="E461" s="10">
        <f>IFERROR(AVERAGEIFS(E$2:E$388,A$2:A$388,"&gt;="&amp;DATE(YEAR(TODAY()),MONTH(TODAY()),1),A$2:A$388,"&lt;"&amp;DATE(YEAR(TODAY()),MONTH(TODAY())+1,1),B$2:B$388,$B$461),"")</f>
        <v/>
      </c>
      <c r="F461" s="11">
        <f>IFERROR(SUMPRODUCT((YEAR(A$2:A$388)=YEAR(TODAY()))*(MONTH(A$2:A$388)=MONTH(TODAY()))*(B$2:B$388=$B$461)*(F$2:F$388),"")</f>
        <v/>
      </c>
    </row>
    <row r="462">
      <c r="B462" s="2" t="inlineStr">
        <is>
          <t>钴酸锂铝壳</t>
        </is>
      </c>
      <c r="C462" s="10">
        <f>IFERROR(AVERAGEIFS(C$2:C$388,A$2:A$388,"&gt;="&amp;DATE(YEAR(TODAY()),MONTH(TODAY()),1),A$2:A$388,"&lt;"&amp;DATE(YEAR(TODAY()),MONTH(TODAY())+1,1),B$2:B$388,$B$462),"")</f>
        <v/>
      </c>
      <c r="D462" s="10">
        <f>IFERROR(AVERAGEIFS(D$2:D$388,A$2:A$388,"&gt;="&amp;DATE(YEAR(TODAY()),MONTH(TODAY()),1),A$2:A$388,"&lt;"&amp;DATE(YEAR(TODAY()),MONTH(TODAY())+1,1),B$2:B$388,$B$462),"")</f>
        <v/>
      </c>
      <c r="E462" s="10">
        <f>IFERROR(AVERAGEIFS(E$2:E$388,A$2:A$388,"&gt;="&amp;DATE(YEAR(TODAY()),MONTH(TODAY()),1),A$2:A$388,"&lt;"&amp;DATE(YEAR(TODAY()),MONTH(TODAY())+1,1),B$2:B$388,$B$462),"")</f>
        <v/>
      </c>
      <c r="F462" s="11">
        <f>IFERROR(SUMPRODUCT((YEAR(A$2:A$388)=YEAR(TODAY()))*(MONTH(A$2:A$388)=MONTH(TODAY()))*(B$2:B$388=$B$462)*(F$2:F$388),"")</f>
        <v/>
      </c>
    </row>
    <row r="463">
      <c r="B463" s="2" t="inlineStr">
        <is>
          <t>锰酸锂圆柱钢壳</t>
        </is>
      </c>
      <c r="C463" s="10">
        <f>IFERROR(AVERAGEIFS(C$2:C$388,A$2:A$388,"&gt;="&amp;DATE(YEAR(TODAY()),MONTH(TODAY()),1),A$2:A$388,"&lt;"&amp;DATE(YEAR(TODAY()),MONTH(TODAY())+1,1),B$2:B$388,$B$463),"")</f>
        <v/>
      </c>
      <c r="D463" s="10">
        <f>IFERROR(AVERAGEIFS(D$2:D$388,A$2:A$388,"&gt;="&amp;DATE(YEAR(TODAY()),MONTH(TODAY()),1),A$2:A$388,"&lt;"&amp;DATE(YEAR(TODAY()),MONTH(TODAY())+1,1),B$2:B$388,$B$463),"")</f>
        <v/>
      </c>
      <c r="E463" s="10">
        <f>IFERROR(AVERAGEIFS(E$2:E$388,A$2:A$388,"&gt;="&amp;DATE(YEAR(TODAY()),MONTH(TODAY()),1),A$2:A$388,"&lt;"&amp;DATE(YEAR(TODAY()),MONTH(TODAY())+1,1),B$2:B$388,$B$463),"")</f>
        <v/>
      </c>
      <c r="F463" s="11">
        <f>IFERROR(SUMPRODUCT((YEAR(A$2:A$388)=YEAR(TODAY()))*(MONTH(A$2:A$388)=MONTH(TODAY()))*(B$2:B$388=$B$463)*(F$2:F$388),"")</f>
        <v/>
      </c>
    </row>
    <row r="464">
      <c r="B464" s="2" t="inlineStr">
        <is>
          <t>非洲硫酸锂(CIF中国)</t>
        </is>
      </c>
      <c r="C464" s="10">
        <f>IFERROR(AVERAGEIFS(C$2:C$388,A$2:A$388,"&gt;="&amp;DATE(YEAR(TODAY()),MONTH(TODAY()),1),A$2:A$388,"&lt;"&amp;DATE(YEAR(TODAY()),MONTH(TODAY())+1,1),B$2:B$388,$B$464),"")</f>
        <v/>
      </c>
      <c r="D464" s="10">
        <f>IFERROR(AVERAGEIFS(D$2:D$388,A$2:A$388,"&gt;="&amp;DATE(YEAR(TODAY()),MONTH(TODAY()),1),A$2:A$388,"&lt;"&amp;DATE(YEAR(TODAY()),MONTH(TODAY())+1,1),B$2:B$388,$B$464),"")</f>
        <v/>
      </c>
      <c r="E464" s="10">
        <f>IFERROR(AVERAGEIFS(E$2:E$388,A$2:A$388,"&gt;="&amp;DATE(YEAR(TODAY()),MONTH(TODAY()),1),A$2:A$388,"&lt;"&amp;DATE(YEAR(TODAY()),MONTH(TODAY())+1,1),B$2:B$388,$B$464),"")</f>
        <v/>
      </c>
      <c r="F464" s="11">
        <f>IFERROR(SUMPRODUCT((YEAR(A$2:A$388)=YEAR(TODAY()))*(MONTH(A$2:A$388)=MONTH(TODAY()))*(B$2:B$388=$B$464)*(F$2:F$388),"")</f>
        <v/>
      </c>
    </row>
    <row r="465">
      <c r="B465" s="2" t="inlineStr">
        <is>
          <t>非洲锂辉石精矿（CIF中国）指数</t>
        </is>
      </c>
      <c r="C465" s="10">
        <f>IFERROR(AVERAGEIFS(C$2:C$388,A$2:A$388,"&gt;="&amp;DATE(YEAR(TODAY()),MONTH(TODAY()),1),A$2:A$388,"&lt;"&amp;DATE(YEAR(TODAY()),MONTH(TODAY())+1,1),B$2:B$388,$B$465),"")</f>
        <v/>
      </c>
      <c r="D465" s="10">
        <f>IFERROR(AVERAGEIFS(D$2:D$388,A$2:A$388,"&gt;="&amp;DATE(YEAR(TODAY()),MONTH(TODAY()),1),A$2:A$388,"&lt;"&amp;DATE(YEAR(TODAY()),MONTH(TODAY())+1,1),B$2:B$388,$B$465),"")</f>
        <v/>
      </c>
      <c r="E465" s="10">
        <f>IFERROR(AVERAGEIFS(E$2:E$388,A$2:A$388,"&gt;="&amp;DATE(YEAR(TODAY()),MONTH(TODAY()),1),A$2:A$388,"&lt;"&amp;DATE(YEAR(TODAY()),MONTH(TODAY())+1,1),B$2:B$388,$B$465),"")</f>
        <v/>
      </c>
      <c r="F465" s="11">
        <f>IFERROR(SUMPRODUCT((YEAR(A$2:A$388)=YEAR(TODAY()))*(MONTH(A$2:A$388)=MONTH(TODAY()))*(B$2:B$388=$B$465)*(F$2:F$388),"")</f>
        <v/>
      </c>
    </row>
  </sheetData>
  <autoFilter ref="A1:H388"/>
  <mergeCells count="1">
    <mergeCell ref="A390:H3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1">
      <c r="A31" s="8" t="inlineStr">
        <is>
          <t>当月均价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C32" s="2" t="inlineStr">
        <is>
          <t>CME氢氧化锂</t>
        </is>
      </c>
      <c r="D32" s="10">
        <f>IFERROR(AVERAGEIFS(D$2:D$29,A$2:A$29,"&gt;="&amp;DATE(YEAR(TODAY()),MONTH(TODAY()),1),A$2:A$29,"&lt;"&amp;DATE(YEAR(TODAY()),MONTH(TODAY())+1,1),C$2:C$29,$C$32),"")</f>
        <v/>
      </c>
      <c r="E32" s="10">
        <f>IFERROR(AVERAGEIFS(E$2:E$29,A$2:A$29,"&gt;="&amp;DATE(YEAR(TODAY()),MONTH(TODAY()),1),A$2:A$29,"&lt;"&amp;DATE(YEAR(TODAY()),MONTH(TODAY())+1,1),C$2:C$29,$C$32),"")</f>
        <v/>
      </c>
      <c r="F32" s="10">
        <f>IFERROR(AVERAGEIFS(F$2:F$29,A$2:A$29,"&gt;="&amp;DATE(YEAR(TODAY()),MONTH(TODAY()),1),A$2:A$29,"&lt;"&amp;DATE(YEAR(TODAY()),MONTH(TODAY())+1,1),C$2:C$29,$C$32),"")</f>
        <v/>
      </c>
      <c r="G32" s="10">
        <f>IFERROR(AVERAGEIFS(G$2:G$29,A$2:A$29,"&gt;="&amp;DATE(YEAR(TODAY()),MONTH(TODAY()),1),A$2:A$29,"&lt;"&amp;DATE(YEAR(TODAY()),MONTH(TODAY())+1,1),C$2:C$29,$C$32),"")</f>
        <v/>
      </c>
      <c r="H32" s="11">
        <f>IFERROR(SUMPRODUCT((YEAR(A$2:A$29)=YEAR(TODAY()))*(MONTH(A$2:A$29)=MONTH(TODAY()))*(C$2:C$29=$C$32)*(H$2:H$29),"")</f>
        <v/>
      </c>
    </row>
    <row r="33">
      <c r="C33" s="2" t="inlineStr">
        <is>
          <t>CME钴</t>
        </is>
      </c>
      <c r="D33" s="10">
        <f>IFERROR(AVERAGEIFS(D$2:D$29,A$2:A$29,"&gt;="&amp;DATE(YEAR(TODAY()),MONTH(TODAY()),1),A$2:A$29,"&lt;"&amp;DATE(YEAR(TODAY()),MONTH(TODAY())+1,1),C$2:C$29,$C$33),"")</f>
        <v/>
      </c>
      <c r="E33" s="10">
        <f>IFERROR(AVERAGEIFS(E$2:E$29,A$2:A$29,"&gt;="&amp;DATE(YEAR(TODAY()),MONTH(TODAY()),1),A$2:A$29,"&lt;"&amp;DATE(YEAR(TODAY()),MONTH(TODAY())+1,1),C$2:C$29,$C$33),"")</f>
        <v/>
      </c>
      <c r="F33" s="10">
        <f>IFERROR(AVERAGEIFS(F$2:F$29,A$2:A$29,"&gt;="&amp;DATE(YEAR(TODAY()),MONTH(TODAY()),1),A$2:A$29,"&lt;"&amp;DATE(YEAR(TODAY()),MONTH(TODAY())+1,1),C$2:C$29,$C$33),"")</f>
        <v/>
      </c>
      <c r="G33" s="10">
        <f>IFERROR(AVERAGEIFS(G$2:G$29,A$2:A$29,"&gt;="&amp;DATE(YEAR(TODAY()),MONTH(TODAY()),1),A$2:A$29,"&lt;"&amp;DATE(YEAR(TODAY()),MONTH(TODAY())+1,1),C$2:C$29,$C$33),"")</f>
        <v/>
      </c>
      <c r="H33" s="11">
        <f>IFERROR(SUMPRODUCT((YEAR(A$2:A$29)=YEAR(TODAY()))*(MONTH(A$2:A$29)=MONTH(TODAY()))*(C$2:C$29=$C$33)*(H$2:H$29),"")</f>
        <v/>
      </c>
    </row>
    <row r="34">
      <c r="C34" s="2" t="inlineStr">
        <is>
          <t>沪镍(NI)连续</t>
        </is>
      </c>
      <c r="D34" s="10">
        <f>IFERROR(AVERAGEIFS(D$2:D$29,A$2:A$29,"&gt;="&amp;DATE(YEAR(TODAY()),MONTH(TODAY()),1),A$2:A$29,"&lt;"&amp;DATE(YEAR(TODAY()),MONTH(TODAY())+1,1),C$2:C$29,$C$34),"")</f>
        <v/>
      </c>
      <c r="E34" s="10">
        <f>IFERROR(AVERAGEIFS(E$2:E$29,A$2:A$29,"&gt;="&amp;DATE(YEAR(TODAY()),MONTH(TODAY()),1),A$2:A$29,"&lt;"&amp;DATE(YEAR(TODAY()),MONTH(TODAY())+1,1),C$2:C$29,$C$34),"")</f>
        <v/>
      </c>
      <c r="F34" s="10">
        <f>IFERROR(AVERAGEIFS(F$2:F$29,A$2:A$29,"&gt;="&amp;DATE(YEAR(TODAY()),MONTH(TODAY()),1),A$2:A$29,"&lt;"&amp;DATE(YEAR(TODAY()),MONTH(TODAY())+1,1),C$2:C$29,$C$34),"")</f>
        <v/>
      </c>
      <c r="G34" s="10">
        <f>IFERROR(AVERAGEIFS(G$2:G$29,A$2:A$29,"&gt;="&amp;DATE(YEAR(TODAY()),MONTH(TODAY()),1),A$2:A$29,"&lt;"&amp;DATE(YEAR(TODAY()),MONTH(TODAY())+1,1),C$2:C$29,$C$34),"")</f>
        <v/>
      </c>
      <c r="H34" s="11">
        <f>IFERROR(SUMPRODUCT((YEAR(A$2:A$29)=YEAR(TODAY()))*(MONTH(A$2:A$29)=MONTH(TODAY()))*(C$2:C$29=$C$34)*(H$2:H$29),"")</f>
        <v/>
      </c>
    </row>
    <row r="35">
      <c r="C35" s="2" t="inlineStr">
        <is>
          <t>碳酸锂(LC)连续</t>
        </is>
      </c>
      <c r="D35" s="10">
        <f>IFERROR(AVERAGEIFS(D$2:D$29,A$2:A$29,"&gt;="&amp;DATE(YEAR(TODAY()),MONTH(TODAY()),1),A$2:A$29,"&lt;"&amp;DATE(YEAR(TODAY()),MONTH(TODAY())+1,1),C$2:C$29,$C$35),"")</f>
        <v/>
      </c>
      <c r="E35" s="10">
        <f>IFERROR(AVERAGEIFS(E$2:E$29,A$2:A$29,"&gt;="&amp;DATE(YEAR(TODAY()),MONTH(TODAY()),1),A$2:A$29,"&lt;"&amp;DATE(YEAR(TODAY()),MONTH(TODAY())+1,1),C$2:C$29,$C$35),"")</f>
        <v/>
      </c>
      <c r="F35" s="10">
        <f>IFERROR(AVERAGEIFS(F$2:F$29,A$2:A$29,"&gt;="&amp;DATE(YEAR(TODAY()),MONTH(TODAY()),1),A$2:A$29,"&lt;"&amp;DATE(YEAR(TODAY()),MONTH(TODAY())+1,1),C$2:C$29,$C$35),"")</f>
        <v/>
      </c>
      <c r="G35" s="10">
        <f>IFERROR(AVERAGEIFS(G$2:G$29,A$2:A$29,"&gt;="&amp;DATE(YEAR(TODAY()),MONTH(TODAY()),1),A$2:A$29,"&lt;"&amp;DATE(YEAR(TODAY()),MONTH(TODAY())+1,1),C$2:C$29,$C$35),"")</f>
        <v/>
      </c>
      <c r="H35" s="11">
        <f>IFERROR(SUMPRODUCT((YEAR(A$2:A$29)=YEAR(TODAY()))*(MONTH(A$2:A$29)=MONTH(TODAY()))*(C$2:C$29=$C$35)*(H$2:H$29),"")</f>
        <v/>
      </c>
    </row>
    <row r="36">
      <c r="C36" s="2" t="inlineStr">
        <is>
          <t>美元/人民币(USDCNY)</t>
        </is>
      </c>
      <c r="D36" s="10">
        <f>IFERROR(AVERAGEIFS(D$2:D$29,A$2:A$29,"&gt;="&amp;DATE(YEAR(TODAY()),MONTH(TODAY()),1),A$2:A$29,"&lt;"&amp;DATE(YEAR(TODAY()),MONTH(TODAY())+1,1),C$2:C$29,$C$36),"")</f>
        <v/>
      </c>
      <c r="E36" s="10">
        <f>IFERROR(AVERAGEIFS(E$2:E$29,A$2:A$29,"&gt;="&amp;DATE(YEAR(TODAY()),MONTH(TODAY()),1),A$2:A$29,"&lt;"&amp;DATE(YEAR(TODAY()),MONTH(TODAY())+1,1),C$2:C$29,$C$36),"")</f>
        <v/>
      </c>
      <c r="F36" s="10">
        <f>IFERROR(AVERAGEIFS(F$2:F$29,A$2:A$29,"&gt;="&amp;DATE(YEAR(TODAY()),MONTH(TODAY()),1),A$2:A$29,"&lt;"&amp;DATE(YEAR(TODAY()),MONTH(TODAY())+1,1),C$2:C$29,$C$36),"")</f>
        <v/>
      </c>
      <c r="G36" s="10">
        <f>IFERROR(AVERAGEIFS(G$2:G$29,A$2:A$29,"&gt;="&amp;DATE(YEAR(TODAY()),MONTH(TODAY()),1),A$2:A$29,"&lt;"&amp;DATE(YEAR(TODAY()),MONTH(TODAY())+1,1),C$2:C$29,$C$36),"")</f>
        <v/>
      </c>
      <c r="H36" s="11">
        <f>IFERROR(SUMPRODUCT((YEAR(A$2:A$29)=YEAR(TODAY()))*(MONTH(A$2:A$29)=MONTH(TODAY()))*(C$2:C$29=$C$36)*(H$2:H$29),"")</f>
        <v/>
      </c>
    </row>
  </sheetData>
  <autoFilter ref="A1:J29"/>
  <mergeCells count="1">
    <mergeCell ref="A31:J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2026-06-22T08:32:51Z</dcterms:created>
  <dcterms:modified xmlns:dcterms="http://purl.org/dc/terms/" xmlns:xsi="http://www.w3.org/2001/XMLSchema-instance" xsi:type="dcterms:W3CDTF">2026-06-22T08:32:52Z</dcterms:modified>
</cp:coreProperties>
</file>